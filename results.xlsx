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Ying\1论文\202510 Storage Location Reslotting（蔡胜勇）\Results\实验部分\"/>
    </mc:Choice>
  </mc:AlternateContent>
  <xr:revisionPtr revIDLastSave="0" documentId="13_ncr:1_{E7FD4867-AA7F-47B9-A9CA-0750E304433B}" xr6:coauthVersionLast="47" xr6:coauthVersionMax="47" xr10:uidLastSave="{00000000-0000-0000-0000-000000000000}"/>
  <bookViews>
    <workbookView xWindow="60" yWindow="206" windowWidth="26434" windowHeight="20263" tabRatio="775" xr2:uid="{00000000-000D-0000-FFFF-FFFF00000000}"/>
  </bookViews>
  <sheets>
    <sheet name="tables" sheetId="2" r:id="rId1"/>
    <sheet name="comparison with three variants" sheetId="1" r:id="rId2"/>
    <sheet name="comparison with benchmark" sheetId="8" r:id="rId3"/>
    <sheet name="case study" sheetId="4" r:id="rId4"/>
    <sheet name="Sheet1" sheetId="6" r:id="rId5"/>
    <sheet name="Sheet2" sheetId="7" r:id="rId6"/>
  </sheets>
  <definedNames>
    <definedName name="_xlnm._FilterDatabase" localSheetId="2" hidden="1">'comparison with benchmark'!$H$1:$H$1621</definedName>
  </definedNames>
  <calcPr calcId="191029"/>
  <pivotCaches>
    <pivotCache cacheId="3" r:id="rId7"/>
    <pivotCache cacheId="2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4" l="1"/>
  <c r="E28" i="4" s="1"/>
  <c r="E29" i="4" s="1"/>
  <c r="E30" i="4" s="1"/>
  <c r="E31" i="4" s="1"/>
  <c r="E32" i="4" s="1"/>
  <c r="W5" i="4"/>
  <c r="W6" i="4"/>
  <c r="W7" i="4"/>
  <c r="W8" i="4"/>
  <c r="W9" i="4"/>
  <c r="W4" i="4"/>
  <c r="W10" i="4" s="1"/>
  <c r="V10" i="4"/>
  <c r="C27" i="4"/>
  <c r="C28" i="4" s="1"/>
  <c r="C29" i="4" s="1"/>
  <c r="C30" i="4" s="1"/>
  <c r="G27" i="4"/>
  <c r="G28" i="4" s="1"/>
  <c r="G29" i="4" s="1"/>
  <c r="G30" i="4" s="1"/>
  <c r="G31" i="4" s="1"/>
  <c r="G32" i="4" s="1"/>
  <c r="M35" i="2"/>
  <c r="M34" i="2"/>
  <c r="M31" i="2"/>
  <c r="M30" i="2"/>
  <c r="M27" i="2"/>
  <c r="M26" i="2"/>
  <c r="M23" i="2"/>
  <c r="M22" i="2"/>
  <c r="M19" i="2"/>
  <c r="M18" i="2"/>
  <c r="M10" i="2"/>
  <c r="M11" i="2"/>
  <c r="M9" i="2"/>
  <c r="M5" i="2"/>
  <c r="M6" i="2"/>
  <c r="M4" i="2"/>
  <c r="H27" i="4" l="1"/>
  <c r="I27" i="4"/>
  <c r="I29" i="4"/>
  <c r="H29" i="4"/>
  <c r="I28" i="4"/>
  <c r="H28" i="4"/>
  <c r="I30" i="4"/>
  <c r="C31" i="4"/>
  <c r="H30" i="4"/>
  <c r="I31" i="4" l="1"/>
  <c r="H31" i="4"/>
  <c r="C32" i="4"/>
  <c r="H32" i="4" l="1"/>
  <c r="I32" i="4"/>
</calcChain>
</file>

<file path=xl/sharedStrings.xml><?xml version="1.0" encoding="utf-8"?>
<sst xmlns="http://schemas.openxmlformats.org/spreadsheetml/2006/main" count="4531" uniqueCount="614">
  <si>
    <t>inst</t>
  </si>
  <si>
    <t>nLocs</t>
  </si>
  <si>
    <t>ratioEmptyLocs</t>
  </si>
  <si>
    <t>ratioRepOrders</t>
  </si>
  <si>
    <t>nOrders</t>
  </si>
  <si>
    <t>rndID</t>
  </si>
  <si>
    <t>algo</t>
  </si>
  <si>
    <t>replenishDist0</t>
  </si>
  <si>
    <t>timeCost1</t>
  </si>
  <si>
    <t>replenishDist</t>
  </si>
  <si>
    <t>timeCost2</t>
  </si>
  <si>
    <t>timeCost</t>
  </si>
  <si>
    <t>totalDist</t>
  </si>
  <si>
    <t>2000_0.2_0.5_1000_1.0_order_1</t>
  </si>
  <si>
    <t>NoVnd</t>
  </si>
  <si>
    <t>NoRestart</t>
  </si>
  <si>
    <t>2000_0.2_0.5_1000_1.0_order_2</t>
  </si>
  <si>
    <t>2000_0.2_0.5_1000_1.0_order_3</t>
  </si>
  <si>
    <t>2000_0.2_0.5_1000_1.0_order_4</t>
  </si>
  <si>
    <t>2000_0.2_0.5_1000_1.0_order_5</t>
  </si>
  <si>
    <t>2000_0.2_0.5_1000_2.0_order_1</t>
  </si>
  <si>
    <t>2000_0.2_0.5_1000_2.0_order_2</t>
  </si>
  <si>
    <t>2000_0.2_0.5_1000_2.0_order_3</t>
  </si>
  <si>
    <t>2000_0.2_0.5_1000_2.0_order_4</t>
  </si>
  <si>
    <t>2000_0.2_0.5_1000_2.0_order_5</t>
  </si>
  <si>
    <t>2000_0.2_0.5_1000_3.0_order_1</t>
  </si>
  <si>
    <t>2000_0.2_0.5_1000_3.0_order_2</t>
  </si>
  <si>
    <t>2000_0.2_0.5_1000_3.0_order_3</t>
  </si>
  <si>
    <t>2000_0.2_0.5_1000_3.0_order_4</t>
  </si>
  <si>
    <t>2000_0.2_0.5_1000_3.0_order_5</t>
  </si>
  <si>
    <t>2000_0.3_0.5_1000_1.0_order_1</t>
  </si>
  <si>
    <t>2000_0.3_0.5_1000_1.0_order_2</t>
  </si>
  <si>
    <t>2000_0.3_0.5_1000_1.0_order_3</t>
  </si>
  <si>
    <t>2000_0.3_0.5_1000_1.0_order_4</t>
  </si>
  <si>
    <t>2000_0.3_0.5_1000_1.0_order_5</t>
  </si>
  <si>
    <t>2000_0.3_0.5_1000_2.0_order_1</t>
  </si>
  <si>
    <t>2000_0.3_0.5_1000_2.0_order_2</t>
  </si>
  <si>
    <t>2000_0.3_0.5_1000_2.0_order_3</t>
  </si>
  <si>
    <t>2000_0.3_0.5_1000_2.0_order_4</t>
  </si>
  <si>
    <t>2000_0.3_0.5_1000_2.0_order_5</t>
  </si>
  <si>
    <t>2000_0.3_0.5_1000_3.0_order_1</t>
  </si>
  <si>
    <t>2000_0.3_0.5_1000_3.0_order_2</t>
  </si>
  <si>
    <t>2000_0.3_0.5_1000_3.0_order_3</t>
  </si>
  <si>
    <t>2000_0.3_0.5_1000_3.0_order_4</t>
  </si>
  <si>
    <t>2000_0.3_0.5_1000_3.0_order_5</t>
  </si>
  <si>
    <t>2000_0.4_0.5_1000_1.0_order_1</t>
  </si>
  <si>
    <t>2000_0.4_0.5_1000_1.0_order_2</t>
  </si>
  <si>
    <t>2000_0.4_0.5_1000_1.0_order_3</t>
  </si>
  <si>
    <t>2000_0.4_0.5_1000_1.0_order_4</t>
  </si>
  <si>
    <t>2000_0.4_0.5_1000_1.0_order_5</t>
  </si>
  <si>
    <t>2000_0.4_0.5_1000_2.0_order_1</t>
  </si>
  <si>
    <t>2000_0.4_0.5_1000_2.0_order_2</t>
  </si>
  <si>
    <t>2000_0.4_0.5_1000_2.0_order_3</t>
  </si>
  <si>
    <t>2000_0.4_0.5_1000_2.0_order_4</t>
  </si>
  <si>
    <t>2000_0.4_0.5_1000_2.0_order_5</t>
  </si>
  <si>
    <t>2000_0.4_0.5_1000_3.0_order_1</t>
  </si>
  <si>
    <t>2000_0.4_0.5_1000_3.0_order_2</t>
  </si>
  <si>
    <t>2000_0.4_0.5_1000_3.0_order_3</t>
  </si>
  <si>
    <t>2000_0.4_0.5_1000_3.0_order_4</t>
  </si>
  <si>
    <t>2000_0.4_0.5_1000_3.0_order_5</t>
  </si>
  <si>
    <t>4000_0.2_0.5_1000_1.0_order_1</t>
  </si>
  <si>
    <t>4000_0.2_0.5_1000_1.0_order_2</t>
  </si>
  <si>
    <t>4000_0.2_0.5_1000_1.0_order_3</t>
  </si>
  <si>
    <t>4000_0.2_0.5_1000_1.0_order_4</t>
  </si>
  <si>
    <t>4000_0.2_0.5_1000_1.0_order_5</t>
  </si>
  <si>
    <t>4000_0.2_0.5_1000_2.0_order_1</t>
  </si>
  <si>
    <t>4000_0.2_0.5_1000_2.0_order_2</t>
  </si>
  <si>
    <t>4000_0.2_0.5_1000_2.0_order_3</t>
  </si>
  <si>
    <t>4000_0.2_0.5_1000_2.0_order_4</t>
  </si>
  <si>
    <t>4000_0.2_0.5_1000_2.0_order_5</t>
  </si>
  <si>
    <t>4000_0.2_0.5_1000_3.0_order_1</t>
  </si>
  <si>
    <t>4000_0.2_0.5_1000_3.0_order_2</t>
  </si>
  <si>
    <t>4000_0.2_0.5_1000_3.0_order_3</t>
  </si>
  <si>
    <t>4000_0.2_0.5_1000_3.0_order_4</t>
  </si>
  <si>
    <t>4000_0.2_0.5_1000_3.0_order_5</t>
  </si>
  <si>
    <t>4000_0.3_0.5_1000_1.0_order_1</t>
  </si>
  <si>
    <t>4000_0.3_0.5_1000_1.0_order_2</t>
  </si>
  <si>
    <t>4000_0.3_0.5_1000_1.0_order_3</t>
  </si>
  <si>
    <t>4000_0.3_0.5_1000_1.0_order_4</t>
  </si>
  <si>
    <t>4000_0.3_0.5_1000_1.0_order_5</t>
  </si>
  <si>
    <t>4000_0.3_0.5_1000_2.0_order_1</t>
  </si>
  <si>
    <t>4000_0.3_0.5_1000_2.0_order_2</t>
  </si>
  <si>
    <t>4000_0.3_0.5_1000_2.0_order_3</t>
  </si>
  <si>
    <t>4000_0.3_0.5_1000_2.0_order_4</t>
  </si>
  <si>
    <t>4000_0.3_0.5_1000_2.0_order_5</t>
  </si>
  <si>
    <t>4000_0.3_0.5_1000_3.0_order_1</t>
  </si>
  <si>
    <t>4000_0.3_0.5_1000_3.0_order_2</t>
  </si>
  <si>
    <t>4000_0.3_0.5_1000_3.0_order_3</t>
  </si>
  <si>
    <t>4000_0.3_0.5_1000_3.0_order_4</t>
  </si>
  <si>
    <t>4000_0.3_0.5_1000_3.0_order_5</t>
  </si>
  <si>
    <t>4000_0.4_0.5_1000_1.0_order_1</t>
  </si>
  <si>
    <t>4000_0.4_0.5_1000_1.0_order_2</t>
  </si>
  <si>
    <t>4000_0.4_0.5_1000_1.0_order_3</t>
  </si>
  <si>
    <t>4000_0.4_0.5_1000_1.0_order_4</t>
  </si>
  <si>
    <t>4000_0.4_0.5_1000_1.0_order_5</t>
  </si>
  <si>
    <t>4000_0.4_0.5_1000_2.0_order_1</t>
  </si>
  <si>
    <t>4000_0.4_0.5_1000_2.0_order_2</t>
  </si>
  <si>
    <t>4000_0.4_0.5_1000_2.0_order_3</t>
  </si>
  <si>
    <t>4000_0.4_0.5_1000_2.0_order_4</t>
  </si>
  <si>
    <t>4000_0.4_0.5_1000_2.0_order_5</t>
  </si>
  <si>
    <t>4000_0.4_0.5_1000_3.0_order_1</t>
  </si>
  <si>
    <t>4000_0.4_0.5_1000_3.0_order_2</t>
  </si>
  <si>
    <t>4000_0.4_0.5_1000_3.0_order_3</t>
  </si>
  <si>
    <t>4000_0.4_0.5_1000_3.0_order_4</t>
  </si>
  <si>
    <t>4000_0.4_0.5_1000_3.0_order_5</t>
  </si>
  <si>
    <t>8000_0.2_0.5_1000_1.0_order_1</t>
  </si>
  <si>
    <t>8000_0.2_0.5_1000_1.0_order_2</t>
  </si>
  <si>
    <t>8000_0.2_0.5_1000_1.0_order_3</t>
  </si>
  <si>
    <t>8000_0.2_0.5_1000_1.0_order_4</t>
  </si>
  <si>
    <t>8000_0.2_0.5_1000_1.0_order_5</t>
  </si>
  <si>
    <t>8000_0.2_0.5_1000_2.0_order_1</t>
  </si>
  <si>
    <t>8000_0.2_0.5_1000_2.0_order_2</t>
  </si>
  <si>
    <t>8000_0.2_0.5_1000_2.0_order_3</t>
  </si>
  <si>
    <t>8000_0.2_0.5_1000_2.0_order_4</t>
  </si>
  <si>
    <t>8000_0.2_0.5_1000_2.0_order_5</t>
  </si>
  <si>
    <t>8000_0.2_0.5_1000_3.0_order_1</t>
  </si>
  <si>
    <t>8000_0.2_0.5_1000_3.0_order_2</t>
  </si>
  <si>
    <t>8000_0.2_0.5_1000_3.0_order_3</t>
  </si>
  <si>
    <t>8000_0.2_0.5_1000_3.0_order_4</t>
  </si>
  <si>
    <t>8000_0.2_0.5_1000_3.0_order_5</t>
  </si>
  <si>
    <t>8000_0.3_0.5_1000_1.0_order_1</t>
  </si>
  <si>
    <t>8000_0.3_0.5_1000_1.0_order_2</t>
  </si>
  <si>
    <t>8000_0.3_0.5_1000_1.0_order_3</t>
  </si>
  <si>
    <t>8000_0.3_0.5_1000_1.0_order_4</t>
  </si>
  <si>
    <t>8000_0.3_0.5_1000_1.0_order_5</t>
  </si>
  <si>
    <t>8000_0.3_0.5_1000_2.0_order_1</t>
  </si>
  <si>
    <t>8000_0.3_0.5_1000_2.0_order_2</t>
  </si>
  <si>
    <t>8000_0.3_0.5_1000_2.0_order_3</t>
  </si>
  <si>
    <t>8000_0.3_0.5_1000_2.0_order_4</t>
  </si>
  <si>
    <t>8000_0.3_0.5_1000_2.0_order_5</t>
  </si>
  <si>
    <t>8000_0.3_0.5_1000_3.0_order_1</t>
  </si>
  <si>
    <t>8000_0.3_0.5_1000_3.0_order_2</t>
  </si>
  <si>
    <t>8000_0.3_0.5_1000_3.0_order_3</t>
  </si>
  <si>
    <t>8000_0.3_0.5_1000_3.0_order_4</t>
  </si>
  <si>
    <t>8000_0.3_0.5_1000_3.0_order_5</t>
  </si>
  <si>
    <t>8000_0.4_0.5_1000_1.0_order_1</t>
  </si>
  <si>
    <t>8000_0.4_0.5_1000_1.0_order_2</t>
  </si>
  <si>
    <t>8000_0.4_0.5_1000_1.0_order_3</t>
  </si>
  <si>
    <t>8000_0.4_0.5_1000_1.0_order_4</t>
  </si>
  <si>
    <t>8000_0.4_0.5_1000_1.0_order_5</t>
  </si>
  <si>
    <t>8000_0.4_0.5_1000_2.0_order_1</t>
  </si>
  <si>
    <t>8000_0.4_0.5_1000_2.0_order_2</t>
  </si>
  <si>
    <t>8000_0.4_0.5_1000_2.0_order_3</t>
  </si>
  <si>
    <t>8000_0.4_0.5_1000_2.0_order_4</t>
  </si>
  <si>
    <t>8000_0.4_0.5_1000_2.0_order_5</t>
  </si>
  <si>
    <t>8000_0.4_0.5_1000_3.0_order_1</t>
  </si>
  <si>
    <t>8000_0.4_0.5_1000_3.0_order_2</t>
  </si>
  <si>
    <t>8000_0.4_0.5_1000_3.0_order_3</t>
  </si>
  <si>
    <t>8000_0.4_0.5_1000_3.0_order_4</t>
  </si>
  <si>
    <t>8000_0.4_0.5_1000_3.0_order_5</t>
  </si>
  <si>
    <t>deliveryDist0</t>
  </si>
  <si>
    <t>deliveryDist</t>
  </si>
  <si>
    <t>800_0.2_0.5_1000_1.0_order_1</t>
  </si>
  <si>
    <t>800_0.2_0.5_1000_1.0_order_2</t>
  </si>
  <si>
    <t>800_0.2_0.5_1000_1.0_order_3</t>
  </si>
  <si>
    <t>800_0.2_0.5_1000_1.0_order_4</t>
  </si>
  <si>
    <t>800_0.2_0.5_1000_1.0_order_5</t>
  </si>
  <si>
    <t>800_0.2_0.5_1000_2.0_order_1</t>
  </si>
  <si>
    <t>800_0.2_0.5_1000_2.0_order_2</t>
  </si>
  <si>
    <t>800_0.2_0.5_1000_2.0_order_3</t>
  </si>
  <si>
    <t>800_0.2_0.5_1000_2.0_order_4</t>
  </si>
  <si>
    <t>800_0.2_0.5_1000_2.0_order_5</t>
  </si>
  <si>
    <t>800_0.2_0.5_1000_3.0_order_1</t>
  </si>
  <si>
    <t>800_0.2_0.5_1000_3.0_order_2</t>
  </si>
  <si>
    <t>800_0.2_0.5_1000_3.0_order_3</t>
  </si>
  <si>
    <t>800_0.2_0.5_1000_3.0_order_4</t>
  </si>
  <si>
    <t>800_0.2_0.5_1000_3.0_order_5</t>
  </si>
  <si>
    <t>800_0.2_0.5_2000_1.0_order_1</t>
  </si>
  <si>
    <t>800_0.2_0.5_2000_1.0_order_2</t>
  </si>
  <si>
    <t>800_0.2_0.5_2000_1.0_order_3</t>
  </si>
  <si>
    <t>800_0.2_0.5_2000_1.0_order_4</t>
  </si>
  <si>
    <t>800_0.2_0.5_2000_1.0_order_5</t>
  </si>
  <si>
    <t>800_0.2_0.5_2000_2.0_order_1</t>
  </si>
  <si>
    <t>800_0.2_0.5_2000_2.0_order_2</t>
  </si>
  <si>
    <t>800_0.2_0.5_2000_2.0_order_3</t>
  </si>
  <si>
    <t>800_0.2_0.5_2000_2.0_order_4</t>
  </si>
  <si>
    <t>800_0.2_0.5_2000_2.0_order_5</t>
  </si>
  <si>
    <t>800_0.2_0.5_2000_3.0_order_1</t>
  </si>
  <si>
    <t>800_0.2_0.5_2000_3.0_order_2</t>
  </si>
  <si>
    <t>800_0.2_0.5_2000_3.0_order_3</t>
  </si>
  <si>
    <t>800_0.2_0.5_2000_3.0_order_4</t>
  </si>
  <si>
    <t>800_0.2_0.5_2000_3.0_order_5</t>
  </si>
  <si>
    <t>800_0.2_0.5_500_1.0_order_1</t>
  </si>
  <si>
    <t>800_0.2_0.5_500_1.0_order_2</t>
  </si>
  <si>
    <t>800_0.2_0.5_500_1.0_order_3</t>
  </si>
  <si>
    <t>800_0.2_0.5_500_1.0_order_4</t>
  </si>
  <si>
    <t>800_0.2_0.5_500_1.0_order_5</t>
  </si>
  <si>
    <t>800_0.2_0.5_500_2.0_order_1</t>
  </si>
  <si>
    <t>800_0.2_0.5_500_2.0_order_2</t>
  </si>
  <si>
    <t>800_0.2_0.5_500_2.0_order_3</t>
  </si>
  <si>
    <t>800_0.2_0.5_500_2.0_order_4</t>
  </si>
  <si>
    <t>800_0.2_0.5_500_2.0_order_5</t>
  </si>
  <si>
    <t>800_0.2_0.5_500_3.0_order_1</t>
  </si>
  <si>
    <t>800_0.2_0.5_500_3.0_order_2</t>
  </si>
  <si>
    <t>800_0.2_0.5_500_3.0_order_3</t>
  </si>
  <si>
    <t>800_0.2_0.5_500_3.0_order_4</t>
  </si>
  <si>
    <t>800_0.2_0.5_500_3.0_order_5</t>
  </si>
  <si>
    <t>800_0.3_0.5_1000_1.0_order_1</t>
  </si>
  <si>
    <t>800_0.3_0.5_1000_1.0_order_2</t>
  </si>
  <si>
    <t>800_0.3_0.5_1000_1.0_order_3</t>
  </si>
  <si>
    <t>800_0.3_0.5_1000_1.0_order_4</t>
  </si>
  <si>
    <t>800_0.3_0.5_1000_1.0_order_5</t>
  </si>
  <si>
    <t>800_0.3_0.5_1000_2.0_order_1</t>
  </si>
  <si>
    <t>800_0.3_0.5_1000_2.0_order_2</t>
  </si>
  <si>
    <t>800_0.3_0.5_1000_2.0_order_3</t>
  </si>
  <si>
    <t>800_0.3_0.5_1000_2.0_order_4</t>
  </si>
  <si>
    <t>800_0.3_0.5_1000_2.0_order_5</t>
  </si>
  <si>
    <t>800_0.3_0.5_1000_3.0_order_1</t>
  </si>
  <si>
    <t>800_0.3_0.5_1000_3.0_order_2</t>
  </si>
  <si>
    <t>800_0.3_0.5_1000_3.0_order_3</t>
  </si>
  <si>
    <t>800_0.3_0.5_1000_3.0_order_4</t>
  </si>
  <si>
    <t>800_0.3_0.5_1000_3.0_order_5</t>
  </si>
  <si>
    <t>800_0.3_0.5_2000_1.0_order_1</t>
  </si>
  <si>
    <t>800_0.3_0.5_2000_1.0_order_2</t>
  </si>
  <si>
    <t>800_0.3_0.5_2000_1.0_order_3</t>
  </si>
  <si>
    <t>800_0.3_0.5_2000_1.0_order_4</t>
  </si>
  <si>
    <t>800_0.3_0.5_2000_1.0_order_5</t>
  </si>
  <si>
    <t>800_0.3_0.5_2000_2.0_order_1</t>
  </si>
  <si>
    <t>800_0.3_0.5_2000_2.0_order_2</t>
  </si>
  <si>
    <t>800_0.3_0.5_2000_2.0_order_3</t>
  </si>
  <si>
    <t>800_0.3_0.5_2000_2.0_order_4</t>
  </si>
  <si>
    <t>800_0.3_0.5_2000_2.0_order_5</t>
  </si>
  <si>
    <t>800_0.3_0.5_2000_3.0_order_1</t>
  </si>
  <si>
    <t>800_0.3_0.5_2000_3.0_order_2</t>
  </si>
  <si>
    <t>800_0.3_0.5_2000_3.0_order_3</t>
  </si>
  <si>
    <t>800_0.3_0.5_2000_3.0_order_4</t>
  </si>
  <si>
    <t>800_0.3_0.5_2000_3.0_order_5</t>
  </si>
  <si>
    <t>800_0.3_0.5_500_1.0_order_1</t>
  </si>
  <si>
    <t>800_0.3_0.5_500_1.0_order_2</t>
  </si>
  <si>
    <t>800_0.3_0.5_500_1.0_order_3</t>
  </si>
  <si>
    <t>800_0.3_0.5_500_1.0_order_4</t>
  </si>
  <si>
    <t>800_0.3_0.5_500_1.0_order_5</t>
  </si>
  <si>
    <t>800_0.3_0.5_500_2.0_order_1</t>
  </si>
  <si>
    <t>800_0.3_0.5_500_2.0_order_2</t>
  </si>
  <si>
    <t>800_0.3_0.5_500_2.0_order_3</t>
  </si>
  <si>
    <t>800_0.3_0.5_500_2.0_order_4</t>
  </si>
  <si>
    <t>800_0.3_0.5_500_2.0_order_5</t>
  </si>
  <si>
    <t>800_0.3_0.5_500_3.0_order_1</t>
  </si>
  <si>
    <t>800_0.3_0.5_500_3.0_order_2</t>
  </si>
  <si>
    <t>800_0.3_0.5_500_3.0_order_3</t>
  </si>
  <si>
    <t>800_0.3_0.5_500_3.0_order_4</t>
  </si>
  <si>
    <t>800_0.3_0.5_500_3.0_order_5</t>
  </si>
  <si>
    <t>800_0.4_0.5_1000_1.0_order_1</t>
  </si>
  <si>
    <t>800_0.4_0.5_1000_1.0_order_2</t>
  </si>
  <si>
    <t>800_0.4_0.5_1000_1.0_order_3</t>
  </si>
  <si>
    <t>800_0.4_0.5_1000_1.0_order_4</t>
  </si>
  <si>
    <t>800_0.4_0.5_1000_1.0_order_5</t>
  </si>
  <si>
    <t>800_0.4_0.5_1000_2.0_order_1</t>
  </si>
  <si>
    <t>800_0.4_0.5_1000_2.0_order_2</t>
  </si>
  <si>
    <t>800_0.4_0.5_1000_2.0_order_3</t>
  </si>
  <si>
    <t>800_0.4_0.5_1000_2.0_order_4</t>
  </si>
  <si>
    <t>800_0.4_0.5_1000_2.0_order_5</t>
  </si>
  <si>
    <t>800_0.4_0.5_1000_3.0_order_1</t>
  </si>
  <si>
    <t>800_0.4_0.5_1000_3.0_order_2</t>
  </si>
  <si>
    <t>800_0.4_0.5_1000_3.0_order_3</t>
  </si>
  <si>
    <t>800_0.4_0.5_1000_3.0_order_4</t>
  </si>
  <si>
    <t>800_0.4_0.5_1000_3.0_order_5</t>
  </si>
  <si>
    <t>800_0.4_0.5_2000_1.0_order_1</t>
  </si>
  <si>
    <t>800_0.4_0.5_2000_1.0_order_2</t>
  </si>
  <si>
    <t>800_0.4_0.5_2000_1.0_order_3</t>
  </si>
  <si>
    <t>800_0.4_0.5_2000_1.0_order_4</t>
  </si>
  <si>
    <t>800_0.4_0.5_2000_1.0_order_5</t>
  </si>
  <si>
    <t>800_0.4_0.5_2000_2.0_order_1</t>
  </si>
  <si>
    <t>800_0.4_0.5_2000_2.0_order_2</t>
  </si>
  <si>
    <t>800_0.4_0.5_2000_2.0_order_3</t>
  </si>
  <si>
    <t>800_0.4_0.5_2000_2.0_order_4</t>
  </si>
  <si>
    <t>800_0.4_0.5_2000_2.0_order_5</t>
  </si>
  <si>
    <t>800_0.4_0.5_2000_3.0_order_1</t>
  </si>
  <si>
    <t>800_0.4_0.5_2000_3.0_order_2</t>
  </si>
  <si>
    <t>800_0.4_0.5_2000_3.0_order_3</t>
  </si>
  <si>
    <t>800_0.4_0.5_2000_3.0_order_4</t>
  </si>
  <si>
    <t>800_0.4_0.5_2000_3.0_order_5</t>
  </si>
  <si>
    <t>800_0.4_0.5_500_1.0_order_1</t>
  </si>
  <si>
    <t>800_0.4_0.5_500_1.0_order_2</t>
  </si>
  <si>
    <t>800_0.4_0.5_500_1.0_order_3</t>
  </si>
  <si>
    <t>800_0.4_0.5_500_1.0_order_4</t>
  </si>
  <si>
    <t>800_0.4_0.5_500_1.0_order_5</t>
  </si>
  <si>
    <t>800_0.4_0.5_500_2.0_order_1</t>
  </si>
  <si>
    <t>800_0.4_0.5_500_2.0_order_2</t>
  </si>
  <si>
    <t>800_0.4_0.5_500_2.0_order_3</t>
  </si>
  <si>
    <t>800_0.4_0.5_500_2.0_order_4</t>
  </si>
  <si>
    <t>800_0.4_0.5_500_2.0_order_5</t>
  </si>
  <si>
    <t>800_0.4_0.5_500_3.0_order_1</t>
  </si>
  <si>
    <t>800_0.4_0.5_500_3.0_order_2</t>
  </si>
  <si>
    <t>800_0.4_0.5_500_3.0_order_3</t>
  </si>
  <si>
    <t>800_0.4_0.5_500_3.0_order_4</t>
  </si>
  <si>
    <t>800_0.4_0.5_500_3.0_order_5</t>
  </si>
  <si>
    <t>2000_0.2_0.5_2000_1.0_order_1</t>
  </si>
  <si>
    <t>2000_0.2_0.5_2000_1.0_order_2</t>
  </si>
  <si>
    <t>2000_0.2_0.5_2000_1.0_order_3</t>
  </si>
  <si>
    <t>2000_0.2_0.5_2000_1.0_order_4</t>
  </si>
  <si>
    <t>2000_0.2_0.5_2000_1.0_order_5</t>
  </si>
  <si>
    <t>2000_0.2_0.5_2000_2.0_order_1</t>
  </si>
  <si>
    <t>2000_0.2_0.5_2000_2.0_order_2</t>
  </si>
  <si>
    <t>2000_0.2_0.5_2000_2.0_order_3</t>
  </si>
  <si>
    <t>2000_0.2_0.5_2000_2.0_order_4</t>
  </si>
  <si>
    <t>2000_0.2_0.5_2000_2.0_order_5</t>
  </si>
  <si>
    <t>2000_0.2_0.5_2000_3.0_order_1</t>
  </si>
  <si>
    <t>2000_0.2_0.5_2000_3.0_order_2</t>
  </si>
  <si>
    <t>2000_0.2_0.5_2000_3.0_order_3</t>
  </si>
  <si>
    <t>2000_0.2_0.5_2000_3.0_order_4</t>
  </si>
  <si>
    <t>2000_0.2_0.5_2000_3.0_order_5</t>
  </si>
  <si>
    <t>2000_0.2_0.5_500_1.0_order_1</t>
  </si>
  <si>
    <t>2000_0.2_0.5_500_1.0_order_2</t>
  </si>
  <si>
    <t>2000_0.2_0.5_500_1.0_order_3</t>
  </si>
  <si>
    <t>2000_0.2_0.5_500_1.0_order_4</t>
  </si>
  <si>
    <t>2000_0.2_0.5_500_1.0_order_5</t>
  </si>
  <si>
    <t>2000_0.2_0.5_500_2.0_order_1</t>
  </si>
  <si>
    <t>2000_0.2_0.5_500_2.0_order_2</t>
  </si>
  <si>
    <t>2000_0.2_0.5_500_2.0_order_3</t>
  </si>
  <si>
    <t>2000_0.2_0.5_500_2.0_order_4</t>
  </si>
  <si>
    <t>2000_0.2_0.5_500_2.0_order_5</t>
  </si>
  <si>
    <t>2000_0.2_0.5_500_3.0_order_1</t>
  </si>
  <si>
    <t>2000_0.2_0.5_500_3.0_order_2</t>
  </si>
  <si>
    <t>2000_0.2_0.5_500_3.0_order_3</t>
  </si>
  <si>
    <t>2000_0.2_0.5_500_3.0_order_4</t>
  </si>
  <si>
    <t>2000_0.2_0.5_500_3.0_order_5</t>
  </si>
  <si>
    <t>2000_0.3_0.5_2000_1.0_order_1</t>
  </si>
  <si>
    <t>2000_0.3_0.5_2000_1.0_order_2</t>
  </si>
  <si>
    <t>2000_0.3_0.5_2000_1.0_order_3</t>
  </si>
  <si>
    <t>2000_0.3_0.5_2000_1.0_order_4</t>
  </si>
  <si>
    <t>2000_0.3_0.5_2000_1.0_order_5</t>
  </si>
  <si>
    <t>2000_0.3_0.5_2000_2.0_order_1</t>
  </si>
  <si>
    <t>2000_0.3_0.5_2000_2.0_order_2</t>
  </si>
  <si>
    <t>2000_0.3_0.5_2000_2.0_order_3</t>
  </si>
  <si>
    <t>2000_0.3_0.5_2000_2.0_order_4</t>
  </si>
  <si>
    <t>2000_0.3_0.5_2000_2.0_order_5</t>
  </si>
  <si>
    <t>2000_0.3_0.5_2000_3.0_order_1</t>
  </si>
  <si>
    <t>2000_0.3_0.5_2000_3.0_order_2</t>
  </si>
  <si>
    <t>2000_0.3_0.5_2000_3.0_order_3</t>
  </si>
  <si>
    <t>2000_0.3_0.5_2000_3.0_order_4</t>
  </si>
  <si>
    <t>2000_0.3_0.5_2000_3.0_order_5</t>
  </si>
  <si>
    <t>2000_0.3_0.5_500_1.0_order_1</t>
  </si>
  <si>
    <t>2000_0.3_0.5_500_1.0_order_2</t>
  </si>
  <si>
    <t>2000_0.3_0.5_500_1.0_order_3</t>
  </si>
  <si>
    <t>2000_0.3_0.5_500_1.0_order_4</t>
  </si>
  <si>
    <t>2000_0.3_0.5_500_1.0_order_5</t>
  </si>
  <si>
    <t>2000_0.3_0.5_500_2.0_order_1</t>
  </si>
  <si>
    <t>2000_0.3_0.5_500_2.0_order_2</t>
  </si>
  <si>
    <t>2000_0.3_0.5_500_2.0_order_3</t>
  </si>
  <si>
    <t>2000_0.3_0.5_500_2.0_order_4</t>
  </si>
  <si>
    <t>2000_0.3_0.5_500_2.0_order_5</t>
  </si>
  <si>
    <t>2000_0.3_0.5_500_3.0_order_1</t>
  </si>
  <si>
    <t>2000_0.3_0.5_500_3.0_order_2</t>
  </si>
  <si>
    <t>2000_0.3_0.5_500_3.0_order_3</t>
  </si>
  <si>
    <t>2000_0.3_0.5_500_3.0_order_4</t>
  </si>
  <si>
    <t>2000_0.3_0.5_500_3.0_order_5</t>
  </si>
  <si>
    <t>2000_0.4_0.5_2000_1.0_order_1</t>
  </si>
  <si>
    <t>2000_0.4_0.5_2000_1.0_order_2</t>
  </si>
  <si>
    <t>2000_0.4_0.5_2000_1.0_order_3</t>
  </si>
  <si>
    <t>2000_0.4_0.5_2000_1.0_order_4</t>
  </si>
  <si>
    <t>2000_0.4_0.5_2000_1.0_order_5</t>
  </si>
  <si>
    <t>2000_0.4_0.5_2000_2.0_order_1</t>
  </si>
  <si>
    <t>2000_0.4_0.5_2000_2.0_order_2</t>
  </si>
  <si>
    <t>2000_0.4_0.5_2000_2.0_order_3</t>
  </si>
  <si>
    <t>2000_0.4_0.5_2000_2.0_order_4</t>
  </si>
  <si>
    <t>2000_0.4_0.5_2000_2.0_order_5</t>
  </si>
  <si>
    <t>2000_0.4_0.5_2000_3.0_order_1</t>
  </si>
  <si>
    <t>2000_0.4_0.5_2000_3.0_order_2</t>
  </si>
  <si>
    <t>2000_0.4_0.5_2000_3.0_order_3</t>
  </si>
  <si>
    <t>2000_0.4_0.5_2000_3.0_order_4</t>
  </si>
  <si>
    <t>2000_0.4_0.5_2000_3.0_order_5</t>
  </si>
  <si>
    <t>2000_0.4_0.5_500_1.0_order_1</t>
  </si>
  <si>
    <t>2000_0.4_0.5_500_1.0_order_2</t>
  </si>
  <si>
    <t>2000_0.4_0.5_500_1.0_order_3</t>
  </si>
  <si>
    <t>2000_0.4_0.5_500_1.0_order_4</t>
  </si>
  <si>
    <t>2000_0.4_0.5_500_1.0_order_5</t>
  </si>
  <si>
    <t>2000_0.4_0.5_500_2.0_order_1</t>
  </si>
  <si>
    <t>2000_0.4_0.5_500_2.0_order_2</t>
  </si>
  <si>
    <t>2000_0.4_0.5_500_2.0_order_3</t>
  </si>
  <si>
    <t>2000_0.4_0.5_500_2.0_order_4</t>
  </si>
  <si>
    <t>2000_0.4_0.5_500_2.0_order_5</t>
  </si>
  <si>
    <t>2000_0.4_0.5_500_3.0_order_1</t>
  </si>
  <si>
    <t>2000_0.4_0.5_500_3.0_order_2</t>
  </si>
  <si>
    <t>2000_0.4_0.5_500_3.0_order_3</t>
  </si>
  <si>
    <t>2000_0.4_0.5_500_3.0_order_4</t>
  </si>
  <si>
    <t>2000_0.4_0.5_500_3.0_order_5</t>
  </si>
  <si>
    <t>4000_0.2_0.5_2000_1.0_order_1</t>
  </si>
  <si>
    <t>4000_0.2_0.5_2000_1.0_order_2</t>
  </si>
  <si>
    <t>4000_0.2_0.5_2000_1.0_order_3</t>
  </si>
  <si>
    <t>4000_0.2_0.5_2000_1.0_order_4</t>
  </si>
  <si>
    <t>4000_0.2_0.5_2000_1.0_order_5</t>
  </si>
  <si>
    <t>4000_0.2_0.5_2000_2.0_order_1</t>
  </si>
  <si>
    <t>4000_0.2_0.5_2000_2.0_order_2</t>
  </si>
  <si>
    <t>4000_0.2_0.5_2000_2.0_order_3</t>
  </si>
  <si>
    <t>4000_0.2_0.5_2000_2.0_order_4</t>
  </si>
  <si>
    <t>4000_0.2_0.5_2000_2.0_order_5</t>
  </si>
  <si>
    <t>4000_0.2_0.5_2000_3.0_order_1</t>
  </si>
  <si>
    <t>4000_0.2_0.5_2000_3.0_order_2</t>
  </si>
  <si>
    <t>4000_0.2_0.5_2000_3.0_order_3</t>
  </si>
  <si>
    <t>4000_0.2_0.5_2000_3.0_order_4</t>
  </si>
  <si>
    <t>4000_0.2_0.5_2000_3.0_order_5</t>
  </si>
  <si>
    <t>4000_0.2_0.5_500_1.0_order_1</t>
  </si>
  <si>
    <t>4000_0.2_0.5_500_1.0_order_2</t>
  </si>
  <si>
    <t>4000_0.2_0.5_500_1.0_order_3</t>
  </si>
  <si>
    <t>4000_0.2_0.5_500_1.0_order_4</t>
  </si>
  <si>
    <t>4000_0.2_0.5_500_1.0_order_5</t>
  </si>
  <si>
    <t>4000_0.2_0.5_500_2.0_order_1</t>
  </si>
  <si>
    <t>4000_0.2_0.5_500_2.0_order_2</t>
  </si>
  <si>
    <t>4000_0.2_0.5_500_2.0_order_3</t>
  </si>
  <si>
    <t>4000_0.2_0.5_500_2.0_order_4</t>
  </si>
  <si>
    <t>4000_0.2_0.5_500_2.0_order_5</t>
  </si>
  <si>
    <t>4000_0.2_0.5_500_3.0_order_1</t>
  </si>
  <si>
    <t>4000_0.2_0.5_500_3.0_order_2</t>
  </si>
  <si>
    <t>4000_0.2_0.5_500_3.0_order_3</t>
  </si>
  <si>
    <t>4000_0.2_0.5_500_3.0_order_4</t>
  </si>
  <si>
    <t>4000_0.2_0.5_500_3.0_order_5</t>
  </si>
  <si>
    <t>4000_0.3_0.5_2000_1.0_order_1</t>
  </si>
  <si>
    <t>4000_0.3_0.5_2000_1.0_order_2</t>
  </si>
  <si>
    <t>4000_0.3_0.5_2000_1.0_order_3</t>
  </si>
  <si>
    <t>4000_0.3_0.5_2000_1.0_order_4</t>
  </si>
  <si>
    <t>4000_0.3_0.5_2000_1.0_order_5</t>
  </si>
  <si>
    <t>4000_0.3_0.5_2000_2.0_order_1</t>
  </si>
  <si>
    <t>4000_0.3_0.5_2000_2.0_order_2</t>
  </si>
  <si>
    <t>4000_0.3_0.5_2000_2.0_order_3</t>
  </si>
  <si>
    <t>4000_0.3_0.5_2000_2.0_order_4</t>
  </si>
  <si>
    <t>4000_0.3_0.5_2000_2.0_order_5</t>
  </si>
  <si>
    <t>4000_0.3_0.5_2000_3.0_order_1</t>
  </si>
  <si>
    <t>4000_0.3_0.5_2000_3.0_order_2</t>
  </si>
  <si>
    <t>4000_0.3_0.5_2000_3.0_order_3</t>
  </si>
  <si>
    <t>4000_0.3_0.5_2000_3.0_order_4</t>
  </si>
  <si>
    <t>4000_0.3_0.5_2000_3.0_order_5</t>
  </si>
  <si>
    <t>4000_0.3_0.5_500_1.0_order_1</t>
  </si>
  <si>
    <t>4000_0.3_0.5_500_1.0_order_2</t>
  </si>
  <si>
    <t>4000_0.3_0.5_500_1.0_order_3</t>
  </si>
  <si>
    <t>4000_0.3_0.5_500_1.0_order_4</t>
  </si>
  <si>
    <t>4000_0.3_0.5_500_1.0_order_5</t>
  </si>
  <si>
    <t>4000_0.3_0.5_500_2.0_order_1</t>
  </si>
  <si>
    <t>4000_0.3_0.5_500_2.0_order_2</t>
  </si>
  <si>
    <t>4000_0.3_0.5_500_2.0_order_3</t>
  </si>
  <si>
    <t>4000_0.3_0.5_500_2.0_order_4</t>
  </si>
  <si>
    <t>4000_0.3_0.5_500_2.0_order_5</t>
  </si>
  <si>
    <t>4000_0.3_0.5_500_3.0_order_1</t>
  </si>
  <si>
    <t>4000_0.3_0.5_500_3.0_order_2</t>
  </si>
  <si>
    <t>4000_0.3_0.5_500_3.0_order_3</t>
  </si>
  <si>
    <t>4000_0.3_0.5_500_3.0_order_4</t>
  </si>
  <si>
    <t>4000_0.3_0.5_500_3.0_order_5</t>
  </si>
  <si>
    <t>4000_0.4_0.5_2000_1.0_order_1</t>
  </si>
  <si>
    <t>4000_0.4_0.5_2000_1.0_order_2</t>
  </si>
  <si>
    <t>4000_0.4_0.5_2000_1.0_order_3</t>
  </si>
  <si>
    <t>4000_0.4_0.5_2000_1.0_order_4</t>
  </si>
  <si>
    <t>4000_0.4_0.5_2000_1.0_order_5</t>
  </si>
  <si>
    <t>4000_0.4_0.5_2000_2.0_order_1</t>
  </si>
  <si>
    <t>4000_0.4_0.5_2000_2.0_order_2</t>
  </si>
  <si>
    <t>4000_0.4_0.5_2000_2.0_order_3</t>
  </si>
  <si>
    <t>4000_0.4_0.5_2000_2.0_order_4</t>
  </si>
  <si>
    <t>4000_0.4_0.5_2000_2.0_order_5</t>
  </si>
  <si>
    <t>4000_0.4_0.5_2000_3.0_order_1</t>
  </si>
  <si>
    <t>4000_0.4_0.5_2000_3.0_order_2</t>
  </si>
  <si>
    <t>4000_0.4_0.5_2000_3.0_order_3</t>
  </si>
  <si>
    <t>4000_0.4_0.5_2000_3.0_order_4</t>
  </si>
  <si>
    <t>4000_0.4_0.5_2000_3.0_order_5</t>
  </si>
  <si>
    <t>4000_0.4_0.5_500_1.0_order_1</t>
  </si>
  <si>
    <t>4000_0.4_0.5_500_1.0_order_2</t>
  </si>
  <si>
    <t>4000_0.4_0.5_500_1.0_order_3</t>
  </si>
  <si>
    <t>4000_0.4_0.5_500_1.0_order_4</t>
  </si>
  <si>
    <t>4000_0.4_0.5_500_1.0_order_5</t>
  </si>
  <si>
    <t>4000_0.4_0.5_500_2.0_order_1</t>
  </si>
  <si>
    <t>4000_0.4_0.5_500_2.0_order_2</t>
  </si>
  <si>
    <t>4000_0.4_0.5_500_2.0_order_3</t>
  </si>
  <si>
    <t>4000_0.4_0.5_500_2.0_order_4</t>
  </si>
  <si>
    <t>4000_0.4_0.5_500_2.0_order_5</t>
  </si>
  <si>
    <t>4000_0.4_0.5_500_3.0_order_1</t>
  </si>
  <si>
    <t>4000_0.4_0.5_500_3.0_order_2</t>
  </si>
  <si>
    <t>4000_0.4_0.5_500_3.0_order_3</t>
  </si>
  <si>
    <t>4000_0.4_0.5_500_3.0_order_4</t>
  </si>
  <si>
    <t>4000_0.4_0.5_500_3.0_order_5</t>
  </si>
  <si>
    <t>8000_0.2_0.5_2000_1.0_order_1</t>
  </si>
  <si>
    <t>8000_0.2_0.5_2000_1.0_order_2</t>
  </si>
  <si>
    <t>8000_0.2_0.5_2000_1.0_order_3</t>
  </si>
  <si>
    <t>8000_0.2_0.5_2000_1.0_order_4</t>
  </si>
  <si>
    <t>8000_0.2_0.5_2000_1.0_order_5</t>
  </si>
  <si>
    <t>8000_0.2_0.5_2000_2.0_order_1</t>
  </si>
  <si>
    <t>8000_0.2_0.5_2000_2.0_order_2</t>
  </si>
  <si>
    <t>8000_0.2_0.5_2000_2.0_order_3</t>
  </si>
  <si>
    <t>8000_0.2_0.5_2000_2.0_order_4</t>
  </si>
  <si>
    <t>8000_0.2_0.5_2000_2.0_order_5</t>
  </si>
  <si>
    <t>8000_0.2_0.5_2000_3.0_order_1</t>
  </si>
  <si>
    <t>8000_0.2_0.5_2000_3.0_order_2</t>
  </si>
  <si>
    <t>8000_0.2_0.5_2000_3.0_order_3</t>
  </si>
  <si>
    <t>8000_0.2_0.5_2000_3.0_order_4</t>
  </si>
  <si>
    <t>8000_0.2_0.5_2000_3.0_order_5</t>
  </si>
  <si>
    <t>8000_0.2_0.5_500_1.0_order_1</t>
  </si>
  <si>
    <t>8000_0.2_0.5_500_1.0_order_2</t>
  </si>
  <si>
    <t>8000_0.2_0.5_500_1.0_order_3</t>
  </si>
  <si>
    <t>8000_0.2_0.5_500_1.0_order_4</t>
  </si>
  <si>
    <t>8000_0.2_0.5_500_1.0_order_5</t>
  </si>
  <si>
    <t>8000_0.2_0.5_500_2.0_order_1</t>
  </si>
  <si>
    <t>8000_0.2_0.5_500_2.0_order_2</t>
  </si>
  <si>
    <t>8000_0.2_0.5_500_2.0_order_3</t>
  </si>
  <si>
    <t>8000_0.2_0.5_500_2.0_order_4</t>
  </si>
  <si>
    <t>8000_0.2_0.5_500_2.0_order_5</t>
  </si>
  <si>
    <t>8000_0.2_0.5_500_3.0_order_1</t>
  </si>
  <si>
    <t>8000_0.2_0.5_500_3.0_order_2</t>
  </si>
  <si>
    <t>8000_0.2_0.5_500_3.0_order_3</t>
  </si>
  <si>
    <t>8000_0.2_0.5_500_3.0_order_4</t>
  </si>
  <si>
    <t>8000_0.2_0.5_500_3.0_order_5</t>
  </si>
  <si>
    <t>8000_0.3_0.5_2000_1.0_order_1</t>
  </si>
  <si>
    <t>8000_0.3_0.5_2000_1.0_order_2</t>
  </si>
  <si>
    <t>8000_0.3_0.5_2000_1.0_order_3</t>
  </si>
  <si>
    <t>8000_0.3_0.5_2000_1.0_order_4</t>
  </si>
  <si>
    <t>8000_0.3_0.5_2000_1.0_order_5</t>
  </si>
  <si>
    <t>8000_0.3_0.5_2000_2.0_order_1</t>
  </si>
  <si>
    <t>8000_0.3_0.5_2000_2.0_order_2</t>
  </si>
  <si>
    <t>8000_0.3_0.5_2000_2.0_order_3</t>
  </si>
  <si>
    <t>8000_0.3_0.5_2000_2.0_order_4</t>
  </si>
  <si>
    <t>8000_0.3_0.5_2000_2.0_order_5</t>
  </si>
  <si>
    <t>8000_0.3_0.5_2000_3.0_order_1</t>
  </si>
  <si>
    <t>8000_0.3_0.5_2000_3.0_order_2</t>
  </si>
  <si>
    <t>8000_0.3_0.5_2000_3.0_order_3</t>
  </si>
  <si>
    <t>8000_0.3_0.5_2000_3.0_order_4</t>
  </si>
  <si>
    <t>8000_0.3_0.5_2000_3.0_order_5</t>
  </si>
  <si>
    <t>8000_0.3_0.5_500_1.0_order_1</t>
  </si>
  <si>
    <t>8000_0.3_0.5_500_1.0_order_2</t>
  </si>
  <si>
    <t>8000_0.3_0.5_500_1.0_order_3</t>
  </si>
  <si>
    <t>8000_0.3_0.5_500_1.0_order_4</t>
  </si>
  <si>
    <t>8000_0.3_0.5_500_1.0_order_5</t>
  </si>
  <si>
    <t>8000_0.3_0.5_500_2.0_order_1</t>
  </si>
  <si>
    <t>8000_0.3_0.5_500_2.0_order_2</t>
  </si>
  <si>
    <t>8000_0.3_0.5_500_2.0_order_3</t>
  </si>
  <si>
    <t>8000_0.3_0.5_500_2.0_order_4</t>
  </si>
  <si>
    <t>8000_0.3_0.5_500_2.0_order_5</t>
  </si>
  <si>
    <t>8000_0.3_0.5_500_3.0_order_1</t>
  </si>
  <si>
    <t>8000_0.3_0.5_500_3.0_order_2</t>
  </si>
  <si>
    <t>8000_0.3_0.5_500_3.0_order_3</t>
  </si>
  <si>
    <t>8000_0.3_0.5_500_3.0_order_4</t>
  </si>
  <si>
    <t>8000_0.3_0.5_500_3.0_order_5</t>
  </si>
  <si>
    <t>8000_0.4_0.5_2000_1.0_order_1</t>
  </si>
  <si>
    <t>8000_0.4_0.5_2000_1.0_order_2</t>
  </si>
  <si>
    <t>8000_0.4_0.5_2000_1.0_order_3</t>
  </si>
  <si>
    <t>8000_0.4_0.5_2000_1.0_order_4</t>
  </si>
  <si>
    <t>8000_0.4_0.5_2000_1.0_order_5</t>
  </si>
  <si>
    <t>8000_0.4_0.5_2000_2.0_order_1</t>
  </si>
  <si>
    <t>8000_0.4_0.5_2000_2.0_order_2</t>
  </si>
  <si>
    <t>8000_0.4_0.5_2000_2.0_order_3</t>
  </si>
  <si>
    <t>8000_0.4_0.5_2000_2.0_order_4</t>
  </si>
  <si>
    <t>8000_0.4_0.5_2000_2.0_order_5</t>
  </si>
  <si>
    <t>8000_0.4_0.5_2000_3.0_order_1</t>
  </si>
  <si>
    <t>8000_0.4_0.5_2000_3.0_order_2</t>
  </si>
  <si>
    <t>8000_0.4_0.5_2000_3.0_order_3</t>
  </si>
  <si>
    <t>8000_0.4_0.5_2000_3.0_order_4</t>
  </si>
  <si>
    <t>8000_0.4_0.5_2000_3.0_order_5</t>
  </si>
  <si>
    <t>8000_0.4_0.5_500_1.0_order_1</t>
  </si>
  <si>
    <t>8000_0.4_0.5_500_1.0_order_2</t>
  </si>
  <si>
    <t>8000_0.4_0.5_500_1.0_order_3</t>
  </si>
  <si>
    <t>8000_0.4_0.5_500_1.0_order_4</t>
  </si>
  <si>
    <t>8000_0.4_0.5_500_1.0_order_5</t>
  </si>
  <si>
    <t>8000_0.4_0.5_500_2.0_order_1</t>
  </si>
  <si>
    <t>8000_0.4_0.5_500_2.0_order_2</t>
  </si>
  <si>
    <t>8000_0.4_0.5_500_2.0_order_3</t>
  </si>
  <si>
    <t>8000_0.4_0.5_500_2.0_order_4</t>
  </si>
  <si>
    <t>8000_0.4_0.5_500_2.0_order_5</t>
  </si>
  <si>
    <t>8000_0.4_0.5_500_3.0_order_1</t>
  </si>
  <si>
    <t>8000_0.4_0.5_500_3.0_order_2</t>
  </si>
  <si>
    <t>8000_0.4_0.5_500_3.0_order_3</t>
  </si>
  <si>
    <t>8000_0.4_0.5_500_3.0_order_4</t>
  </si>
  <si>
    <t>8000_0.4_0.5_500_3.0_order_5</t>
  </si>
  <si>
    <t>All</t>
  </si>
  <si>
    <t>#insts</t>
  </si>
  <si>
    <t>Algo</t>
  </si>
  <si>
    <t>Algo-NoRestart</t>
  </si>
  <si>
    <t>Algo-NoBuffers</t>
  </si>
  <si>
    <t>Algo-NoVnd</t>
  </si>
  <si>
    <t>pickingDist</t>
  </si>
  <si>
    <t>improvement1(%)</t>
  </si>
  <si>
    <t>improvement(%)</t>
  </si>
  <si>
    <t>time1(s)</t>
  </si>
  <si>
    <t>time(s)</t>
  </si>
  <si>
    <t>|L|</t>
  </si>
  <si>
    <t>oldPickingDist</t>
  </si>
  <si>
    <t>Benchmark 1</t>
  </si>
  <si>
    <t>Benchmark 2</t>
  </si>
  <si>
    <t>improve1(%)</t>
  </si>
  <si>
    <t>improve(%)</t>
  </si>
  <si>
    <t>totalDist1(independent)</t>
  </si>
  <si>
    <t>totalDist2(sucessive)</t>
  </si>
  <si>
    <t>totalDist1_cumul</t>
  </si>
  <si>
    <t>totalDist2-cumul</t>
  </si>
  <si>
    <t>improvement2 %</t>
  </si>
  <si>
    <t>improvement1 %</t>
  </si>
  <si>
    <t>NoBuffers</t>
  </si>
  <si>
    <t>relocNum</t>
  </si>
  <si>
    <t>maxRelocNum</t>
  </si>
  <si>
    <t>Benchmark1</t>
  </si>
  <si>
    <t>orderScale</t>
  </si>
  <si>
    <t>pickDist0</t>
  </si>
  <si>
    <t>pickDist</t>
  </si>
  <si>
    <t>intraUnitDist</t>
  </si>
  <si>
    <t>interUnitDist1</t>
  </si>
  <si>
    <t>relocDist1</t>
  </si>
  <si>
    <t>interUnitDist2</t>
  </si>
  <si>
    <t>relocDist2</t>
  </si>
  <si>
    <t>twoStage</t>
  </si>
  <si>
    <t>improve2(%)</t>
  </si>
  <si>
    <t>RelocNum</t>
  </si>
  <si>
    <t>Benchmark2</t>
  </si>
  <si>
    <t>行标签</t>
  </si>
  <si>
    <t>总计</t>
  </si>
  <si>
    <t>平均值项:pickDist0</t>
  </si>
  <si>
    <t>relocationDist</t>
  </si>
  <si>
    <t>平均值项:totalDist</t>
  </si>
  <si>
    <t>平均值项:pickDist</t>
  </si>
  <si>
    <t>平均值项:relocDist2</t>
  </si>
  <si>
    <t>平均值项:improve1(%)</t>
  </si>
  <si>
    <t>平均值项:improve(%)</t>
  </si>
  <si>
    <t>平均值项:timeCost</t>
  </si>
  <si>
    <t>计数项:inst</t>
  </si>
  <si>
    <t>平均值项:timeCost1</t>
  </si>
  <si>
    <t>locNum</t>
    <phoneticPr fontId="4" type="noConversion"/>
  </si>
  <si>
    <t>better%</t>
  </si>
  <si>
    <t>Results of independent reslotting per period</t>
  </si>
  <si>
    <t>Results of periodic reslotting</t>
  </si>
  <si>
    <t>pickDist0_cumul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</si>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</sst>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Noto Sans SC"/>
      <family val="2"/>
      <charset val="134"/>
    </font>
    <font>
      <sz val="11"/>
      <color rgb="FF9C5700"/>
      <name val="Noto Sans SC"/>
      <family val="2"/>
      <charset val="134"/>
    </font>
    <font>
      <sz val="11"/>
      <color theme="0"/>
      <name val="Noto Sans SC"/>
      <family val="2"/>
      <charset val="134"/>
    </font>
    <font>
      <sz val="11"/>
      <color rgb="FF9C5700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/>
    <xf numFmtId="0" fontId="0" fillId="0" borderId="2" xfId="0" applyBorder="1"/>
    <xf numFmtId="2" fontId="0" fillId="0" borderId="2" xfId="0" applyNumberFormat="1" applyBorder="1"/>
    <xf numFmtId="0" fontId="0" fillId="0" borderId="1" xfId="0" applyBorder="1"/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3" borderId="0" xfId="2" applyFont="1" applyAlignment="1">
      <alignment vertical="center"/>
    </xf>
    <xf numFmtId="0" fontId="5" fillId="3" borderId="0" xfId="2" applyFont="1" applyBorder="1" applyAlignment="1">
      <alignment vertical="center"/>
    </xf>
    <xf numFmtId="0" fontId="6" fillId="2" borderId="0" xfId="1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" fontId="0" fillId="0" borderId="0" xfId="0" applyNumberFormat="1"/>
    <xf numFmtId="2" fontId="0" fillId="0" borderId="0" xfId="0" applyNumberForma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3">
    <cellStyle name="常规" xfId="0" builtinId="0"/>
    <cellStyle name="好" xfId="1" builtinId="26"/>
    <cellStyle name="适中" xfId="2" builtinId="28"/>
  </cellStyles>
  <dxfs count="38"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ng LIU" refreshedDate="46056.876387962962" createdVersion="7" refreshedVersion="7" minRefreshableVersion="3" recordCount="541" xr:uid="{2F8720F2-D54D-499F-AAA4-FB0183415120}">
  <cacheSource type="worksheet">
    <worksheetSource ref="A1:AA1048576" sheet="comparison with three variants"/>
  </cacheSource>
  <cacheFields count="27">
    <cacheField name="inst" numFmtId="0">
      <sharedItems containsBlank="1"/>
    </cacheField>
    <cacheField name="nLocs" numFmtId="0">
      <sharedItems containsString="0" containsBlank="1" containsNumber="1" containsInteger="1" minValue="2000" maxValue="8000" count="4">
        <n v="2000"/>
        <n v="4000"/>
        <n v="8000"/>
        <m/>
      </sharedItems>
    </cacheField>
    <cacheField name="ratioEmptyLocs" numFmtId="0">
      <sharedItems containsString="0" containsBlank="1" containsNumber="1" minValue="0.2" maxValue="0.4"/>
    </cacheField>
    <cacheField name="ratioRepOrders" numFmtId="0">
      <sharedItems containsString="0" containsBlank="1" containsNumber="1" minValue="0.5" maxValue="0.5"/>
    </cacheField>
    <cacheField name="nOrders" numFmtId="0">
      <sharedItems containsString="0" containsBlank="1" containsNumber="1" containsInteger="1" minValue="1000" maxValue="1000"/>
    </cacheField>
    <cacheField name="orderScale" numFmtId="0">
      <sharedItems containsString="0" containsBlank="1" containsNumber="1" containsInteger="1" minValue="1" maxValue="3"/>
    </cacheField>
    <cacheField name="rndID" numFmtId="0">
      <sharedItems containsString="0" containsBlank="1" containsNumber="1" containsInteger="1" minValue="1" maxValue="5"/>
    </cacheField>
    <cacheField name="algo" numFmtId="0">
      <sharedItems containsBlank="1" count="5">
        <s v="twoStage"/>
        <s v="NoVnd"/>
        <s v="NoBuffers"/>
        <s v="NoRestart"/>
        <m/>
      </sharedItems>
    </cacheField>
    <cacheField name="pickDist0" numFmtId="0">
      <sharedItems containsString="0" containsBlank="1" containsNumber="1" minValue="143148.20000000001" maxValue="601966.4"/>
    </cacheField>
    <cacheField name="deliveryDist0" numFmtId="0">
      <sharedItems containsString="0" containsBlank="1" containsNumber="1" minValue="56871.8" maxValue="229321.60000000001"/>
    </cacheField>
    <cacheField name="replenishDist0" numFmtId="0">
      <sharedItems containsString="0" containsBlank="1" containsNumber="1" minValue="83875" maxValue="379076.4"/>
    </cacheField>
    <cacheField name="maxRelocNum" numFmtId="0">
      <sharedItems containsString="0" containsBlank="1" containsNumber="1" containsInteger="1" minValue="600" maxValue="2400"/>
    </cacheField>
    <cacheField name="timeCost1" numFmtId="0">
      <sharedItems containsString="0" containsBlank="1" containsNumber="1" minValue="600" maxValue="604.6"/>
    </cacheField>
    <cacheField name="deliveryDist" numFmtId="0">
      <sharedItems containsString="0" containsBlank="1" containsNumber="1" minValue="32000.5" maxValue="132415.6"/>
    </cacheField>
    <cacheField name="replenishDist" numFmtId="0">
      <sharedItems containsString="0" containsBlank="1" containsNumber="1" minValue="45367" maxValue="218467.6"/>
    </cacheField>
    <cacheField name="pickDist" numFmtId="0">
      <sharedItems containsString="0" containsBlank="1" containsNumber="1" minValue="78208.100000000006" maxValue="346183.2"/>
    </cacheField>
    <cacheField name="intraUnitDist" numFmtId="0">
      <sharedItems containsString="0" containsBlank="1" containsNumber="1" minValue="9651.4" maxValue="55121.1"/>
    </cacheField>
    <cacheField name="interUnitDist1" numFmtId="0">
      <sharedItems containsString="0" containsBlank="1" containsNumber="1" minValue="2664.2" maxValue="27925.9"/>
    </cacheField>
    <cacheField name="relocDist1" numFmtId="0">
      <sharedItems containsString="0" containsBlank="1" containsNumber="1" minValue="13134.1" maxValue="78476.3"/>
    </cacheField>
    <cacheField name="improve1(%)" numFmtId="0">
      <sharedItems containsString="0" containsBlank="1" containsNumber="1" minValue="21.98" maxValue="39.340000000000003"/>
    </cacheField>
    <cacheField name="timeCost2" numFmtId="0">
      <sharedItems containsString="0" containsBlank="1" containsNumber="1" minValue="0.03" maxValue="8.2100000000000009"/>
    </cacheField>
    <cacheField name="interUnitDist2" numFmtId="0">
      <sharedItems containsString="0" containsBlank="1" containsNumber="1" minValue="2565.4" maxValue="25920.400000000001"/>
    </cacheField>
    <cacheField name="relocDist2" numFmtId="0">
      <sharedItems containsString="0" containsBlank="1" containsNumber="1" minValue="13031" maxValue="77065.7"/>
    </cacheField>
    <cacheField name="timeCost" numFmtId="0">
      <sharedItems containsString="0" containsBlank="1" containsNumber="1" minValue="600.03" maxValue="609.14"/>
    </cacheField>
    <cacheField name="relocNum" numFmtId="0">
      <sharedItems containsString="0" containsBlank="1" containsNumber="1" containsInteger="1" minValue="598" maxValue="2400"/>
    </cacheField>
    <cacheField name="totalDist" numFmtId="0">
      <sharedItems containsString="0" containsBlank="1" containsNumber="1" minValue="96108.6" maxValue="407065.7"/>
    </cacheField>
    <cacheField name="improve(%)" numFmtId="0">
      <sharedItems containsString="0" containsBlank="1" containsNumber="1" minValue="22.15" maxValue="39.54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ng LIU" refreshedDate="46056.892977430558" createdVersion="7" refreshedVersion="7" minRefreshableVersion="3" recordCount="1621" xr:uid="{28735084-54D7-42D3-9F9E-05D62031B6BF}">
  <cacheSource type="worksheet">
    <worksheetSource ref="A1:AB1048576" sheet="comparison with benchmark"/>
  </cacheSource>
  <cacheFields count="28">
    <cacheField name="inst" numFmtId="0">
      <sharedItems containsBlank="1"/>
    </cacheField>
    <cacheField name="nLocs" numFmtId="0">
      <sharedItems containsString="0" containsBlank="1" containsNumber="1" containsInteger="1" minValue="800" maxValue="8000" count="5">
        <n v="2000"/>
        <n v="4000"/>
        <n v="800"/>
        <n v="8000"/>
        <m/>
      </sharedItems>
    </cacheField>
    <cacheField name="ratioEmptyLocs" numFmtId="0">
      <sharedItems containsString="0" containsBlank="1" containsNumber="1" minValue="0.2" maxValue="0.4"/>
    </cacheField>
    <cacheField name="ratioRepOrders" numFmtId="0">
      <sharedItems containsString="0" containsBlank="1" containsNumber="1" minValue="0.5" maxValue="0.5"/>
    </cacheField>
    <cacheField name="nOrders" numFmtId="0">
      <sharedItems containsString="0" containsBlank="1" containsNumber="1" containsInteger="1" minValue="500" maxValue="2000"/>
    </cacheField>
    <cacheField name="orderScale" numFmtId="0">
      <sharedItems containsString="0" containsBlank="1" containsNumber="1" containsInteger="1" minValue="1" maxValue="3"/>
    </cacheField>
    <cacheField name="rndID" numFmtId="0">
      <sharedItems containsString="0" containsBlank="1" containsNumber="1" containsInteger="1" minValue="1" maxValue="5"/>
    </cacheField>
    <cacheField name="algo" numFmtId="0">
      <sharedItems containsBlank="1" count="9">
        <s v="Benchmark1"/>
        <s v="Benchmark2"/>
        <s v="twoStage"/>
        <m/>
        <s v="Greedy2" u="1"/>
        <s v="Greedy3" u="1"/>
        <s v="Alns" u="1"/>
        <s v="Greedy1" u="1"/>
        <s v="AlnsVnd" u="1"/>
      </sharedItems>
    </cacheField>
    <cacheField name="pickDist0" numFmtId="0">
      <sharedItems containsString="0" containsBlank="1" containsNumber="1" minValue="39729.800000000003" maxValue="1186733.8999999999"/>
    </cacheField>
    <cacheField name="deliveryDist0" numFmtId="0">
      <sharedItems containsString="0" containsBlank="1" containsNumber="1" minValue="15669.4" maxValue="455176.9"/>
    </cacheField>
    <cacheField name="replenishDist0" numFmtId="0">
      <sharedItems containsString="0" containsBlank="1" containsNumber="1" minValue="22968.2" maxValue="751225.1"/>
    </cacheField>
    <cacheField name="maxRelocNum" numFmtId="0">
      <sharedItems containsString="0" containsBlank="1" containsNumber="1" containsInteger="1" minValue="240" maxValue="2400"/>
    </cacheField>
    <cacheField name="timeCost1" numFmtId="0">
      <sharedItems containsString="0" containsBlank="1" containsNumber="1" minValue="0.04" maxValue="604.87"/>
    </cacheField>
    <cacheField name="deliveryDist" numFmtId="0">
      <sharedItems containsString="0" containsBlank="1" containsNumber="1" minValue="10561.8" maxValue="350952"/>
    </cacheField>
    <cacheField name="replenishDist" numFmtId="0">
      <sharedItems containsString="0" containsBlank="1" containsNumber="1" minValue="14722.8" maxValue="590076.9"/>
    </cacheField>
    <cacheField name="pickDist" numFmtId="0">
      <sharedItems containsString="0" containsBlank="1" containsNumber="1" minValue="25832.5" maxValue="928131.7"/>
    </cacheField>
    <cacheField name="intraUnitDist" numFmtId="0">
      <sharedItems containsString="0" containsBlank="1" containsNumber="1" minValue="1961.2" maxValue="106713.60000000001"/>
    </cacheField>
    <cacheField name="interUnitDist1" numFmtId="0">
      <sharedItems containsString="0" containsBlank="1" containsNumber="1" minValue="559.70000000000005" maxValue="51100.2"/>
    </cacheField>
    <cacheField name="relocDist1" numFmtId="0">
      <sharedItems containsString="0" containsBlank="1" containsNumber="1" minValue="2752.2" maxValue="154241.1"/>
    </cacheField>
    <cacheField name="improve1(%)" numFmtId="0">
      <sharedItems containsString="0" containsBlank="1" containsNumber="1" minValue="-14.32" maxValue="39.21"/>
    </cacheField>
    <cacheField name="timeCost2" numFmtId="0">
      <sharedItems containsString="0" containsBlank="1" containsNumber="1" minValue="0" maxValue="2.75"/>
    </cacheField>
    <cacheField name="interUnitDist2" numFmtId="0">
      <sharedItems containsString="0" containsBlank="1" containsNumber="1" minValue="521.1" maxValue="48528"/>
    </cacheField>
    <cacheField name="relocDist2" numFmtId="0">
      <sharedItems containsString="0" containsBlank="1" containsNumber="1" minValue="2643.3" maxValue="152010.9"/>
    </cacheField>
    <cacheField name="timeCost" numFmtId="0">
      <sharedItems containsString="0" containsBlank="1" containsNumber="1" minValue="0.05" maxValue="607.28"/>
    </cacheField>
    <cacheField name="relocNum" numFmtId="0">
      <sharedItems containsString="0" containsBlank="1" containsNumber="1" containsInteger="1" minValue="135" maxValue="2400"/>
    </cacheField>
    <cacheField name="totalDist" numFmtId="0">
      <sharedItems containsString="0" containsBlank="1" containsNumber="1" minValue="30208.400000000001" maxValue="1054059.2"/>
    </cacheField>
    <cacheField name="improve(%)" numFmtId="0">
      <sharedItems containsString="0" containsBlank="1" containsNumber="1" minValue="-13.94" maxValue="39.21"/>
    </cacheField>
    <cacheField name="locNum" numFmtId="0">
      <sharedItems containsString="0" containsBlank="1" containsNumber="1" containsInteger="1" minValue="800" maxValue="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s v="2000_0.2_0.5_1000_1.0_order_1"/>
    <x v="0"/>
    <n v="0.2"/>
    <n v="0.5"/>
    <n v="1000"/>
    <n v="1"/>
    <n v="1"/>
    <x v="0"/>
    <n v="143148.20000000001"/>
    <n v="59273.2"/>
    <n v="83875"/>
    <n v="600"/>
    <n v="600.44000000000005"/>
    <n v="37444"/>
    <n v="53188.7"/>
    <n v="90632.7"/>
    <n v="10873.9"/>
    <n v="2909.6"/>
    <n v="13783.5"/>
    <n v="27.06"/>
    <n v="0.05"/>
    <n v="2906.9"/>
    <n v="13780.8"/>
    <n v="600.49"/>
    <n v="600"/>
    <n v="104413.5"/>
    <n v="27.06"/>
  </r>
  <r>
    <s v="2000_0.2_0.5_1000_1.0_order_1"/>
    <x v="0"/>
    <n v="0.2"/>
    <n v="0.5"/>
    <n v="1000"/>
    <n v="1"/>
    <n v="1"/>
    <x v="1"/>
    <n v="143148.20000000001"/>
    <n v="59273.2"/>
    <n v="83875"/>
    <n v="600"/>
    <n v="600"/>
    <n v="37950.800000000003"/>
    <n v="53127.5"/>
    <n v="91078.3"/>
    <n v="11243.6"/>
    <n v="3564"/>
    <n v="14807.6"/>
    <n v="26.03"/>
    <n v="0.05"/>
    <n v="3469.4"/>
    <n v="14713"/>
    <n v="600.04999999999995"/>
    <n v="600"/>
    <n v="105791.3"/>
    <n v="26.1"/>
  </r>
  <r>
    <s v="2000_0.2_0.5_1000_1.0_order_1"/>
    <x v="0"/>
    <n v="0.2"/>
    <n v="0.5"/>
    <n v="1000"/>
    <n v="1"/>
    <n v="1"/>
    <x v="2"/>
    <n v="143148.20000000001"/>
    <n v="59273.2"/>
    <n v="83875"/>
    <n v="600"/>
    <n v="600.45000000000005"/>
    <n v="38413.5"/>
    <n v="53512.9"/>
    <n v="91926.399999999994"/>
    <n v="9845.5"/>
    <n v="4186.5"/>
    <n v="14032"/>
    <n v="25.98"/>
    <n v="0.14000000000000001"/>
    <n v="4079.7"/>
    <n v="13925.2"/>
    <n v="600.59"/>
    <n v="600"/>
    <n v="105851.6"/>
    <n v="26.05"/>
  </r>
  <r>
    <s v="2000_0.2_0.5_1000_1.0_order_1"/>
    <x v="0"/>
    <n v="0.2"/>
    <n v="0.5"/>
    <n v="1000"/>
    <n v="1"/>
    <n v="1"/>
    <x v="3"/>
    <n v="143148.20000000001"/>
    <n v="59273.2"/>
    <n v="83875"/>
    <n v="600"/>
    <n v="600.74"/>
    <n v="38054"/>
    <n v="52748.9"/>
    <n v="90802.9"/>
    <n v="10925.7"/>
    <n v="2887.4"/>
    <n v="13813.1"/>
    <n v="26.92"/>
    <n v="0.03"/>
    <n v="2857.8"/>
    <n v="13783.5"/>
    <n v="600.77"/>
    <n v="600"/>
    <n v="104586.4"/>
    <n v="26.94"/>
  </r>
  <r>
    <s v="2000_0.2_0.5_1000_1.0_order_2"/>
    <x v="0"/>
    <n v="0.2"/>
    <n v="0.5"/>
    <n v="1000"/>
    <n v="1"/>
    <n v="2"/>
    <x v="0"/>
    <n v="146066.9"/>
    <n v="58967.199999999997"/>
    <n v="87099.7"/>
    <n v="600"/>
    <n v="600.34"/>
    <n v="38533.599999999999"/>
    <n v="55017.3"/>
    <n v="93550.9"/>
    <n v="10956.2"/>
    <n v="3102.8"/>
    <n v="14059"/>
    <n v="26.33"/>
    <n v="0.03"/>
    <n v="3090"/>
    <n v="14046.2"/>
    <n v="600.38"/>
    <n v="600"/>
    <n v="107597.1"/>
    <n v="26.34"/>
  </r>
  <r>
    <s v="2000_0.2_0.5_1000_1.0_order_2"/>
    <x v="0"/>
    <n v="0.2"/>
    <n v="0.5"/>
    <n v="1000"/>
    <n v="1"/>
    <n v="2"/>
    <x v="1"/>
    <n v="146066.9"/>
    <n v="58967.199999999997"/>
    <n v="87099.7"/>
    <n v="600"/>
    <n v="600.01"/>
    <n v="38315.199999999997"/>
    <n v="55323.3"/>
    <n v="93638.5"/>
    <n v="11499.4"/>
    <n v="3638.5"/>
    <n v="15137.9"/>
    <n v="25.53"/>
    <n v="7.0000000000000007E-2"/>
    <n v="3605.4"/>
    <n v="15104.8"/>
    <n v="600.08000000000004"/>
    <n v="600"/>
    <n v="108743.3"/>
    <n v="25.55"/>
  </r>
  <r>
    <s v="2000_0.2_0.5_1000_1.0_order_2"/>
    <x v="0"/>
    <n v="0.2"/>
    <n v="0.5"/>
    <n v="1000"/>
    <n v="1"/>
    <n v="2"/>
    <x v="2"/>
    <n v="146066.9"/>
    <n v="58967.199999999997"/>
    <n v="87099.7"/>
    <n v="600"/>
    <n v="600.09"/>
    <n v="38675.1"/>
    <n v="55726.8"/>
    <n v="94401.9"/>
    <n v="10382.200000000001"/>
    <n v="4128.7"/>
    <n v="14510.9"/>
    <n v="25.44"/>
    <n v="0.18"/>
    <n v="4015.8"/>
    <n v="14398"/>
    <n v="600.28"/>
    <n v="600"/>
    <n v="108799.9"/>
    <n v="25.51"/>
  </r>
  <r>
    <s v="2000_0.2_0.5_1000_1.0_order_2"/>
    <x v="0"/>
    <n v="0.2"/>
    <n v="0.5"/>
    <n v="1000"/>
    <n v="1"/>
    <n v="2"/>
    <x v="3"/>
    <n v="146066.9"/>
    <n v="58967.199999999997"/>
    <n v="87099.7"/>
    <n v="600"/>
    <n v="600"/>
    <n v="39086.199999999997"/>
    <n v="55916.5"/>
    <n v="95002.7"/>
    <n v="11022.1"/>
    <n v="2923.9"/>
    <n v="13946"/>
    <n v="25.41"/>
    <n v="0.03"/>
    <n v="2886.9"/>
    <n v="13909"/>
    <n v="600.03"/>
    <n v="600"/>
    <n v="108911.7"/>
    <n v="25.44"/>
  </r>
  <r>
    <s v="2000_0.2_0.5_1000_1.0_order_3"/>
    <x v="0"/>
    <n v="0.2"/>
    <n v="0.5"/>
    <n v="1000"/>
    <n v="1"/>
    <n v="3"/>
    <x v="0"/>
    <n v="149207.6"/>
    <n v="59172.800000000003"/>
    <n v="90034.8"/>
    <n v="600"/>
    <n v="600.74"/>
    <n v="38058.9"/>
    <n v="56240.800000000003"/>
    <n v="94299.7"/>
    <n v="10854.3"/>
    <n v="2664.2"/>
    <n v="13518.5"/>
    <n v="27.74"/>
    <n v="0.03"/>
    <n v="2664.2"/>
    <n v="13518.5"/>
    <n v="600.77"/>
    <n v="600"/>
    <n v="107818.2"/>
    <n v="27.74"/>
  </r>
  <r>
    <s v="2000_0.2_0.5_1000_1.0_order_3"/>
    <x v="0"/>
    <n v="0.2"/>
    <n v="0.5"/>
    <n v="1000"/>
    <n v="1"/>
    <n v="3"/>
    <x v="1"/>
    <n v="149207.6"/>
    <n v="59172.800000000003"/>
    <n v="90034.8"/>
    <n v="600"/>
    <n v="600"/>
    <n v="38196.300000000003"/>
    <n v="55813.5"/>
    <n v="94009.8"/>
    <n v="11278.8"/>
    <n v="3274.2"/>
    <n v="14553"/>
    <n v="27.24"/>
    <n v="0.06"/>
    <n v="3252.6"/>
    <n v="14531.4"/>
    <n v="600.05999999999995"/>
    <n v="600"/>
    <n v="108541.2"/>
    <n v="27.25"/>
  </r>
  <r>
    <s v="2000_0.2_0.5_1000_1.0_order_3"/>
    <x v="0"/>
    <n v="0.2"/>
    <n v="0.5"/>
    <n v="1000"/>
    <n v="1"/>
    <n v="3"/>
    <x v="2"/>
    <n v="149207.6"/>
    <n v="59172.800000000003"/>
    <n v="90034.8"/>
    <n v="600"/>
    <n v="600.16"/>
    <n v="38998"/>
    <n v="56398.8"/>
    <n v="95396.800000000003"/>
    <n v="9914.7000000000007"/>
    <n v="3860.4"/>
    <n v="13775.1"/>
    <n v="26.83"/>
    <n v="0.14000000000000001"/>
    <n v="3731.4"/>
    <n v="13646.1"/>
    <n v="600.29999999999995"/>
    <n v="599"/>
    <n v="109042.9"/>
    <n v="26.92"/>
  </r>
  <r>
    <s v="2000_0.2_0.5_1000_1.0_order_3"/>
    <x v="0"/>
    <n v="0.2"/>
    <n v="0.5"/>
    <n v="1000"/>
    <n v="1"/>
    <n v="3"/>
    <x v="3"/>
    <n v="149207.6"/>
    <n v="59172.800000000003"/>
    <n v="90034.8"/>
    <n v="600"/>
    <n v="600"/>
    <n v="38414"/>
    <n v="55602.7"/>
    <n v="94016.7"/>
    <n v="11056.8"/>
    <n v="2980.6"/>
    <n v="14037.4"/>
    <n v="27.58"/>
    <n v="0.05"/>
    <n v="2957.3"/>
    <n v="14014.1"/>
    <n v="600.04999999999995"/>
    <n v="600"/>
    <n v="108030.8"/>
    <n v="27.6"/>
  </r>
  <r>
    <s v="2000_0.2_0.5_1000_1.0_order_4"/>
    <x v="0"/>
    <n v="0.2"/>
    <n v="0.5"/>
    <n v="1000"/>
    <n v="1"/>
    <n v="4"/>
    <x v="0"/>
    <n v="153789.20000000001"/>
    <n v="63196.800000000003"/>
    <n v="90592.4"/>
    <n v="600"/>
    <n v="600.29999999999995"/>
    <n v="40383.800000000003"/>
    <n v="54948.9"/>
    <n v="95332.7"/>
    <n v="11314.2"/>
    <n v="2862.7"/>
    <n v="14176.9"/>
    <n v="28.79"/>
    <n v="0.03"/>
    <n v="2848.9"/>
    <n v="14163.1"/>
    <n v="600.33000000000004"/>
    <n v="600"/>
    <n v="109495.8"/>
    <n v="28.8"/>
  </r>
  <r>
    <s v="2000_0.2_0.5_1000_1.0_order_4"/>
    <x v="0"/>
    <n v="0.2"/>
    <n v="0.5"/>
    <n v="1000"/>
    <n v="1"/>
    <n v="4"/>
    <x v="1"/>
    <n v="153789.20000000001"/>
    <n v="63196.800000000003"/>
    <n v="90592.4"/>
    <n v="600"/>
    <n v="600.01"/>
    <n v="39845.9"/>
    <n v="55488.9"/>
    <n v="95334.8"/>
    <n v="11573.1"/>
    <n v="3260.2"/>
    <n v="14833.3"/>
    <n v="28.36"/>
    <n v="7.0000000000000007E-2"/>
    <n v="3246.9"/>
    <n v="14820"/>
    <n v="600.07000000000005"/>
    <n v="600"/>
    <n v="110154.8"/>
    <n v="28.37"/>
  </r>
  <r>
    <s v="2000_0.2_0.5_1000_1.0_order_4"/>
    <x v="0"/>
    <n v="0.2"/>
    <n v="0.5"/>
    <n v="1000"/>
    <n v="1"/>
    <n v="4"/>
    <x v="2"/>
    <n v="153789.20000000001"/>
    <n v="63196.800000000003"/>
    <n v="90592.4"/>
    <n v="600"/>
    <n v="600.41999999999996"/>
    <n v="41062.9"/>
    <n v="56152.4"/>
    <n v="97215.3"/>
    <n v="10319.9"/>
    <n v="3943.7"/>
    <n v="14263.6"/>
    <n v="27.51"/>
    <n v="0.19"/>
    <n v="3835.4"/>
    <n v="14155.3"/>
    <n v="600.6"/>
    <n v="600"/>
    <n v="111370.6"/>
    <n v="27.58"/>
  </r>
  <r>
    <s v="2000_0.2_0.5_1000_1.0_order_4"/>
    <x v="0"/>
    <n v="0.2"/>
    <n v="0.5"/>
    <n v="1000"/>
    <n v="1"/>
    <n v="4"/>
    <x v="3"/>
    <n v="153789.20000000001"/>
    <n v="63196.800000000003"/>
    <n v="90592.4"/>
    <n v="600"/>
    <n v="600.85"/>
    <n v="39469.300000000003"/>
    <n v="55356.2"/>
    <n v="94825.5"/>
    <n v="11855.8"/>
    <n v="3001.4"/>
    <n v="14857.2"/>
    <n v="28.68"/>
    <n v="0.05"/>
    <n v="2984.5"/>
    <n v="14840.3"/>
    <n v="600.9"/>
    <n v="600"/>
    <n v="109665.8"/>
    <n v="28.69"/>
  </r>
  <r>
    <s v="2000_0.2_0.5_1000_1.0_order_5"/>
    <x v="0"/>
    <n v="0.2"/>
    <n v="0.5"/>
    <n v="1000"/>
    <n v="1"/>
    <n v="5"/>
    <x v="0"/>
    <n v="148706.20000000001"/>
    <n v="59702"/>
    <n v="89004.2"/>
    <n v="600"/>
    <n v="600.57000000000005"/>
    <n v="37896.400000000001"/>
    <n v="55612"/>
    <n v="93508.4"/>
    <n v="11492.4"/>
    <n v="3003.5"/>
    <n v="14495.9"/>
    <n v="27.37"/>
    <n v="0.03"/>
    <n v="2969.9"/>
    <n v="14462.3"/>
    <n v="600.6"/>
    <n v="600"/>
    <n v="107970.7"/>
    <n v="27.39"/>
  </r>
  <r>
    <s v="2000_0.2_0.5_1000_1.0_order_5"/>
    <x v="0"/>
    <n v="0.2"/>
    <n v="0.5"/>
    <n v="1000"/>
    <n v="1"/>
    <n v="5"/>
    <x v="1"/>
    <n v="148706.20000000001"/>
    <n v="59702"/>
    <n v="89004.2"/>
    <n v="600"/>
    <n v="600"/>
    <n v="38320.400000000001"/>
    <n v="55622.6"/>
    <n v="93943"/>
    <n v="11454.5"/>
    <n v="3268"/>
    <n v="14722.5"/>
    <n v="26.93"/>
    <n v="0.06"/>
    <n v="3228.1"/>
    <n v="14682.6"/>
    <n v="600.05999999999995"/>
    <n v="600"/>
    <n v="108625.60000000001"/>
    <n v="26.95"/>
  </r>
  <r>
    <s v="2000_0.2_0.5_1000_1.0_order_5"/>
    <x v="0"/>
    <n v="0.2"/>
    <n v="0.5"/>
    <n v="1000"/>
    <n v="1"/>
    <n v="5"/>
    <x v="2"/>
    <n v="148706.20000000001"/>
    <n v="59702"/>
    <n v="89004.2"/>
    <n v="600"/>
    <n v="600.91"/>
    <n v="38723"/>
    <n v="57724.3"/>
    <n v="96447.3"/>
    <n v="10002.799999999999"/>
    <n v="4040.5"/>
    <n v="14043.3"/>
    <n v="25.7"/>
    <n v="0.14000000000000001"/>
    <n v="3938.8"/>
    <n v="13941.6"/>
    <n v="601.04999999999995"/>
    <n v="600"/>
    <n v="110388.9"/>
    <n v="25.77"/>
  </r>
  <r>
    <s v="2000_0.2_0.5_1000_1.0_order_5"/>
    <x v="0"/>
    <n v="0.2"/>
    <n v="0.5"/>
    <n v="1000"/>
    <n v="1"/>
    <n v="5"/>
    <x v="3"/>
    <n v="148706.20000000001"/>
    <n v="59702"/>
    <n v="89004.2"/>
    <n v="600"/>
    <n v="600.66"/>
    <n v="38503.800000000003"/>
    <n v="56587.7"/>
    <n v="95091.5"/>
    <n v="11496.7"/>
    <n v="2782"/>
    <n v="14278.7"/>
    <n v="26.45"/>
    <n v="7.0000000000000007E-2"/>
    <n v="2741.1"/>
    <n v="14237.8"/>
    <n v="600.73"/>
    <n v="600"/>
    <n v="109329.3"/>
    <n v="26.48"/>
  </r>
  <r>
    <s v="2000_0.2_0.5_1000_2.0_order_1"/>
    <x v="0"/>
    <n v="0.2"/>
    <n v="0.5"/>
    <n v="1000"/>
    <n v="2"/>
    <n v="1"/>
    <x v="0"/>
    <n v="224341"/>
    <n v="90336.7"/>
    <n v="134004.29999999999"/>
    <n v="600"/>
    <n v="600.54999999999995"/>
    <n v="60010.9"/>
    <n v="88057"/>
    <n v="148067.9"/>
    <n v="10847"/>
    <n v="3026.8"/>
    <n v="13873.8"/>
    <n v="27.81"/>
    <n v="0.05"/>
    <n v="3018.5"/>
    <n v="13865.5"/>
    <n v="600.6"/>
    <n v="600"/>
    <n v="161933.4"/>
    <n v="27.82"/>
  </r>
  <r>
    <s v="2000_0.2_0.5_1000_2.0_order_1"/>
    <x v="0"/>
    <n v="0.2"/>
    <n v="0.5"/>
    <n v="1000"/>
    <n v="2"/>
    <n v="1"/>
    <x v="1"/>
    <n v="224341"/>
    <n v="90336.7"/>
    <n v="134004.29999999999"/>
    <n v="600"/>
    <n v="600.01"/>
    <n v="61202"/>
    <n v="89309.2"/>
    <n v="150511.20000000001"/>
    <n v="10970.5"/>
    <n v="3347.6"/>
    <n v="14318.1"/>
    <n v="26.53"/>
    <n v="7.0000000000000007E-2"/>
    <n v="3285.4"/>
    <n v="14255.9"/>
    <n v="600.08000000000004"/>
    <n v="600"/>
    <n v="164767.1"/>
    <n v="26.56"/>
  </r>
  <r>
    <s v="2000_0.2_0.5_1000_2.0_order_1"/>
    <x v="0"/>
    <n v="0.2"/>
    <n v="0.5"/>
    <n v="1000"/>
    <n v="2"/>
    <n v="1"/>
    <x v="2"/>
    <n v="224341"/>
    <n v="90336.7"/>
    <n v="134004.29999999999"/>
    <n v="600"/>
    <n v="600.97"/>
    <n v="61512.7"/>
    <n v="89583.5"/>
    <n v="151096.20000000001"/>
    <n v="9858.6"/>
    <n v="3749.7"/>
    <n v="13608.3"/>
    <n v="26.58"/>
    <n v="0.26"/>
    <n v="3519.6"/>
    <n v="13378.2"/>
    <n v="601.23"/>
    <n v="600"/>
    <n v="164474.4"/>
    <n v="26.69"/>
  </r>
  <r>
    <s v="2000_0.2_0.5_1000_2.0_order_1"/>
    <x v="0"/>
    <n v="0.2"/>
    <n v="0.5"/>
    <n v="1000"/>
    <n v="2"/>
    <n v="1"/>
    <x v="3"/>
    <n v="224341"/>
    <n v="90336.7"/>
    <n v="134004.29999999999"/>
    <n v="600"/>
    <n v="600.01"/>
    <n v="59916.3"/>
    <n v="87535.8"/>
    <n v="147452.1"/>
    <n v="11252.5"/>
    <n v="3059.3"/>
    <n v="14311.8"/>
    <n v="27.89"/>
    <n v="7.0000000000000007E-2"/>
    <n v="2996.7"/>
    <n v="14249.2"/>
    <n v="600.08000000000004"/>
    <n v="600"/>
    <n v="161701.29999999999"/>
    <n v="27.92"/>
  </r>
  <r>
    <s v="2000_0.2_0.5_1000_2.0_order_2"/>
    <x v="0"/>
    <n v="0.2"/>
    <n v="0.5"/>
    <n v="1000"/>
    <n v="2"/>
    <n v="2"/>
    <x v="0"/>
    <n v="220474.4"/>
    <n v="85625.4"/>
    <n v="134849"/>
    <n v="600"/>
    <n v="600.12"/>
    <n v="56517"/>
    <n v="87877.7"/>
    <n v="144394.70000000001"/>
    <n v="10785.5"/>
    <n v="2886.7"/>
    <n v="13672.2"/>
    <n v="28.31"/>
    <n v="0.05"/>
    <n v="2872.6"/>
    <n v="13658.1"/>
    <n v="600.16999999999996"/>
    <n v="600"/>
    <n v="158052.79999999999"/>
    <n v="28.31"/>
  </r>
  <r>
    <s v="2000_0.2_0.5_1000_2.0_order_2"/>
    <x v="0"/>
    <n v="0.2"/>
    <n v="0.5"/>
    <n v="1000"/>
    <n v="2"/>
    <n v="2"/>
    <x v="1"/>
    <n v="220474.4"/>
    <n v="85625.4"/>
    <n v="134849"/>
    <n v="600"/>
    <n v="600.01"/>
    <n v="57557"/>
    <n v="89057.9"/>
    <n v="146614.9"/>
    <n v="10608.1"/>
    <n v="3251.2"/>
    <n v="13859.3"/>
    <n v="27.21"/>
    <n v="0.08"/>
    <n v="3173.9"/>
    <n v="13782"/>
    <n v="600.09"/>
    <n v="600"/>
    <n v="160396.9"/>
    <n v="27.25"/>
  </r>
  <r>
    <s v="2000_0.2_0.5_1000_2.0_order_2"/>
    <x v="0"/>
    <n v="0.2"/>
    <n v="0.5"/>
    <n v="1000"/>
    <n v="2"/>
    <n v="2"/>
    <x v="2"/>
    <n v="220474.4"/>
    <n v="85625.4"/>
    <n v="134849"/>
    <n v="600"/>
    <n v="600.66"/>
    <n v="57220.7"/>
    <n v="88746.8"/>
    <n v="145967.5"/>
    <n v="10223.9"/>
    <n v="3346.3"/>
    <n v="13570.2"/>
    <n v="27.64"/>
    <n v="0.18"/>
    <n v="3202.6"/>
    <n v="13426.5"/>
    <n v="600.84"/>
    <n v="600"/>
    <n v="159394"/>
    <n v="27.7"/>
  </r>
  <r>
    <s v="2000_0.2_0.5_1000_2.0_order_2"/>
    <x v="0"/>
    <n v="0.2"/>
    <n v="0.5"/>
    <n v="1000"/>
    <n v="2"/>
    <n v="2"/>
    <x v="3"/>
    <n v="220474.4"/>
    <n v="85625.4"/>
    <n v="134849"/>
    <n v="600"/>
    <n v="600.79999999999995"/>
    <n v="56771.9"/>
    <n v="87968.8"/>
    <n v="144740.70000000001"/>
    <n v="10970.2"/>
    <n v="2975.6"/>
    <n v="13945.8"/>
    <n v="28.02"/>
    <n v="7.0000000000000007E-2"/>
    <n v="2914.5"/>
    <n v="13884.7"/>
    <n v="600.87"/>
    <n v="600"/>
    <n v="158625.4"/>
    <n v="28.05"/>
  </r>
  <r>
    <s v="2000_0.2_0.5_1000_2.0_order_3"/>
    <x v="0"/>
    <n v="0.2"/>
    <n v="0.5"/>
    <n v="1000"/>
    <n v="2"/>
    <n v="3"/>
    <x v="0"/>
    <n v="220428.7"/>
    <n v="86108.800000000003"/>
    <n v="134319.9"/>
    <n v="600"/>
    <n v="600.15"/>
    <n v="57008.4"/>
    <n v="88601.3"/>
    <n v="145609.70000000001"/>
    <n v="10548.8"/>
    <n v="2755.4"/>
    <n v="13304.2"/>
    <n v="27.91"/>
    <n v="0.06"/>
    <n v="2735.9"/>
    <n v="13284.7"/>
    <n v="600.21"/>
    <n v="600"/>
    <n v="158894.39999999999"/>
    <n v="27.92"/>
  </r>
  <r>
    <s v="2000_0.2_0.5_1000_2.0_order_3"/>
    <x v="0"/>
    <n v="0.2"/>
    <n v="0.5"/>
    <n v="1000"/>
    <n v="2"/>
    <n v="3"/>
    <x v="1"/>
    <n v="220428.7"/>
    <n v="86108.800000000003"/>
    <n v="134319.9"/>
    <n v="600"/>
    <n v="600"/>
    <n v="58614.1"/>
    <n v="91184.4"/>
    <n v="149798.5"/>
    <n v="10407.9"/>
    <n v="3159.8"/>
    <n v="13567.7"/>
    <n v="25.89"/>
    <n v="0.09"/>
    <n v="3067.9"/>
    <n v="13475.8"/>
    <n v="600.09"/>
    <n v="600"/>
    <n v="163274.29999999999"/>
    <n v="25.93"/>
  </r>
  <r>
    <s v="2000_0.2_0.5_1000_2.0_order_3"/>
    <x v="0"/>
    <n v="0.2"/>
    <n v="0.5"/>
    <n v="1000"/>
    <n v="2"/>
    <n v="3"/>
    <x v="2"/>
    <n v="220428.7"/>
    <n v="86108.800000000003"/>
    <n v="134319.9"/>
    <n v="600"/>
    <n v="600.63"/>
    <n v="57989.5"/>
    <n v="89652.4"/>
    <n v="147641.9"/>
    <n v="10304.5"/>
    <n v="3373.6"/>
    <n v="13678.1"/>
    <n v="26.82"/>
    <n v="0.15"/>
    <n v="3230.9"/>
    <n v="13535.4"/>
    <n v="600.78"/>
    <n v="600"/>
    <n v="161177.29999999999"/>
    <n v="26.88"/>
  </r>
  <r>
    <s v="2000_0.2_0.5_1000_2.0_order_3"/>
    <x v="0"/>
    <n v="0.2"/>
    <n v="0.5"/>
    <n v="1000"/>
    <n v="2"/>
    <n v="3"/>
    <x v="3"/>
    <n v="220428.7"/>
    <n v="86108.800000000003"/>
    <n v="134319.9"/>
    <n v="600"/>
    <n v="600.75"/>
    <n v="57421"/>
    <n v="89525.4"/>
    <n v="146946.4"/>
    <n v="10561.7"/>
    <n v="2885.2"/>
    <n v="13446.9"/>
    <n v="27.24"/>
    <n v="0.06"/>
    <n v="2813.7"/>
    <n v="13375.4"/>
    <n v="600.80999999999995"/>
    <n v="599"/>
    <n v="160321.79999999999"/>
    <n v="27.27"/>
  </r>
  <r>
    <s v="2000_0.2_0.5_1000_2.0_order_4"/>
    <x v="0"/>
    <n v="0.2"/>
    <n v="0.5"/>
    <n v="1000"/>
    <n v="2"/>
    <n v="4"/>
    <x v="0"/>
    <n v="210055.4"/>
    <n v="82377.100000000006"/>
    <n v="127678.3"/>
    <n v="600"/>
    <n v="600.72"/>
    <n v="54807.1"/>
    <n v="84232.4"/>
    <n v="139039.5"/>
    <n v="10737.7"/>
    <n v="2827.8"/>
    <n v="13565.5"/>
    <n v="27.35"/>
    <n v="0.04"/>
    <n v="2818.8"/>
    <n v="13556.5"/>
    <n v="600.76"/>
    <n v="600"/>
    <n v="152596"/>
    <n v="27.35"/>
  </r>
  <r>
    <s v="2000_0.2_0.5_1000_2.0_order_4"/>
    <x v="0"/>
    <n v="0.2"/>
    <n v="0.5"/>
    <n v="1000"/>
    <n v="2"/>
    <n v="4"/>
    <x v="1"/>
    <n v="210055.4"/>
    <n v="82377.100000000006"/>
    <n v="127678.3"/>
    <n v="600"/>
    <n v="600"/>
    <n v="55653"/>
    <n v="86383"/>
    <n v="142036"/>
    <n v="10457.799999999999"/>
    <n v="3338.3"/>
    <n v="13796.1"/>
    <n v="25.81"/>
    <n v="7.0000000000000007E-2"/>
    <n v="3248.6"/>
    <n v="13706.4"/>
    <n v="600.07000000000005"/>
    <n v="600"/>
    <n v="155742.39999999999"/>
    <n v="25.86"/>
  </r>
  <r>
    <s v="2000_0.2_0.5_1000_2.0_order_4"/>
    <x v="0"/>
    <n v="0.2"/>
    <n v="0.5"/>
    <n v="1000"/>
    <n v="2"/>
    <n v="4"/>
    <x v="2"/>
    <n v="210055.4"/>
    <n v="82377.100000000006"/>
    <n v="127678.3"/>
    <n v="600"/>
    <n v="600.21"/>
    <n v="55391.1"/>
    <n v="85281.9"/>
    <n v="140673"/>
    <n v="10035.700000000001"/>
    <n v="3719.6"/>
    <n v="13755.3"/>
    <n v="26.48"/>
    <n v="0.18"/>
    <n v="3526.2"/>
    <n v="13561.9"/>
    <n v="600.39"/>
    <n v="600"/>
    <n v="154234.9"/>
    <n v="26.57"/>
  </r>
  <r>
    <s v="2000_0.2_0.5_1000_2.0_order_4"/>
    <x v="0"/>
    <n v="0.2"/>
    <n v="0.5"/>
    <n v="1000"/>
    <n v="2"/>
    <n v="4"/>
    <x v="3"/>
    <n v="210055.4"/>
    <n v="82377.100000000006"/>
    <n v="127678.3"/>
    <n v="600"/>
    <n v="601"/>
    <n v="54584.3"/>
    <n v="84016.9"/>
    <n v="138601.20000000001"/>
    <n v="10898.9"/>
    <n v="2851.3"/>
    <n v="13750.2"/>
    <n v="27.47"/>
    <n v="0.05"/>
    <n v="2806.7"/>
    <n v="13705.6"/>
    <n v="601.04999999999995"/>
    <n v="600"/>
    <n v="152306.79999999999"/>
    <n v="27.49"/>
  </r>
  <r>
    <s v="2000_0.2_0.5_1000_2.0_order_5"/>
    <x v="0"/>
    <n v="0.2"/>
    <n v="0.5"/>
    <n v="1000"/>
    <n v="2"/>
    <n v="5"/>
    <x v="0"/>
    <n v="223013.3"/>
    <n v="88414.3"/>
    <n v="134599"/>
    <n v="600"/>
    <n v="600.91"/>
    <n v="59270"/>
    <n v="88106.8"/>
    <n v="147376.79999999999"/>
    <n v="10277.4"/>
    <n v="2896.7"/>
    <n v="13174.1"/>
    <n v="28.01"/>
    <n v="7.0000000000000007E-2"/>
    <n v="2893.9"/>
    <n v="13171.3"/>
    <n v="600.98"/>
    <n v="600"/>
    <n v="160548.1"/>
    <n v="28.01"/>
  </r>
  <r>
    <s v="2000_0.2_0.5_1000_2.0_order_5"/>
    <x v="0"/>
    <n v="0.2"/>
    <n v="0.5"/>
    <n v="1000"/>
    <n v="2"/>
    <n v="5"/>
    <x v="1"/>
    <n v="223013.3"/>
    <n v="88414.3"/>
    <n v="134599"/>
    <n v="600"/>
    <n v="600.01"/>
    <n v="59603.4"/>
    <n v="89862.2"/>
    <n v="149465.60000000001"/>
    <n v="10616.2"/>
    <n v="3349.6"/>
    <n v="13965.8"/>
    <n v="26.72"/>
    <n v="0.08"/>
    <n v="3254.3"/>
    <n v="13870.5"/>
    <n v="600.09"/>
    <n v="600"/>
    <n v="163336.1"/>
    <n v="26.76"/>
  </r>
  <r>
    <s v="2000_0.2_0.5_1000_2.0_order_5"/>
    <x v="0"/>
    <n v="0.2"/>
    <n v="0.5"/>
    <n v="1000"/>
    <n v="2"/>
    <n v="5"/>
    <x v="2"/>
    <n v="223013.3"/>
    <n v="88414.3"/>
    <n v="134599"/>
    <n v="600"/>
    <n v="600.92999999999995"/>
    <n v="59891.5"/>
    <n v="88514.7"/>
    <n v="148406.20000000001"/>
    <n v="10232.799999999999"/>
    <n v="3625.3"/>
    <n v="13858.1"/>
    <n v="27.24"/>
    <n v="0.16"/>
    <n v="3482.6"/>
    <n v="13715.4"/>
    <n v="601.09"/>
    <n v="600"/>
    <n v="162121.60000000001"/>
    <n v="27.3"/>
  </r>
  <r>
    <s v="2000_0.2_0.5_1000_2.0_order_5"/>
    <x v="0"/>
    <n v="0.2"/>
    <n v="0.5"/>
    <n v="1000"/>
    <n v="2"/>
    <n v="5"/>
    <x v="3"/>
    <n v="223013.3"/>
    <n v="88414.3"/>
    <n v="134599"/>
    <n v="600"/>
    <n v="600.63"/>
    <n v="58942.400000000001"/>
    <n v="88431.4"/>
    <n v="147373.79999999999"/>
    <n v="10491"/>
    <n v="3165.8"/>
    <n v="13656.8"/>
    <n v="27.79"/>
    <n v="0.09"/>
    <n v="3054.8"/>
    <n v="13545.8"/>
    <n v="600.73"/>
    <n v="600"/>
    <n v="160919.6"/>
    <n v="27.84"/>
  </r>
  <r>
    <s v="2000_0.2_0.5_1000_3.0_order_1"/>
    <x v="0"/>
    <n v="0.2"/>
    <n v="0.5"/>
    <n v="1000"/>
    <n v="3"/>
    <n v="1"/>
    <x v="0"/>
    <n v="283040.5"/>
    <n v="115997.2"/>
    <n v="167043.29999999999"/>
    <n v="600"/>
    <n v="600.95000000000005"/>
    <n v="77685.399999999994"/>
    <n v="115816.1"/>
    <n v="193501.5"/>
    <n v="10623"/>
    <n v="2769.5"/>
    <n v="13392.5"/>
    <n v="26.9"/>
    <n v="0.06"/>
    <n v="2752.6"/>
    <n v="13375.6"/>
    <n v="601"/>
    <n v="600"/>
    <n v="206877.1"/>
    <n v="26.91"/>
  </r>
  <r>
    <s v="2000_0.2_0.5_1000_3.0_order_1"/>
    <x v="0"/>
    <n v="0.2"/>
    <n v="0.5"/>
    <n v="1000"/>
    <n v="3"/>
    <n v="1"/>
    <x v="1"/>
    <n v="283040.5"/>
    <n v="115997.2"/>
    <n v="167043.29999999999"/>
    <n v="600"/>
    <n v="600"/>
    <n v="79851"/>
    <n v="118705.1"/>
    <n v="198556.1"/>
    <n v="10463.6"/>
    <n v="3029.8"/>
    <n v="13493.4"/>
    <n v="25.08"/>
    <n v="0.1"/>
    <n v="2957.7"/>
    <n v="13421.3"/>
    <n v="600.1"/>
    <n v="600"/>
    <n v="211977.4"/>
    <n v="25.11"/>
  </r>
  <r>
    <s v="2000_0.2_0.5_1000_3.0_order_1"/>
    <x v="0"/>
    <n v="0.2"/>
    <n v="0.5"/>
    <n v="1000"/>
    <n v="3"/>
    <n v="1"/>
    <x v="2"/>
    <n v="283040.5"/>
    <n v="115997.2"/>
    <n v="167043.29999999999"/>
    <n v="600"/>
    <n v="600.79"/>
    <n v="78100.7"/>
    <n v="116123.4"/>
    <n v="194224.1"/>
    <n v="9963.7999999999993"/>
    <n v="3301.9"/>
    <n v="13265.7"/>
    <n v="26.69"/>
    <n v="0.17"/>
    <n v="3212.7"/>
    <n v="13176.5"/>
    <n v="600.96"/>
    <n v="600"/>
    <n v="207400.6"/>
    <n v="26.72"/>
  </r>
  <r>
    <s v="2000_0.2_0.5_1000_3.0_order_1"/>
    <x v="0"/>
    <n v="0.2"/>
    <n v="0.5"/>
    <n v="1000"/>
    <n v="3"/>
    <n v="1"/>
    <x v="3"/>
    <n v="283040.5"/>
    <n v="115997.2"/>
    <n v="167043.29999999999"/>
    <n v="600"/>
    <n v="600"/>
    <n v="77838.8"/>
    <n v="115254.6"/>
    <n v="193093.4"/>
    <n v="10688"/>
    <n v="2680.4"/>
    <n v="13368.4"/>
    <n v="27.06"/>
    <n v="0.05"/>
    <n v="2565.4"/>
    <n v="13253.4"/>
    <n v="600.04999999999995"/>
    <n v="600"/>
    <n v="206346.8"/>
    <n v="27.1"/>
  </r>
  <r>
    <s v="2000_0.2_0.5_1000_3.0_order_2"/>
    <x v="0"/>
    <n v="0.2"/>
    <n v="0.5"/>
    <n v="1000"/>
    <n v="3"/>
    <n v="2"/>
    <x v="0"/>
    <n v="287067.8"/>
    <n v="115740.2"/>
    <n v="171327.6"/>
    <n v="600"/>
    <n v="600.29999999999995"/>
    <n v="77451.5"/>
    <n v="116694.8"/>
    <n v="194146.3"/>
    <n v="10526.2"/>
    <n v="2720.8"/>
    <n v="13247"/>
    <n v="27.75"/>
    <n v="0.09"/>
    <n v="2683.6"/>
    <n v="13209.8"/>
    <n v="600.39"/>
    <n v="600"/>
    <n v="207356.1"/>
    <n v="27.77"/>
  </r>
  <r>
    <s v="2000_0.2_0.5_1000_3.0_order_2"/>
    <x v="0"/>
    <n v="0.2"/>
    <n v="0.5"/>
    <n v="1000"/>
    <n v="3"/>
    <n v="2"/>
    <x v="1"/>
    <n v="287067.8"/>
    <n v="115740.2"/>
    <n v="171327.6"/>
    <n v="600"/>
    <n v="600"/>
    <n v="79800.800000000003"/>
    <n v="118590"/>
    <n v="198390.8"/>
    <n v="10479.6"/>
    <n v="3306.1"/>
    <n v="13785.7"/>
    <n v="26.09"/>
    <n v="0.08"/>
    <n v="3091.5"/>
    <n v="13571.1"/>
    <n v="600.08000000000004"/>
    <n v="600"/>
    <n v="211961.9"/>
    <n v="26.16"/>
  </r>
  <r>
    <s v="2000_0.2_0.5_1000_3.0_order_2"/>
    <x v="0"/>
    <n v="0.2"/>
    <n v="0.5"/>
    <n v="1000"/>
    <n v="3"/>
    <n v="2"/>
    <x v="2"/>
    <n v="287067.8"/>
    <n v="115740.2"/>
    <n v="171327.6"/>
    <n v="600"/>
    <n v="600.03"/>
    <n v="78674.2"/>
    <n v="116144.2"/>
    <n v="194818.4"/>
    <n v="10498.7"/>
    <n v="3129.7"/>
    <n v="13628.4"/>
    <n v="27.39"/>
    <n v="0.13"/>
    <n v="3022.5"/>
    <n v="13521.2"/>
    <n v="600.15"/>
    <n v="600"/>
    <n v="208339.6"/>
    <n v="27.42"/>
  </r>
  <r>
    <s v="2000_0.2_0.5_1000_3.0_order_2"/>
    <x v="0"/>
    <n v="0.2"/>
    <n v="0.5"/>
    <n v="1000"/>
    <n v="3"/>
    <n v="2"/>
    <x v="3"/>
    <n v="287067.8"/>
    <n v="115740.2"/>
    <n v="171327.6"/>
    <n v="600"/>
    <n v="600.38"/>
    <n v="77872.2"/>
    <n v="115476.4"/>
    <n v="193348.6"/>
    <n v="10530.6"/>
    <n v="3035.1"/>
    <n v="13565.7"/>
    <n v="27.92"/>
    <n v="7.0000000000000007E-2"/>
    <n v="2888.9"/>
    <n v="13419.5"/>
    <n v="600.45000000000005"/>
    <n v="600"/>
    <n v="206768.1"/>
    <n v="27.97"/>
  </r>
  <r>
    <s v="2000_0.2_0.5_1000_3.0_order_3"/>
    <x v="0"/>
    <n v="0.2"/>
    <n v="0.5"/>
    <n v="1000"/>
    <n v="3"/>
    <n v="3"/>
    <x v="0"/>
    <n v="275704.5"/>
    <n v="112434.7"/>
    <n v="163269.79999999999"/>
    <n v="600"/>
    <n v="601.04"/>
    <n v="76063.100000000006"/>
    <n v="112400.4"/>
    <n v="188463.5"/>
    <n v="10554.7"/>
    <n v="2719.5"/>
    <n v="13274.2"/>
    <n v="26.83"/>
    <n v="0.06"/>
    <n v="2696.2"/>
    <n v="13250.9"/>
    <n v="601.1"/>
    <n v="600"/>
    <n v="201714.4"/>
    <n v="26.84"/>
  </r>
  <r>
    <s v="2000_0.2_0.5_1000_3.0_order_3"/>
    <x v="0"/>
    <n v="0.2"/>
    <n v="0.5"/>
    <n v="1000"/>
    <n v="3"/>
    <n v="3"/>
    <x v="1"/>
    <n v="275704.5"/>
    <n v="112434.7"/>
    <n v="163269.79999999999"/>
    <n v="600"/>
    <n v="600.01"/>
    <n v="76580.899999999994"/>
    <n v="115510.6"/>
    <n v="192091.5"/>
    <n v="10585.2"/>
    <n v="3107.9"/>
    <n v="13693.1"/>
    <n v="25.36"/>
    <n v="0.11"/>
    <n v="2995.8"/>
    <n v="13581"/>
    <n v="600.12"/>
    <n v="599"/>
    <n v="205672.5"/>
    <n v="25.4"/>
  </r>
  <r>
    <s v="2000_0.2_0.5_1000_3.0_order_3"/>
    <x v="0"/>
    <n v="0.2"/>
    <n v="0.5"/>
    <n v="1000"/>
    <n v="3"/>
    <n v="3"/>
    <x v="2"/>
    <n v="275704.5"/>
    <n v="112434.7"/>
    <n v="163269.79999999999"/>
    <n v="600"/>
    <n v="600.9"/>
    <n v="75727.199999999997"/>
    <n v="112587"/>
    <n v="188314.2"/>
    <n v="10592.8"/>
    <n v="3105.9"/>
    <n v="13698.7"/>
    <n v="26.73"/>
    <n v="0.11"/>
    <n v="2931.1"/>
    <n v="13523.9"/>
    <n v="601.01"/>
    <n v="600"/>
    <n v="201838.1"/>
    <n v="26.79"/>
  </r>
  <r>
    <s v="2000_0.2_0.5_1000_3.0_order_3"/>
    <x v="0"/>
    <n v="0.2"/>
    <n v="0.5"/>
    <n v="1000"/>
    <n v="3"/>
    <n v="3"/>
    <x v="3"/>
    <n v="275704.5"/>
    <n v="112434.7"/>
    <n v="163269.79999999999"/>
    <n v="600"/>
    <n v="600.75"/>
    <n v="75934.3"/>
    <n v="112821.9"/>
    <n v="188756.2"/>
    <n v="10246.1"/>
    <n v="2888"/>
    <n v="13134.1"/>
    <n v="26.77"/>
    <n v="0.08"/>
    <n v="2784.9"/>
    <n v="13031"/>
    <n v="600.83000000000004"/>
    <n v="600"/>
    <n v="201787.2"/>
    <n v="26.81"/>
  </r>
  <r>
    <s v="2000_0.2_0.5_1000_3.0_order_4"/>
    <x v="0"/>
    <n v="0.2"/>
    <n v="0.5"/>
    <n v="1000"/>
    <n v="3"/>
    <n v="4"/>
    <x v="0"/>
    <n v="282330.5"/>
    <n v="110718.7"/>
    <n v="171611.8"/>
    <n v="600"/>
    <n v="600.20000000000005"/>
    <n v="74548.800000000003"/>
    <n v="116603.3"/>
    <n v="191152.1"/>
    <n v="10706.1"/>
    <n v="3026.5"/>
    <n v="13732.6"/>
    <n v="27.43"/>
    <n v="7.0000000000000007E-2"/>
    <n v="2998.1"/>
    <n v="13704.2"/>
    <n v="600.27"/>
    <n v="600"/>
    <n v="204856.3"/>
    <n v="27.44"/>
  </r>
  <r>
    <s v="2000_0.2_0.5_1000_3.0_order_4"/>
    <x v="0"/>
    <n v="0.2"/>
    <n v="0.5"/>
    <n v="1000"/>
    <n v="3"/>
    <n v="4"/>
    <x v="1"/>
    <n v="282330.5"/>
    <n v="110718.7"/>
    <n v="171611.8"/>
    <n v="600"/>
    <n v="600.01"/>
    <n v="76042.600000000006"/>
    <n v="120216"/>
    <n v="196258.6"/>
    <n v="10925.3"/>
    <n v="3243"/>
    <n v="14168.3"/>
    <n v="25.47"/>
    <n v="0.12"/>
    <n v="3144.5"/>
    <n v="14069.8"/>
    <n v="600.13"/>
    <n v="600"/>
    <n v="210328.4"/>
    <n v="25.5"/>
  </r>
  <r>
    <s v="2000_0.2_0.5_1000_3.0_order_4"/>
    <x v="0"/>
    <n v="0.2"/>
    <n v="0.5"/>
    <n v="1000"/>
    <n v="3"/>
    <n v="4"/>
    <x v="2"/>
    <n v="282330.5"/>
    <n v="110718.7"/>
    <n v="171611.8"/>
    <n v="600"/>
    <n v="600.55999999999995"/>
    <n v="75155.199999999997"/>
    <n v="118302.39999999999"/>
    <n v="193457.6"/>
    <n v="10155.4"/>
    <n v="3391.4"/>
    <n v="13546.8"/>
    <n v="26.68"/>
    <n v="0.15"/>
    <n v="3278.4"/>
    <n v="13433.8"/>
    <n v="600.71"/>
    <n v="600"/>
    <n v="206891.4"/>
    <n v="26.72"/>
  </r>
  <r>
    <s v="2000_0.2_0.5_1000_3.0_order_4"/>
    <x v="0"/>
    <n v="0.2"/>
    <n v="0.5"/>
    <n v="1000"/>
    <n v="3"/>
    <n v="4"/>
    <x v="3"/>
    <n v="282330.5"/>
    <n v="110718.7"/>
    <n v="171611.8"/>
    <n v="600"/>
    <n v="600.17999999999995"/>
    <n v="74516.7"/>
    <n v="118192.5"/>
    <n v="192709.2"/>
    <n v="10900"/>
    <n v="3161.3"/>
    <n v="14061.3"/>
    <n v="26.76"/>
    <n v="0.08"/>
    <n v="3006.5"/>
    <n v="13906.5"/>
    <n v="600.26"/>
    <n v="600"/>
    <n v="206615.7"/>
    <n v="26.82"/>
  </r>
  <r>
    <s v="2000_0.2_0.5_1000_3.0_order_5"/>
    <x v="0"/>
    <n v="0.2"/>
    <n v="0.5"/>
    <n v="1000"/>
    <n v="3"/>
    <n v="5"/>
    <x v="0"/>
    <n v="283217.40000000002"/>
    <n v="112913.8"/>
    <n v="170303.6"/>
    <n v="600"/>
    <n v="600.9"/>
    <n v="74958.100000000006"/>
    <n v="115186.4"/>
    <n v="190144.5"/>
    <n v="10428.700000000001"/>
    <n v="2786"/>
    <n v="13214.7"/>
    <n v="28.2"/>
    <n v="0.06"/>
    <n v="2784.6"/>
    <n v="13213.3"/>
    <n v="600.96"/>
    <n v="600"/>
    <n v="203357.8"/>
    <n v="28.2"/>
  </r>
  <r>
    <s v="2000_0.2_0.5_1000_3.0_order_5"/>
    <x v="0"/>
    <n v="0.2"/>
    <n v="0.5"/>
    <n v="1000"/>
    <n v="3"/>
    <n v="5"/>
    <x v="1"/>
    <n v="283217.40000000002"/>
    <n v="112913.8"/>
    <n v="170303.6"/>
    <n v="600"/>
    <n v="600.01"/>
    <n v="76826"/>
    <n v="117409.3"/>
    <n v="194235.3"/>
    <n v="10357.1"/>
    <n v="3045.5"/>
    <n v="13402.6"/>
    <n v="26.69"/>
    <n v="0.1"/>
    <n v="2948.7"/>
    <n v="13305.8"/>
    <n v="600.11"/>
    <n v="600"/>
    <n v="207541.1"/>
    <n v="26.72"/>
  </r>
  <r>
    <s v="2000_0.2_0.5_1000_3.0_order_5"/>
    <x v="0"/>
    <n v="0.2"/>
    <n v="0.5"/>
    <n v="1000"/>
    <n v="3"/>
    <n v="5"/>
    <x v="2"/>
    <n v="283217.40000000002"/>
    <n v="112913.8"/>
    <n v="170303.6"/>
    <n v="600"/>
    <n v="600.82000000000005"/>
    <n v="75694.899999999994"/>
    <n v="115608.7"/>
    <n v="191303.6"/>
    <n v="10440.299999999999"/>
    <n v="3465"/>
    <n v="13905.3"/>
    <n v="27.54"/>
    <n v="0.19"/>
    <n v="3263"/>
    <n v="13703.3"/>
    <n v="601.01"/>
    <n v="600"/>
    <n v="205006.9"/>
    <n v="27.62"/>
  </r>
  <r>
    <s v="2000_0.2_0.5_1000_3.0_order_5"/>
    <x v="0"/>
    <n v="0.2"/>
    <n v="0.5"/>
    <n v="1000"/>
    <n v="3"/>
    <n v="5"/>
    <x v="3"/>
    <n v="283217.40000000002"/>
    <n v="112913.8"/>
    <n v="170303.6"/>
    <n v="600"/>
    <n v="600.03"/>
    <n v="75032.3"/>
    <n v="115915.7"/>
    <n v="190948"/>
    <n v="11087.8"/>
    <n v="2939.4"/>
    <n v="14027.2"/>
    <n v="27.63"/>
    <n v="7.0000000000000007E-2"/>
    <n v="2869.7"/>
    <n v="13957.5"/>
    <n v="600.1"/>
    <n v="600"/>
    <n v="204905.5"/>
    <n v="27.65"/>
  </r>
  <r>
    <s v="2000_0.3_0.5_1000_1.0_order_1"/>
    <x v="0"/>
    <n v="0.3"/>
    <n v="0.5"/>
    <n v="1000"/>
    <n v="1"/>
    <n v="1"/>
    <x v="0"/>
    <n v="143469.20000000001"/>
    <n v="56871.8"/>
    <n v="86597.4"/>
    <n v="600"/>
    <n v="600.95000000000005"/>
    <n v="35041.599999999999"/>
    <n v="50103.6"/>
    <n v="85145.2"/>
    <n v="11343.8"/>
    <n v="4320.3999999999996"/>
    <n v="15664.2"/>
    <n v="29.73"/>
    <n v="0.08"/>
    <n v="4320.3999999999996"/>
    <n v="15664.2"/>
    <n v="601.03"/>
    <n v="600"/>
    <n v="100809.4"/>
    <n v="29.73"/>
  </r>
  <r>
    <s v="2000_0.3_0.5_1000_1.0_order_1"/>
    <x v="0"/>
    <n v="0.3"/>
    <n v="0.5"/>
    <n v="1000"/>
    <n v="1"/>
    <n v="1"/>
    <x v="1"/>
    <n v="143469.20000000001"/>
    <n v="56871.8"/>
    <n v="86597.4"/>
    <n v="600"/>
    <n v="600"/>
    <n v="34999.699999999997"/>
    <n v="50660.800000000003"/>
    <n v="85660.5"/>
    <n v="11326.1"/>
    <n v="4806"/>
    <n v="16132.1"/>
    <n v="29.05"/>
    <n v="0.14000000000000001"/>
    <n v="4752"/>
    <n v="16078.1"/>
    <n v="600.14"/>
    <n v="600"/>
    <n v="101738.6"/>
    <n v="29.09"/>
  </r>
  <r>
    <s v="2000_0.3_0.5_1000_1.0_order_1"/>
    <x v="0"/>
    <n v="0.3"/>
    <n v="0.5"/>
    <n v="1000"/>
    <n v="1"/>
    <n v="1"/>
    <x v="2"/>
    <n v="143469.20000000001"/>
    <n v="56871.8"/>
    <n v="86597.4"/>
    <n v="600"/>
    <n v="600.82000000000005"/>
    <n v="35480"/>
    <n v="50950.9"/>
    <n v="86430.9"/>
    <n v="10817.8"/>
    <n v="5320.6"/>
    <n v="16138.4"/>
    <n v="28.51"/>
    <n v="0.26"/>
    <n v="5198.3999999999996"/>
    <n v="16016.2"/>
    <n v="601.08000000000004"/>
    <n v="600"/>
    <n v="102447.1"/>
    <n v="28.59"/>
  </r>
  <r>
    <s v="2000_0.3_0.5_1000_1.0_order_1"/>
    <x v="0"/>
    <n v="0.3"/>
    <n v="0.5"/>
    <n v="1000"/>
    <n v="1"/>
    <n v="1"/>
    <x v="3"/>
    <n v="143469.20000000001"/>
    <n v="56871.8"/>
    <n v="86597.4"/>
    <n v="600"/>
    <n v="600.9"/>
    <n v="35013.599999999999"/>
    <n v="51342.6"/>
    <n v="86356.2"/>
    <n v="11217.5"/>
    <n v="4297.7"/>
    <n v="15515.2"/>
    <n v="28.99"/>
    <n v="0.13"/>
    <n v="4237.3999999999996"/>
    <n v="15454.9"/>
    <n v="601.03"/>
    <n v="600"/>
    <n v="101811.1"/>
    <n v="29.04"/>
  </r>
  <r>
    <s v="2000_0.3_0.5_1000_1.0_order_2"/>
    <x v="0"/>
    <n v="0.3"/>
    <n v="0.5"/>
    <n v="1000"/>
    <n v="1"/>
    <n v="2"/>
    <x v="0"/>
    <n v="151717.5"/>
    <n v="60829.1"/>
    <n v="90888.4"/>
    <n v="600"/>
    <n v="600.79"/>
    <n v="35030.400000000001"/>
    <n v="52100.4"/>
    <n v="87130.8"/>
    <n v="12010.8"/>
    <n v="4002.6"/>
    <n v="16013.4"/>
    <n v="32.020000000000003"/>
    <n v="0.08"/>
    <n v="3987.1"/>
    <n v="15997.9"/>
    <n v="600.87"/>
    <n v="600"/>
    <n v="103128.7"/>
    <n v="32.03"/>
  </r>
  <r>
    <s v="2000_0.3_0.5_1000_1.0_order_2"/>
    <x v="0"/>
    <n v="0.3"/>
    <n v="0.5"/>
    <n v="1000"/>
    <n v="1"/>
    <n v="2"/>
    <x v="1"/>
    <n v="151717.5"/>
    <n v="60829.1"/>
    <n v="90888.4"/>
    <n v="600"/>
    <n v="600.01"/>
    <n v="35196.800000000003"/>
    <n v="52782.400000000001"/>
    <n v="87979.199999999997"/>
    <n v="12032.6"/>
    <n v="4623.3"/>
    <n v="16655.900000000001"/>
    <n v="31.03"/>
    <n v="0.11"/>
    <n v="4587.6000000000004"/>
    <n v="16620.2"/>
    <n v="600.11"/>
    <n v="599"/>
    <n v="104599.4"/>
    <n v="31.06"/>
  </r>
  <r>
    <s v="2000_0.3_0.5_1000_1.0_order_2"/>
    <x v="0"/>
    <n v="0.3"/>
    <n v="0.5"/>
    <n v="1000"/>
    <n v="1"/>
    <n v="2"/>
    <x v="2"/>
    <n v="151717.5"/>
    <n v="60829.1"/>
    <n v="90888.4"/>
    <n v="600"/>
    <n v="600.36"/>
    <n v="35812.9"/>
    <n v="53005.2"/>
    <n v="88818.1"/>
    <n v="10810.3"/>
    <n v="5217.3999999999996"/>
    <n v="16027.7"/>
    <n v="30.89"/>
    <n v="0.25"/>
    <n v="5159.8999999999996"/>
    <n v="15970.2"/>
    <n v="600.62"/>
    <n v="600"/>
    <n v="104788.3"/>
    <n v="30.93"/>
  </r>
  <r>
    <s v="2000_0.3_0.5_1000_1.0_order_2"/>
    <x v="0"/>
    <n v="0.3"/>
    <n v="0.5"/>
    <n v="1000"/>
    <n v="1"/>
    <n v="2"/>
    <x v="3"/>
    <n v="151717.5"/>
    <n v="60829.1"/>
    <n v="90888.4"/>
    <n v="600"/>
    <n v="600.71"/>
    <n v="35728.6"/>
    <n v="53069.2"/>
    <n v="88797.8"/>
    <n v="11787.3"/>
    <n v="3928.9"/>
    <n v="15716.2"/>
    <n v="31.11"/>
    <n v="7.0000000000000007E-2"/>
    <n v="3859.4"/>
    <n v="15646.7"/>
    <n v="600.79"/>
    <n v="598"/>
    <n v="104444.5"/>
    <n v="31.16"/>
  </r>
  <r>
    <s v="2000_0.3_0.5_1000_1.0_order_3"/>
    <x v="0"/>
    <n v="0.3"/>
    <n v="0.5"/>
    <n v="1000"/>
    <n v="1"/>
    <n v="3"/>
    <x v="0"/>
    <n v="147202.29999999999"/>
    <n v="59853.2"/>
    <n v="87349.1"/>
    <n v="600"/>
    <n v="601.19000000000005"/>
    <n v="35288.6"/>
    <n v="49628.2"/>
    <n v="84916.800000000003"/>
    <n v="11606.2"/>
    <n v="4165.3"/>
    <n v="15771.5"/>
    <n v="31.6"/>
    <n v="0.08"/>
    <n v="4156.2"/>
    <n v="15762.4"/>
    <n v="601.27"/>
    <n v="600"/>
    <n v="100679.2"/>
    <n v="31.6"/>
  </r>
  <r>
    <s v="2000_0.3_0.5_1000_1.0_order_3"/>
    <x v="0"/>
    <n v="0.3"/>
    <n v="0.5"/>
    <n v="1000"/>
    <n v="1"/>
    <n v="3"/>
    <x v="1"/>
    <n v="147202.29999999999"/>
    <n v="59853.2"/>
    <n v="87349.1"/>
    <n v="600"/>
    <n v="600"/>
    <n v="35528.9"/>
    <n v="49784.2"/>
    <n v="85313.1"/>
    <n v="11725"/>
    <n v="4506"/>
    <n v="16231"/>
    <n v="31.02"/>
    <n v="0.13"/>
    <n v="4446.2"/>
    <n v="16171.2"/>
    <n v="600.13"/>
    <n v="600"/>
    <n v="101484.3"/>
    <n v="31.06"/>
  </r>
  <r>
    <s v="2000_0.3_0.5_1000_1.0_order_3"/>
    <x v="0"/>
    <n v="0.3"/>
    <n v="0.5"/>
    <n v="1000"/>
    <n v="1"/>
    <n v="3"/>
    <x v="2"/>
    <n v="147202.29999999999"/>
    <n v="59853.2"/>
    <n v="87349.1"/>
    <n v="600"/>
    <n v="600.45000000000005"/>
    <n v="35852.699999999997"/>
    <n v="50068.800000000003"/>
    <n v="85921.5"/>
    <n v="10551"/>
    <n v="5410.8"/>
    <n v="15961.8"/>
    <n v="30.79"/>
    <n v="0.32"/>
    <n v="5387.8"/>
    <n v="15938.8"/>
    <n v="600.76"/>
    <n v="599"/>
    <n v="101860.3"/>
    <n v="30.8"/>
  </r>
  <r>
    <s v="2000_0.3_0.5_1000_1.0_order_3"/>
    <x v="0"/>
    <n v="0.3"/>
    <n v="0.5"/>
    <n v="1000"/>
    <n v="1"/>
    <n v="3"/>
    <x v="3"/>
    <n v="147202.29999999999"/>
    <n v="59853.2"/>
    <n v="87349.1"/>
    <n v="600"/>
    <n v="600.62"/>
    <n v="35849.199999999997"/>
    <n v="49761.2"/>
    <n v="85610.4"/>
    <n v="11720.2"/>
    <n v="4038.1"/>
    <n v="15758.3"/>
    <n v="31.14"/>
    <n v="0.08"/>
    <n v="4002.4"/>
    <n v="15722.6"/>
    <n v="600.70000000000005"/>
    <n v="600"/>
    <n v="101333"/>
    <n v="31.16"/>
  </r>
  <r>
    <s v="2000_0.3_0.5_1000_1.0_order_4"/>
    <x v="0"/>
    <n v="0.3"/>
    <n v="0.5"/>
    <n v="1000"/>
    <n v="1"/>
    <n v="4"/>
    <x v="0"/>
    <n v="144352.9"/>
    <n v="59480.4"/>
    <n v="84872.5"/>
    <n v="600"/>
    <n v="600.79999999999995"/>
    <n v="34828.199999999997"/>
    <n v="48580"/>
    <n v="83408.2"/>
    <n v="11937.9"/>
    <n v="4233.2"/>
    <n v="16171.1"/>
    <n v="31.02"/>
    <n v="0.09"/>
    <n v="4226.8"/>
    <n v="16164.7"/>
    <n v="600.9"/>
    <n v="600"/>
    <n v="99572.9"/>
    <n v="31.02"/>
  </r>
  <r>
    <s v="2000_0.3_0.5_1000_1.0_order_4"/>
    <x v="0"/>
    <n v="0.3"/>
    <n v="0.5"/>
    <n v="1000"/>
    <n v="1"/>
    <n v="4"/>
    <x v="1"/>
    <n v="144352.9"/>
    <n v="59480.4"/>
    <n v="84872.5"/>
    <n v="600"/>
    <n v="600.01"/>
    <n v="34801.5"/>
    <n v="49091.5"/>
    <n v="83893"/>
    <n v="11694.7"/>
    <n v="4742.2"/>
    <n v="16436.900000000001"/>
    <n v="30.5"/>
    <n v="0.11"/>
    <n v="4705"/>
    <n v="16399.7"/>
    <n v="600.12"/>
    <n v="600"/>
    <n v="100292.7"/>
    <n v="30.52"/>
  </r>
  <r>
    <s v="2000_0.3_0.5_1000_1.0_order_4"/>
    <x v="0"/>
    <n v="0.3"/>
    <n v="0.5"/>
    <n v="1000"/>
    <n v="1"/>
    <n v="4"/>
    <x v="2"/>
    <n v="144352.9"/>
    <n v="59480.4"/>
    <n v="84872.5"/>
    <n v="600"/>
    <n v="600.27"/>
    <n v="35269.699999999997"/>
    <n v="49307.5"/>
    <n v="84577.2"/>
    <n v="10696.6"/>
    <n v="5271.7"/>
    <n v="15968.3"/>
    <n v="30.35"/>
    <n v="0.38"/>
    <n v="5179.3"/>
    <n v="15875.9"/>
    <n v="600.64"/>
    <n v="600"/>
    <n v="100453.1"/>
    <n v="30.41"/>
  </r>
  <r>
    <s v="2000_0.3_0.5_1000_1.0_order_4"/>
    <x v="0"/>
    <n v="0.3"/>
    <n v="0.5"/>
    <n v="1000"/>
    <n v="1"/>
    <n v="4"/>
    <x v="3"/>
    <n v="144352.9"/>
    <n v="59480.4"/>
    <n v="84872.5"/>
    <n v="600"/>
    <n v="600.21"/>
    <n v="34904.699999999997"/>
    <n v="49200"/>
    <n v="84104.7"/>
    <n v="11811.2"/>
    <n v="4181.6000000000004"/>
    <n v="15992.8"/>
    <n v="30.66"/>
    <n v="0.08"/>
    <n v="4155"/>
    <n v="15966.2"/>
    <n v="600.29"/>
    <n v="600"/>
    <n v="100070.9"/>
    <n v="30.68"/>
  </r>
  <r>
    <s v="2000_0.3_0.5_1000_1.0_order_5"/>
    <x v="0"/>
    <n v="0.3"/>
    <n v="0.5"/>
    <n v="1000"/>
    <n v="1"/>
    <n v="5"/>
    <x v="0"/>
    <n v="148278.39999999999"/>
    <n v="59478.6"/>
    <n v="88799.8"/>
    <n v="600"/>
    <n v="600.54"/>
    <n v="35279.800000000003"/>
    <n v="50552"/>
    <n v="85831.8"/>
    <n v="11892.7"/>
    <n v="4307.5"/>
    <n v="16200.2"/>
    <n v="31.19"/>
    <n v="0.08"/>
    <n v="4298.8999999999996"/>
    <n v="16191.6"/>
    <n v="600.62"/>
    <n v="600"/>
    <n v="102023.4"/>
    <n v="31.19"/>
  </r>
  <r>
    <s v="2000_0.3_0.5_1000_1.0_order_5"/>
    <x v="0"/>
    <n v="0.3"/>
    <n v="0.5"/>
    <n v="1000"/>
    <n v="1"/>
    <n v="5"/>
    <x v="1"/>
    <n v="148278.39999999999"/>
    <n v="59478.6"/>
    <n v="88799.8"/>
    <n v="600"/>
    <n v="600.01"/>
    <n v="35124.5"/>
    <n v="50581.5"/>
    <n v="85706"/>
    <n v="11830.6"/>
    <n v="4932.5"/>
    <n v="16763.099999999999"/>
    <n v="30.89"/>
    <n v="0.15"/>
    <n v="4925"/>
    <n v="16755.599999999999"/>
    <n v="600.16"/>
    <n v="600"/>
    <n v="102461.6"/>
    <n v="30.9"/>
  </r>
  <r>
    <s v="2000_0.3_0.5_1000_1.0_order_5"/>
    <x v="0"/>
    <n v="0.3"/>
    <n v="0.5"/>
    <n v="1000"/>
    <n v="1"/>
    <n v="5"/>
    <x v="2"/>
    <n v="148278.39999999999"/>
    <n v="59478.6"/>
    <n v="88799.8"/>
    <n v="600"/>
    <n v="600.89"/>
    <n v="35415"/>
    <n v="51286.3"/>
    <n v="86701.3"/>
    <n v="10636.3"/>
    <n v="5550.3"/>
    <n v="16186.6"/>
    <n v="30.61"/>
    <n v="0.24"/>
    <n v="5463.3"/>
    <n v="16099.6"/>
    <n v="601.14"/>
    <n v="600"/>
    <n v="102800.9"/>
    <n v="30.67"/>
  </r>
  <r>
    <s v="2000_0.3_0.5_1000_1.0_order_5"/>
    <x v="0"/>
    <n v="0.3"/>
    <n v="0.5"/>
    <n v="1000"/>
    <n v="1"/>
    <n v="5"/>
    <x v="3"/>
    <n v="148278.39999999999"/>
    <n v="59478.6"/>
    <n v="88799.8"/>
    <n v="600"/>
    <n v="600.1"/>
    <n v="36216.699999999997"/>
    <n v="51100.6"/>
    <n v="87317.3"/>
    <n v="11607.2"/>
    <n v="4188.1000000000004"/>
    <n v="15795.3"/>
    <n v="30.46"/>
    <n v="0.08"/>
    <n v="4082.2"/>
    <n v="15689.4"/>
    <n v="600.17999999999995"/>
    <n v="600"/>
    <n v="103006.7"/>
    <n v="30.53"/>
  </r>
  <r>
    <s v="2000_0.3_0.5_1000_2.0_order_1"/>
    <x v="0"/>
    <n v="0.3"/>
    <n v="0.5"/>
    <n v="1000"/>
    <n v="2"/>
    <n v="1"/>
    <x v="0"/>
    <n v="226019.20000000001"/>
    <n v="89595.9"/>
    <n v="136423.29999999999"/>
    <n v="600"/>
    <n v="600.72"/>
    <n v="55223.199999999997"/>
    <n v="81688.399999999994"/>
    <n v="136911.6"/>
    <n v="11288.8"/>
    <n v="4246.1000000000004"/>
    <n v="15534.9"/>
    <n v="32.549999999999997"/>
    <n v="0.11"/>
    <n v="4246.1000000000004"/>
    <n v="15534.9"/>
    <n v="600.82000000000005"/>
    <n v="600"/>
    <n v="152446.5"/>
    <n v="32.549999999999997"/>
  </r>
  <r>
    <s v="2000_0.3_0.5_1000_2.0_order_1"/>
    <x v="0"/>
    <n v="0.3"/>
    <n v="0.5"/>
    <n v="1000"/>
    <n v="2"/>
    <n v="1"/>
    <x v="1"/>
    <n v="226019.20000000001"/>
    <n v="89595.9"/>
    <n v="136423.29999999999"/>
    <n v="600"/>
    <n v="600.01"/>
    <n v="56374.7"/>
    <n v="84292.9"/>
    <n v="140667.6"/>
    <n v="10990"/>
    <n v="4889.6000000000004"/>
    <n v="15879.6"/>
    <n v="30.74"/>
    <n v="0.17"/>
    <n v="4823.6000000000004"/>
    <n v="15813.6"/>
    <n v="600.16999999999996"/>
    <n v="600"/>
    <n v="156481.20000000001"/>
    <n v="30.77"/>
  </r>
  <r>
    <s v="2000_0.3_0.5_1000_2.0_order_1"/>
    <x v="0"/>
    <n v="0.3"/>
    <n v="0.5"/>
    <n v="1000"/>
    <n v="2"/>
    <n v="1"/>
    <x v="2"/>
    <n v="226019.20000000001"/>
    <n v="89595.9"/>
    <n v="136423.29999999999"/>
    <n v="600"/>
    <n v="600.08000000000004"/>
    <n v="56052.800000000003"/>
    <n v="82394.899999999994"/>
    <n v="138447.70000000001"/>
    <n v="10657.5"/>
    <n v="4783.8"/>
    <n v="15441.3"/>
    <n v="31.91"/>
    <n v="0.22"/>
    <n v="4703.8999999999996"/>
    <n v="15361.4"/>
    <n v="600.29999999999995"/>
    <n v="599"/>
    <n v="153809.1"/>
    <n v="31.95"/>
  </r>
  <r>
    <s v="2000_0.3_0.5_1000_2.0_order_1"/>
    <x v="0"/>
    <n v="0.3"/>
    <n v="0.5"/>
    <n v="1000"/>
    <n v="2"/>
    <n v="1"/>
    <x v="3"/>
    <n v="226019.20000000001"/>
    <n v="89595.9"/>
    <n v="136423.29999999999"/>
    <n v="600"/>
    <n v="600.12"/>
    <n v="55621.4"/>
    <n v="81840.3"/>
    <n v="137461.70000000001"/>
    <n v="11319.8"/>
    <n v="4249.2"/>
    <n v="15569"/>
    <n v="32.29"/>
    <n v="0.14000000000000001"/>
    <n v="4171.6000000000004"/>
    <n v="15491.4"/>
    <n v="600.26"/>
    <n v="600"/>
    <n v="152953.1"/>
    <n v="32.33"/>
  </r>
  <r>
    <s v="2000_0.3_0.5_1000_2.0_order_2"/>
    <x v="0"/>
    <n v="0.3"/>
    <n v="0.5"/>
    <n v="1000"/>
    <n v="2"/>
    <n v="2"/>
    <x v="0"/>
    <n v="220764"/>
    <n v="89826.2"/>
    <n v="130937.8"/>
    <n v="600"/>
    <n v="600.49"/>
    <n v="55589.5"/>
    <n v="79896.2"/>
    <n v="135485.70000000001"/>
    <n v="10909.8"/>
    <n v="3811.5"/>
    <n v="14721.3"/>
    <n v="31.96"/>
    <n v="0.13"/>
    <n v="3811.5"/>
    <n v="14721.3"/>
    <n v="600.63"/>
    <n v="600"/>
    <n v="150207"/>
    <n v="31.96"/>
  </r>
  <r>
    <s v="2000_0.3_0.5_1000_2.0_order_2"/>
    <x v="0"/>
    <n v="0.3"/>
    <n v="0.5"/>
    <n v="1000"/>
    <n v="2"/>
    <n v="2"/>
    <x v="1"/>
    <n v="220764"/>
    <n v="89826.2"/>
    <n v="130937.8"/>
    <n v="600"/>
    <n v="600"/>
    <n v="55853"/>
    <n v="81129"/>
    <n v="136982"/>
    <n v="11107.8"/>
    <n v="4540.7"/>
    <n v="15648.5"/>
    <n v="30.86"/>
    <n v="0.15"/>
    <n v="4438.6000000000004"/>
    <n v="15546.4"/>
    <n v="600.15"/>
    <n v="600"/>
    <n v="152528.4"/>
    <n v="30.91"/>
  </r>
  <r>
    <s v="2000_0.3_0.5_1000_2.0_order_2"/>
    <x v="0"/>
    <n v="0.3"/>
    <n v="0.5"/>
    <n v="1000"/>
    <n v="2"/>
    <n v="2"/>
    <x v="2"/>
    <n v="220764"/>
    <n v="89826.2"/>
    <n v="130937.8"/>
    <n v="600"/>
    <n v="600"/>
    <n v="56116.2"/>
    <n v="80104.5"/>
    <n v="136220.70000000001"/>
    <n v="10983.6"/>
    <n v="4593.6000000000004"/>
    <n v="15577.2"/>
    <n v="31.24"/>
    <n v="0.19"/>
    <n v="4479"/>
    <n v="15462.6"/>
    <n v="600.20000000000005"/>
    <n v="600"/>
    <n v="151683.29999999999"/>
    <n v="31.29"/>
  </r>
  <r>
    <s v="2000_0.3_0.5_1000_2.0_order_2"/>
    <x v="0"/>
    <n v="0.3"/>
    <n v="0.5"/>
    <n v="1000"/>
    <n v="2"/>
    <n v="2"/>
    <x v="3"/>
    <n v="220764"/>
    <n v="89826.2"/>
    <n v="130937.8"/>
    <n v="600"/>
    <n v="600.49"/>
    <n v="55408.4"/>
    <n v="80654.3"/>
    <n v="136062.70000000001"/>
    <n v="11171"/>
    <n v="3970.1"/>
    <n v="15141.1"/>
    <n v="31.51"/>
    <n v="0.12"/>
    <n v="3859.1"/>
    <n v="15030.1"/>
    <n v="600.6"/>
    <n v="600"/>
    <n v="151092.79999999999"/>
    <n v="31.56"/>
  </r>
  <r>
    <s v="2000_0.3_0.5_1000_2.0_order_3"/>
    <x v="0"/>
    <n v="0.3"/>
    <n v="0.5"/>
    <n v="1000"/>
    <n v="2"/>
    <n v="3"/>
    <x v="0"/>
    <n v="224411.9"/>
    <n v="89500.3"/>
    <n v="134911.6"/>
    <n v="600"/>
    <n v="600.64"/>
    <n v="56445.8"/>
    <n v="83272.3"/>
    <n v="139718.1"/>
    <n v="10519.9"/>
    <n v="3825"/>
    <n v="14344.9"/>
    <n v="31.35"/>
    <n v="0.13"/>
    <n v="3823.6"/>
    <n v="14343.5"/>
    <n v="600.77"/>
    <n v="600"/>
    <n v="154061.6"/>
    <n v="31.35"/>
  </r>
  <r>
    <s v="2000_0.3_0.5_1000_2.0_order_3"/>
    <x v="0"/>
    <n v="0.3"/>
    <n v="0.5"/>
    <n v="1000"/>
    <n v="2"/>
    <n v="3"/>
    <x v="1"/>
    <n v="224411.9"/>
    <n v="89500.3"/>
    <n v="134911.6"/>
    <n v="600"/>
    <n v="600"/>
    <n v="57391.1"/>
    <n v="84271.5"/>
    <n v="141662.6"/>
    <n v="10872.3"/>
    <n v="4328.7"/>
    <n v="15201"/>
    <n v="30.1"/>
    <n v="0.18"/>
    <n v="4248.8"/>
    <n v="15121.1"/>
    <n v="600.17999999999995"/>
    <n v="600"/>
    <n v="156783.70000000001"/>
    <n v="30.14"/>
  </r>
  <r>
    <s v="2000_0.3_0.5_1000_2.0_order_3"/>
    <x v="0"/>
    <n v="0.3"/>
    <n v="0.5"/>
    <n v="1000"/>
    <n v="2"/>
    <n v="3"/>
    <x v="2"/>
    <n v="224411.9"/>
    <n v="89500.3"/>
    <n v="134911.6"/>
    <n v="600"/>
    <n v="600.01"/>
    <n v="57125.599999999999"/>
    <n v="83021.600000000006"/>
    <n v="140147.20000000001"/>
    <n v="10286.9"/>
    <n v="4459.3999999999996"/>
    <n v="14746.3"/>
    <n v="30.98"/>
    <n v="0.35"/>
    <n v="4249.2"/>
    <n v="14536.1"/>
    <n v="600.36"/>
    <n v="600"/>
    <n v="154683.29999999999"/>
    <n v="31.07"/>
  </r>
  <r>
    <s v="2000_0.3_0.5_1000_2.0_order_3"/>
    <x v="0"/>
    <n v="0.3"/>
    <n v="0.5"/>
    <n v="1000"/>
    <n v="2"/>
    <n v="3"/>
    <x v="3"/>
    <n v="224411.9"/>
    <n v="89500.3"/>
    <n v="134911.6"/>
    <n v="600"/>
    <n v="600.55999999999995"/>
    <n v="56713"/>
    <n v="83298.2"/>
    <n v="140011.20000000001"/>
    <n v="10900.2"/>
    <n v="3968.3"/>
    <n v="14868.5"/>
    <n v="30.98"/>
    <n v="0.13"/>
    <n v="3822.8"/>
    <n v="14723"/>
    <n v="600.70000000000005"/>
    <n v="600"/>
    <n v="154734.20000000001"/>
    <n v="31.05"/>
  </r>
  <r>
    <s v="2000_0.3_0.5_1000_2.0_order_4"/>
    <x v="0"/>
    <n v="0.3"/>
    <n v="0.5"/>
    <n v="1000"/>
    <n v="2"/>
    <n v="4"/>
    <x v="0"/>
    <n v="226364.1"/>
    <n v="92915.3"/>
    <n v="133448.79999999999"/>
    <n v="600"/>
    <n v="601.22"/>
    <n v="58453"/>
    <n v="82056.2"/>
    <n v="140509.20000000001"/>
    <n v="10259.9"/>
    <n v="3934"/>
    <n v="14193.9"/>
    <n v="31.66"/>
    <n v="0.13"/>
    <n v="3934"/>
    <n v="14193.9"/>
    <n v="601.35"/>
    <n v="600"/>
    <n v="154703.1"/>
    <n v="31.66"/>
  </r>
  <r>
    <s v="2000_0.3_0.5_1000_2.0_order_4"/>
    <x v="0"/>
    <n v="0.3"/>
    <n v="0.5"/>
    <n v="1000"/>
    <n v="2"/>
    <n v="4"/>
    <x v="1"/>
    <n v="226364.1"/>
    <n v="92915.3"/>
    <n v="133448.79999999999"/>
    <n v="600"/>
    <n v="600.01"/>
    <n v="58454.9"/>
    <n v="83515.399999999994"/>
    <n v="141970.29999999999"/>
    <n v="10630.5"/>
    <n v="4343"/>
    <n v="14973.5"/>
    <n v="30.67"/>
    <n v="0.19"/>
    <n v="4247.3999999999996"/>
    <n v="14877.9"/>
    <n v="600.20000000000005"/>
    <n v="600"/>
    <n v="156848.20000000001"/>
    <n v="30.71"/>
  </r>
  <r>
    <s v="2000_0.3_0.5_1000_2.0_order_4"/>
    <x v="0"/>
    <n v="0.3"/>
    <n v="0.5"/>
    <n v="1000"/>
    <n v="2"/>
    <n v="4"/>
    <x v="2"/>
    <n v="226364.1"/>
    <n v="92915.3"/>
    <n v="133448.79999999999"/>
    <n v="600"/>
    <n v="600.49"/>
    <n v="58991.199999999997"/>
    <n v="83320"/>
    <n v="142311.20000000001"/>
    <n v="9651.4"/>
    <n v="4322.7"/>
    <n v="13974.1"/>
    <n v="30.96"/>
    <n v="0.33"/>
    <n v="4141.1000000000004"/>
    <n v="13792.5"/>
    <n v="600.80999999999995"/>
    <n v="600"/>
    <n v="156103.70000000001"/>
    <n v="31.04"/>
  </r>
  <r>
    <s v="2000_0.3_0.5_1000_2.0_order_4"/>
    <x v="0"/>
    <n v="0.3"/>
    <n v="0.5"/>
    <n v="1000"/>
    <n v="2"/>
    <n v="4"/>
    <x v="3"/>
    <n v="226364.1"/>
    <n v="92915.3"/>
    <n v="133448.79999999999"/>
    <n v="600"/>
    <n v="600.80999999999995"/>
    <n v="57615"/>
    <n v="81913.3"/>
    <n v="139528.29999999999"/>
    <n v="10720.2"/>
    <n v="3937.7"/>
    <n v="14657.9"/>
    <n v="31.89"/>
    <n v="0.13"/>
    <n v="3871.1"/>
    <n v="14591.3"/>
    <n v="600.94000000000005"/>
    <n v="600"/>
    <n v="154119.6"/>
    <n v="31.92"/>
  </r>
  <r>
    <s v="2000_0.3_0.5_1000_2.0_order_5"/>
    <x v="0"/>
    <n v="0.3"/>
    <n v="0.5"/>
    <n v="1000"/>
    <n v="2"/>
    <n v="5"/>
    <x v="0"/>
    <n v="223723.8"/>
    <n v="88167.2"/>
    <n v="135556.6"/>
    <n v="600"/>
    <n v="600.48"/>
    <n v="54394.1"/>
    <n v="82744.7"/>
    <n v="137138.79999999999"/>
    <n v="10871.3"/>
    <n v="4201.7"/>
    <n v="15073"/>
    <n v="31.96"/>
    <n v="0.11"/>
    <n v="4200.3"/>
    <n v="15071.6"/>
    <n v="600.58000000000004"/>
    <n v="600"/>
    <n v="152210.4"/>
    <n v="31.97"/>
  </r>
  <r>
    <s v="2000_0.3_0.5_1000_2.0_order_5"/>
    <x v="0"/>
    <n v="0.3"/>
    <n v="0.5"/>
    <n v="1000"/>
    <n v="2"/>
    <n v="5"/>
    <x v="1"/>
    <n v="223723.8"/>
    <n v="88167.2"/>
    <n v="135556.6"/>
    <n v="600"/>
    <n v="600.01"/>
    <n v="54843"/>
    <n v="82956.800000000003"/>
    <n v="137799.79999999999"/>
    <n v="11454.1"/>
    <n v="4987.1000000000004"/>
    <n v="16441.2"/>
    <n v="31.06"/>
    <n v="0.15"/>
    <n v="4895.7"/>
    <n v="16349.8"/>
    <n v="600.16"/>
    <n v="600"/>
    <n v="154149.6"/>
    <n v="31.1"/>
  </r>
  <r>
    <s v="2000_0.3_0.5_1000_2.0_order_5"/>
    <x v="0"/>
    <n v="0.3"/>
    <n v="0.5"/>
    <n v="1000"/>
    <n v="2"/>
    <n v="5"/>
    <x v="2"/>
    <n v="223723.8"/>
    <n v="88167.2"/>
    <n v="135556.6"/>
    <n v="600"/>
    <n v="600.42999999999995"/>
    <n v="55145"/>
    <n v="83122.7"/>
    <n v="138267.70000000001"/>
    <n v="10702.8"/>
    <n v="4829.6000000000004"/>
    <n v="15532.4"/>
    <n v="31.25"/>
    <n v="0.27"/>
    <n v="4681.6000000000004"/>
    <n v="15384.4"/>
    <n v="600.70000000000005"/>
    <n v="600"/>
    <n v="153652.1"/>
    <n v="31.32"/>
  </r>
  <r>
    <s v="2000_0.3_0.5_1000_2.0_order_5"/>
    <x v="0"/>
    <n v="0.3"/>
    <n v="0.5"/>
    <n v="1000"/>
    <n v="2"/>
    <n v="5"/>
    <x v="3"/>
    <n v="223723.8"/>
    <n v="88167.2"/>
    <n v="135556.6"/>
    <n v="600"/>
    <n v="600.62"/>
    <n v="53794.1"/>
    <n v="82848.800000000003"/>
    <n v="136642.9"/>
    <n v="11199.9"/>
    <n v="4385"/>
    <n v="15584.9"/>
    <n v="31.96"/>
    <n v="0.16"/>
    <n v="4309.2"/>
    <n v="15509.1"/>
    <n v="600.78"/>
    <n v="600"/>
    <n v="152152"/>
    <n v="31.99"/>
  </r>
  <r>
    <s v="2000_0.3_0.5_1000_3.0_order_1"/>
    <x v="0"/>
    <n v="0.3"/>
    <n v="0.5"/>
    <n v="1000"/>
    <n v="3"/>
    <n v="1"/>
    <x v="0"/>
    <n v="288442.5"/>
    <n v="113101.1"/>
    <n v="175341.4"/>
    <n v="600"/>
    <n v="600.76"/>
    <n v="71800.600000000006"/>
    <n v="111752.8"/>
    <n v="183553.4"/>
    <n v="10586.2"/>
    <n v="3824.5"/>
    <n v="14410.7"/>
    <n v="31.37"/>
    <n v="0.2"/>
    <n v="3824.5"/>
    <n v="14410.7"/>
    <n v="600.96"/>
    <n v="600"/>
    <n v="197964.1"/>
    <n v="31.37"/>
  </r>
  <r>
    <s v="2000_0.3_0.5_1000_3.0_order_1"/>
    <x v="0"/>
    <n v="0.3"/>
    <n v="0.5"/>
    <n v="1000"/>
    <n v="3"/>
    <n v="1"/>
    <x v="1"/>
    <n v="288442.5"/>
    <n v="113101.1"/>
    <n v="175341.4"/>
    <n v="600"/>
    <n v="600"/>
    <n v="72061.100000000006"/>
    <n v="114374.2"/>
    <n v="186435.3"/>
    <n v="10881.5"/>
    <n v="4468.1000000000004"/>
    <n v="15349.6"/>
    <n v="30.04"/>
    <n v="0.2"/>
    <n v="4309.2"/>
    <n v="15190.7"/>
    <n v="600.20000000000005"/>
    <n v="600"/>
    <n v="201626"/>
    <n v="30.1"/>
  </r>
  <r>
    <s v="2000_0.3_0.5_1000_3.0_order_1"/>
    <x v="0"/>
    <n v="0.3"/>
    <n v="0.5"/>
    <n v="1000"/>
    <n v="3"/>
    <n v="1"/>
    <x v="2"/>
    <n v="288442.5"/>
    <n v="113101.1"/>
    <n v="175341.4"/>
    <n v="600"/>
    <n v="600.92999999999995"/>
    <n v="71346.600000000006"/>
    <n v="111847.5"/>
    <n v="183194.1"/>
    <n v="10788.9"/>
    <n v="4486"/>
    <n v="15274.9"/>
    <n v="31.19"/>
    <n v="0.17"/>
    <n v="4346.5"/>
    <n v="15135.4"/>
    <n v="601.1"/>
    <n v="600"/>
    <n v="198329.5"/>
    <n v="31.24"/>
  </r>
  <r>
    <s v="2000_0.3_0.5_1000_3.0_order_1"/>
    <x v="0"/>
    <n v="0.3"/>
    <n v="0.5"/>
    <n v="1000"/>
    <n v="3"/>
    <n v="1"/>
    <x v="3"/>
    <n v="288442.5"/>
    <n v="113101.1"/>
    <n v="175341.4"/>
    <n v="600"/>
    <n v="600.47"/>
    <n v="71850.100000000006"/>
    <n v="111932.3"/>
    <n v="183782.39999999999"/>
    <n v="11020.9"/>
    <n v="4013.1"/>
    <n v="15034"/>
    <n v="31.07"/>
    <n v="0.13"/>
    <n v="3935.5"/>
    <n v="14956.4"/>
    <n v="600.6"/>
    <n v="600"/>
    <n v="198738.8"/>
    <n v="31.1"/>
  </r>
  <r>
    <s v="2000_0.3_0.5_1000_3.0_order_2"/>
    <x v="0"/>
    <n v="0.3"/>
    <n v="0.5"/>
    <n v="1000"/>
    <n v="3"/>
    <n v="2"/>
    <x v="0"/>
    <n v="287701.09999999998"/>
    <n v="113553.1"/>
    <n v="174148"/>
    <n v="600"/>
    <n v="600.42999999999995"/>
    <n v="71572.100000000006"/>
    <n v="108534"/>
    <n v="180106.1"/>
    <n v="10800"/>
    <n v="4057.2"/>
    <n v="14857.2"/>
    <n v="32.229999999999997"/>
    <n v="0.13"/>
    <n v="4050.8"/>
    <n v="14850.8"/>
    <n v="600.55999999999995"/>
    <n v="600"/>
    <n v="194956.9"/>
    <n v="32.24"/>
  </r>
  <r>
    <s v="2000_0.3_0.5_1000_3.0_order_2"/>
    <x v="0"/>
    <n v="0.3"/>
    <n v="0.5"/>
    <n v="1000"/>
    <n v="3"/>
    <n v="2"/>
    <x v="1"/>
    <n v="287701.09999999998"/>
    <n v="113553.1"/>
    <n v="174148"/>
    <n v="600"/>
    <n v="600"/>
    <n v="72614.399999999994"/>
    <n v="110720.9"/>
    <n v="183335.3"/>
    <n v="11012.7"/>
    <n v="4511.6000000000004"/>
    <n v="15524.3"/>
    <n v="30.88"/>
    <n v="0.2"/>
    <n v="4390.7"/>
    <n v="15403.4"/>
    <n v="600.20000000000005"/>
    <n v="600"/>
    <n v="198738.7"/>
    <n v="30.92"/>
  </r>
  <r>
    <s v="2000_0.3_0.5_1000_3.0_order_2"/>
    <x v="0"/>
    <n v="0.3"/>
    <n v="0.5"/>
    <n v="1000"/>
    <n v="3"/>
    <n v="2"/>
    <x v="2"/>
    <n v="287701.09999999998"/>
    <n v="113553.1"/>
    <n v="174148"/>
    <n v="600"/>
    <n v="600.11"/>
    <n v="71236"/>
    <n v="109682.9"/>
    <n v="180918.9"/>
    <n v="10894.6"/>
    <n v="4748.1000000000004"/>
    <n v="15642.7"/>
    <n v="31.68"/>
    <n v="0.21"/>
    <n v="4515.8999999999996"/>
    <n v="15410.5"/>
    <n v="600.32000000000005"/>
    <n v="600"/>
    <n v="196329.4"/>
    <n v="31.76"/>
  </r>
  <r>
    <s v="2000_0.3_0.5_1000_3.0_order_2"/>
    <x v="0"/>
    <n v="0.3"/>
    <n v="0.5"/>
    <n v="1000"/>
    <n v="3"/>
    <n v="2"/>
    <x v="3"/>
    <n v="287701.09999999998"/>
    <n v="113553.1"/>
    <n v="174148"/>
    <n v="600"/>
    <n v="600.45000000000005"/>
    <n v="71120.600000000006"/>
    <n v="109272.9"/>
    <n v="180393.5"/>
    <n v="10989.9"/>
    <n v="4173.3999999999996"/>
    <n v="15163.3"/>
    <n v="32.03"/>
    <n v="0.16"/>
    <n v="4045.4"/>
    <n v="15035.3"/>
    <n v="600.61"/>
    <n v="600"/>
    <n v="195428.8"/>
    <n v="32.07"/>
  </r>
  <r>
    <s v="2000_0.3_0.5_1000_3.0_order_3"/>
    <x v="0"/>
    <n v="0.3"/>
    <n v="0.5"/>
    <n v="1000"/>
    <n v="3"/>
    <n v="3"/>
    <x v="0"/>
    <n v="274857.09999999998"/>
    <n v="108945.7"/>
    <n v="165911.4"/>
    <n v="600"/>
    <n v="600.25"/>
    <n v="68470.5"/>
    <n v="108016"/>
    <n v="176486.5"/>
    <n v="10922.5"/>
    <n v="3837"/>
    <n v="14759.5"/>
    <n v="30.42"/>
    <n v="0.17"/>
    <n v="3837"/>
    <n v="14759.5"/>
    <n v="600.41999999999996"/>
    <n v="600"/>
    <n v="191246"/>
    <n v="30.42"/>
  </r>
  <r>
    <s v="2000_0.3_0.5_1000_3.0_order_3"/>
    <x v="0"/>
    <n v="0.3"/>
    <n v="0.5"/>
    <n v="1000"/>
    <n v="3"/>
    <n v="3"/>
    <x v="1"/>
    <n v="274857.09999999998"/>
    <n v="108945.7"/>
    <n v="165911.4"/>
    <n v="600"/>
    <n v="600"/>
    <n v="70413.3"/>
    <n v="109538.2"/>
    <n v="179951.5"/>
    <n v="10625.4"/>
    <n v="4297.2"/>
    <n v="14922.6"/>
    <n v="29.1"/>
    <n v="0.22"/>
    <n v="4188.1000000000004"/>
    <n v="14813.5"/>
    <n v="600.22"/>
    <n v="600"/>
    <n v="194765"/>
    <n v="29.14"/>
  </r>
  <r>
    <s v="2000_0.3_0.5_1000_3.0_order_3"/>
    <x v="0"/>
    <n v="0.3"/>
    <n v="0.5"/>
    <n v="1000"/>
    <n v="3"/>
    <n v="3"/>
    <x v="2"/>
    <n v="274857.09999999998"/>
    <n v="108945.7"/>
    <n v="165911.4"/>
    <n v="600"/>
    <n v="600.72"/>
    <n v="69318.2"/>
    <n v="107309.2"/>
    <n v="176627.4"/>
    <n v="10803.5"/>
    <n v="4234"/>
    <n v="15037.5"/>
    <n v="30.27"/>
    <n v="0.21"/>
    <n v="4101.1000000000004"/>
    <n v="14904.6"/>
    <n v="600.92999999999995"/>
    <n v="600"/>
    <n v="191532"/>
    <n v="30.32"/>
  </r>
  <r>
    <s v="2000_0.3_0.5_1000_3.0_order_3"/>
    <x v="0"/>
    <n v="0.3"/>
    <n v="0.5"/>
    <n v="1000"/>
    <n v="3"/>
    <n v="3"/>
    <x v="3"/>
    <n v="274857.09999999998"/>
    <n v="108945.7"/>
    <n v="165911.4"/>
    <n v="600"/>
    <n v="600.95000000000005"/>
    <n v="69698.3"/>
    <n v="108858.6"/>
    <n v="178556.9"/>
    <n v="10505.6"/>
    <n v="3994.4"/>
    <n v="14500"/>
    <n v="29.76"/>
    <n v="0.17"/>
    <n v="3911.4"/>
    <n v="14417"/>
    <n v="601.12"/>
    <n v="600"/>
    <n v="192973.9"/>
    <n v="29.79"/>
  </r>
  <r>
    <s v="2000_0.3_0.5_1000_3.0_order_4"/>
    <x v="0"/>
    <n v="0.3"/>
    <n v="0.5"/>
    <n v="1000"/>
    <n v="3"/>
    <n v="4"/>
    <x v="0"/>
    <n v="292725.7"/>
    <n v="118548.5"/>
    <n v="174177.2"/>
    <n v="600"/>
    <n v="600"/>
    <n v="75698.7"/>
    <n v="112148.9"/>
    <n v="187847.6"/>
    <n v="10766.9"/>
    <n v="3879.7"/>
    <n v="14646.6"/>
    <n v="30.82"/>
    <n v="0.15"/>
    <n v="3873.3"/>
    <n v="14640.2"/>
    <n v="600.15"/>
    <n v="600"/>
    <n v="202487.8"/>
    <n v="30.83"/>
  </r>
  <r>
    <s v="2000_0.3_0.5_1000_3.0_order_4"/>
    <x v="0"/>
    <n v="0.3"/>
    <n v="0.5"/>
    <n v="1000"/>
    <n v="3"/>
    <n v="4"/>
    <x v="1"/>
    <n v="292725.7"/>
    <n v="118548.5"/>
    <n v="174177.2"/>
    <n v="600"/>
    <n v="600.01"/>
    <n v="77480.7"/>
    <n v="114203.5"/>
    <n v="191684.2"/>
    <n v="10939.8"/>
    <n v="4488"/>
    <n v="15427.8"/>
    <n v="29.25"/>
    <n v="0.14000000000000001"/>
    <n v="4361.8999999999996"/>
    <n v="15301.7"/>
    <n v="600.15"/>
    <n v="600"/>
    <n v="206985.9"/>
    <n v="29.29"/>
  </r>
  <r>
    <s v="2000_0.3_0.5_1000_3.0_order_4"/>
    <x v="0"/>
    <n v="0.3"/>
    <n v="0.5"/>
    <n v="1000"/>
    <n v="3"/>
    <n v="4"/>
    <x v="2"/>
    <n v="292725.7"/>
    <n v="118548.5"/>
    <n v="174177.2"/>
    <n v="600"/>
    <n v="600.24"/>
    <n v="76392.600000000006"/>
    <n v="112668.6"/>
    <n v="189061.2"/>
    <n v="10923.7"/>
    <n v="4476.6000000000004"/>
    <n v="15400.3"/>
    <n v="30.15"/>
    <n v="0.25"/>
    <n v="4310"/>
    <n v="15233.7"/>
    <n v="600.49"/>
    <n v="600"/>
    <n v="204294.9"/>
    <n v="30.21"/>
  </r>
  <r>
    <s v="2000_0.3_0.5_1000_3.0_order_4"/>
    <x v="0"/>
    <n v="0.3"/>
    <n v="0.5"/>
    <n v="1000"/>
    <n v="3"/>
    <n v="4"/>
    <x v="3"/>
    <n v="292725.7"/>
    <n v="118548.5"/>
    <n v="174177.2"/>
    <n v="600"/>
    <n v="600.15"/>
    <n v="75833.8"/>
    <n v="113510"/>
    <n v="189343.8"/>
    <n v="10627.3"/>
    <n v="3968.8"/>
    <n v="14596.1"/>
    <n v="30.33"/>
    <n v="0.15"/>
    <n v="3877.3"/>
    <n v="14504.6"/>
    <n v="600.29999999999995"/>
    <n v="600"/>
    <n v="203848.4"/>
    <n v="30.36"/>
  </r>
  <r>
    <s v="2000_0.3_0.5_1000_3.0_order_5"/>
    <x v="0"/>
    <n v="0.3"/>
    <n v="0.5"/>
    <n v="1000"/>
    <n v="3"/>
    <n v="5"/>
    <x v="0"/>
    <n v="279635.3"/>
    <n v="110407.9"/>
    <n v="169227.4"/>
    <n v="600"/>
    <n v="600.52"/>
    <n v="69697.899999999994"/>
    <n v="108573.2"/>
    <n v="178271.1"/>
    <n v="10815.4"/>
    <n v="3988.6"/>
    <n v="14804"/>
    <n v="30.95"/>
    <n v="0.17"/>
    <n v="3980.8"/>
    <n v="14796.2"/>
    <n v="600.69000000000005"/>
    <n v="600"/>
    <n v="193067.3"/>
    <n v="30.96"/>
  </r>
  <r>
    <s v="2000_0.3_0.5_1000_3.0_order_5"/>
    <x v="0"/>
    <n v="0.3"/>
    <n v="0.5"/>
    <n v="1000"/>
    <n v="3"/>
    <n v="5"/>
    <x v="1"/>
    <n v="279635.3"/>
    <n v="110407.9"/>
    <n v="169227.4"/>
    <n v="600"/>
    <n v="600"/>
    <n v="71107.5"/>
    <n v="111010.1"/>
    <n v="182117.6"/>
    <n v="10779"/>
    <n v="4195.2"/>
    <n v="14974.2"/>
    <n v="29.52"/>
    <n v="0.17"/>
    <n v="4075.4"/>
    <n v="14854.4"/>
    <n v="600.16999999999996"/>
    <n v="600"/>
    <n v="196972"/>
    <n v="29.56"/>
  </r>
  <r>
    <s v="2000_0.3_0.5_1000_3.0_order_5"/>
    <x v="0"/>
    <n v="0.3"/>
    <n v="0.5"/>
    <n v="1000"/>
    <n v="3"/>
    <n v="5"/>
    <x v="2"/>
    <n v="279635.3"/>
    <n v="110407.9"/>
    <n v="169227.4"/>
    <n v="600"/>
    <n v="600.88"/>
    <n v="70456.5"/>
    <n v="109214.6"/>
    <n v="179671.1"/>
    <n v="10565.5"/>
    <n v="4465.7"/>
    <n v="15031.2"/>
    <n v="30.37"/>
    <n v="0.25"/>
    <n v="4298.2"/>
    <n v="14863.7"/>
    <n v="601.13"/>
    <n v="600"/>
    <n v="194534.8"/>
    <n v="30.43"/>
  </r>
  <r>
    <s v="2000_0.3_0.5_1000_3.0_order_5"/>
    <x v="0"/>
    <n v="0.3"/>
    <n v="0.5"/>
    <n v="1000"/>
    <n v="3"/>
    <n v="5"/>
    <x v="3"/>
    <n v="279635.3"/>
    <n v="110407.9"/>
    <n v="169227.4"/>
    <n v="600"/>
    <n v="600.79999999999995"/>
    <n v="70162.100000000006"/>
    <n v="108515.8"/>
    <n v="178677.9"/>
    <n v="10456.700000000001"/>
    <n v="3767.6"/>
    <n v="14224.3"/>
    <n v="31.02"/>
    <n v="0.15"/>
    <n v="3650.7"/>
    <n v="14107.4"/>
    <n v="600.95000000000005"/>
    <n v="600"/>
    <n v="192785.3"/>
    <n v="31.06"/>
  </r>
  <r>
    <s v="2000_0.4_0.5_1000_1.0_order_1"/>
    <x v="0"/>
    <n v="0.4"/>
    <n v="0.5"/>
    <n v="1000"/>
    <n v="1"/>
    <n v="1"/>
    <x v="0"/>
    <n v="146743.6"/>
    <n v="58000.4"/>
    <n v="88743.2"/>
    <n v="600"/>
    <n v="600.77"/>
    <n v="32611.4"/>
    <n v="48374.3"/>
    <n v="80985.7"/>
    <n v="11294.7"/>
    <n v="5741.7"/>
    <n v="17036.400000000001"/>
    <n v="33.200000000000003"/>
    <n v="0.13"/>
    <n v="5741.7"/>
    <n v="17036.400000000001"/>
    <n v="600.9"/>
    <n v="600"/>
    <n v="98022.1"/>
    <n v="33.200000000000003"/>
  </r>
  <r>
    <s v="2000_0.4_0.5_1000_1.0_order_1"/>
    <x v="0"/>
    <n v="0.4"/>
    <n v="0.5"/>
    <n v="1000"/>
    <n v="1"/>
    <n v="1"/>
    <x v="1"/>
    <n v="146743.6"/>
    <n v="58000.4"/>
    <n v="88743.2"/>
    <n v="600"/>
    <n v="600"/>
    <n v="32288.2"/>
    <n v="48489.2"/>
    <n v="80777.399999999994"/>
    <n v="11948.3"/>
    <n v="6397.4"/>
    <n v="18345.7"/>
    <n v="32.450000000000003"/>
    <n v="0.23"/>
    <n v="6373.1"/>
    <n v="18321.400000000001"/>
    <n v="600.23"/>
    <n v="600"/>
    <n v="99098.8"/>
    <n v="32.47"/>
  </r>
  <r>
    <s v="2000_0.4_0.5_1000_1.0_order_1"/>
    <x v="0"/>
    <n v="0.4"/>
    <n v="0.5"/>
    <n v="1000"/>
    <n v="1"/>
    <n v="1"/>
    <x v="2"/>
    <n v="146743.6"/>
    <n v="58000.4"/>
    <n v="88743.2"/>
    <n v="600"/>
    <n v="600.76"/>
    <n v="33192.699999999997"/>
    <n v="48679.9"/>
    <n v="81872.600000000006"/>
    <n v="10740.5"/>
    <n v="6592.1"/>
    <n v="17332.599999999999"/>
    <n v="32.4"/>
    <n v="0.32"/>
    <n v="6521.8"/>
    <n v="17262.3"/>
    <n v="601.08000000000004"/>
    <n v="600"/>
    <n v="99134.9"/>
    <n v="32.44"/>
  </r>
  <r>
    <s v="2000_0.4_0.5_1000_1.0_order_1"/>
    <x v="0"/>
    <n v="0.4"/>
    <n v="0.5"/>
    <n v="1000"/>
    <n v="1"/>
    <n v="1"/>
    <x v="3"/>
    <n v="146743.6"/>
    <n v="58000.4"/>
    <n v="88743.2"/>
    <n v="600"/>
    <n v="600.24"/>
    <n v="32558"/>
    <n v="48698.400000000001"/>
    <n v="81256.399999999994"/>
    <n v="11761.3"/>
    <n v="5869.7"/>
    <n v="17631"/>
    <n v="32.61"/>
    <n v="0.15"/>
    <n v="5854.3"/>
    <n v="17615.599999999999"/>
    <n v="600.39"/>
    <n v="599"/>
    <n v="98872"/>
    <n v="32.619999999999997"/>
  </r>
  <r>
    <s v="2000_0.4_0.5_1000_1.0_order_2"/>
    <x v="0"/>
    <n v="0.4"/>
    <n v="0.5"/>
    <n v="1000"/>
    <n v="1"/>
    <n v="2"/>
    <x v="0"/>
    <n v="147538.70000000001"/>
    <n v="60411.8"/>
    <n v="87126.9"/>
    <n v="600"/>
    <n v="601.04999999999995"/>
    <n v="34274.5"/>
    <n v="47437.1"/>
    <n v="81711.600000000006"/>
    <n v="11371.7"/>
    <n v="5441"/>
    <n v="16812.7"/>
    <n v="33.22"/>
    <n v="0.17"/>
    <n v="5441"/>
    <n v="16812.7"/>
    <n v="601.21"/>
    <n v="600"/>
    <n v="98524.3"/>
    <n v="33.22"/>
  </r>
  <r>
    <s v="2000_0.4_0.5_1000_1.0_order_2"/>
    <x v="0"/>
    <n v="0.4"/>
    <n v="0.5"/>
    <n v="1000"/>
    <n v="1"/>
    <n v="2"/>
    <x v="1"/>
    <n v="147538.70000000001"/>
    <n v="60411.8"/>
    <n v="87126.9"/>
    <n v="600"/>
    <n v="600"/>
    <n v="33587.4"/>
    <n v="47574.1"/>
    <n v="81161.5"/>
    <n v="11810.4"/>
    <n v="6297.9"/>
    <n v="18108.3"/>
    <n v="32.72"/>
    <n v="0.25"/>
    <n v="6267"/>
    <n v="18077.400000000001"/>
    <n v="600.25"/>
    <n v="600"/>
    <n v="99238.9"/>
    <n v="32.74"/>
  </r>
  <r>
    <s v="2000_0.4_0.5_1000_1.0_order_2"/>
    <x v="0"/>
    <n v="0.4"/>
    <n v="0.5"/>
    <n v="1000"/>
    <n v="1"/>
    <n v="2"/>
    <x v="2"/>
    <n v="147538.70000000001"/>
    <n v="60411.8"/>
    <n v="87126.9"/>
    <n v="600"/>
    <n v="600.08000000000004"/>
    <n v="34449.1"/>
    <n v="47623.7"/>
    <n v="82072.800000000003"/>
    <n v="10932.7"/>
    <n v="6339.1"/>
    <n v="17271.8"/>
    <n v="32.67"/>
    <n v="0.38"/>
    <n v="6239.3"/>
    <n v="17172"/>
    <n v="600.46"/>
    <n v="599"/>
    <n v="99244.800000000003"/>
    <n v="32.729999999999997"/>
  </r>
  <r>
    <s v="2000_0.4_0.5_1000_1.0_order_2"/>
    <x v="0"/>
    <n v="0.4"/>
    <n v="0.5"/>
    <n v="1000"/>
    <n v="1"/>
    <n v="2"/>
    <x v="3"/>
    <n v="147538.70000000001"/>
    <n v="60411.8"/>
    <n v="87126.9"/>
    <n v="600"/>
    <n v="600.74"/>
    <n v="34071.699999999997"/>
    <n v="46811.6"/>
    <n v="80883.3"/>
    <n v="11611.3"/>
    <n v="5529.8"/>
    <n v="17141.099999999999"/>
    <n v="33.56"/>
    <n v="0.14000000000000001"/>
    <n v="5502.6"/>
    <n v="17113.900000000001"/>
    <n v="600.88"/>
    <n v="600"/>
    <n v="97997.2"/>
    <n v="33.58"/>
  </r>
  <r>
    <s v="2000_0.4_0.5_1000_1.0_order_3"/>
    <x v="0"/>
    <n v="0.4"/>
    <n v="0.5"/>
    <n v="1000"/>
    <n v="1"/>
    <n v="3"/>
    <x v="0"/>
    <n v="147212.4"/>
    <n v="60036.4"/>
    <n v="87176"/>
    <n v="600"/>
    <n v="600.65"/>
    <n v="32734.6"/>
    <n v="46620.2"/>
    <n v="79354.8"/>
    <n v="11285"/>
    <n v="5468.8"/>
    <n v="16753.8"/>
    <n v="34.71"/>
    <n v="0.1"/>
    <n v="5468.8"/>
    <n v="16753.8"/>
    <n v="600.75"/>
    <n v="599"/>
    <n v="96108.6"/>
    <n v="34.71"/>
  </r>
  <r>
    <s v="2000_0.4_0.5_1000_1.0_order_3"/>
    <x v="0"/>
    <n v="0.4"/>
    <n v="0.5"/>
    <n v="1000"/>
    <n v="1"/>
    <n v="3"/>
    <x v="1"/>
    <n v="147212.4"/>
    <n v="60036.4"/>
    <n v="87176"/>
    <n v="600"/>
    <n v="600.01"/>
    <n v="32788.6"/>
    <n v="47231.7"/>
    <n v="80020.3"/>
    <n v="11471.7"/>
    <n v="6079.4"/>
    <n v="17551.099999999999"/>
    <n v="33.72"/>
    <n v="0.16"/>
    <n v="6060.1"/>
    <n v="17531.8"/>
    <n v="600.16999999999996"/>
    <n v="600"/>
    <n v="97552.1"/>
    <n v="33.729999999999997"/>
  </r>
  <r>
    <s v="2000_0.4_0.5_1000_1.0_order_3"/>
    <x v="0"/>
    <n v="0.4"/>
    <n v="0.5"/>
    <n v="1000"/>
    <n v="1"/>
    <n v="3"/>
    <x v="2"/>
    <n v="147212.4"/>
    <n v="60036.4"/>
    <n v="87176"/>
    <n v="600"/>
    <n v="600.86"/>
    <n v="33571.800000000003"/>
    <n v="47690.9"/>
    <n v="81262.7"/>
    <n v="10433.6"/>
    <n v="6379.1"/>
    <n v="16812.7"/>
    <n v="33.380000000000003"/>
    <n v="0.28000000000000003"/>
    <n v="6283.2"/>
    <n v="16716.8"/>
    <n v="601.14"/>
    <n v="600"/>
    <n v="97979.5"/>
    <n v="33.44"/>
  </r>
  <r>
    <s v="2000_0.4_0.5_1000_1.0_order_3"/>
    <x v="0"/>
    <n v="0.4"/>
    <n v="0.5"/>
    <n v="1000"/>
    <n v="1"/>
    <n v="3"/>
    <x v="3"/>
    <n v="147212.4"/>
    <n v="60036.4"/>
    <n v="87176"/>
    <n v="600"/>
    <n v="600.82000000000005"/>
    <n v="32937.9"/>
    <n v="47376.2"/>
    <n v="80314.100000000006"/>
    <n v="11206.7"/>
    <n v="5607.4"/>
    <n v="16814.099999999999"/>
    <n v="34.020000000000003"/>
    <n v="0.11"/>
    <n v="5562.6"/>
    <n v="16769.3"/>
    <n v="600.94000000000005"/>
    <n v="599"/>
    <n v="97083.4"/>
    <n v="34.049999999999997"/>
  </r>
  <r>
    <s v="2000_0.4_0.5_1000_1.0_order_4"/>
    <x v="0"/>
    <n v="0.4"/>
    <n v="0.5"/>
    <n v="1000"/>
    <n v="1"/>
    <n v="4"/>
    <x v="0"/>
    <n v="148707.4"/>
    <n v="61039"/>
    <n v="87668.4"/>
    <n v="600"/>
    <n v="601.27"/>
    <n v="32841.1"/>
    <n v="45367"/>
    <n v="78208.100000000006"/>
    <n v="12076.4"/>
    <n v="6030.1"/>
    <n v="18106.5"/>
    <n v="35.229999999999997"/>
    <n v="0.2"/>
    <n v="6017.3"/>
    <n v="18093.7"/>
    <n v="601.47"/>
    <n v="600"/>
    <n v="96301.8"/>
    <n v="35.24"/>
  </r>
  <r>
    <s v="2000_0.4_0.5_1000_1.0_order_4"/>
    <x v="0"/>
    <n v="0.4"/>
    <n v="0.5"/>
    <n v="1000"/>
    <n v="1"/>
    <n v="4"/>
    <x v="1"/>
    <n v="148707.4"/>
    <n v="61039"/>
    <n v="87668.4"/>
    <n v="600"/>
    <n v="600"/>
    <n v="33526.1"/>
    <n v="46348.5"/>
    <n v="79874.600000000006"/>
    <n v="11860.2"/>
    <n v="6256.9"/>
    <n v="18117.099999999999"/>
    <n v="34.1"/>
    <n v="0.24"/>
    <n v="6223.4"/>
    <n v="18083.599999999999"/>
    <n v="600.24"/>
    <n v="600"/>
    <n v="97958.2"/>
    <n v="34.130000000000003"/>
  </r>
  <r>
    <s v="2000_0.4_0.5_1000_1.0_order_4"/>
    <x v="0"/>
    <n v="0.4"/>
    <n v="0.5"/>
    <n v="1000"/>
    <n v="1"/>
    <n v="4"/>
    <x v="2"/>
    <n v="148707.4"/>
    <n v="61039"/>
    <n v="87668.4"/>
    <n v="600"/>
    <n v="600.5"/>
    <n v="34056.800000000003"/>
    <n v="46505.7"/>
    <n v="80562.5"/>
    <n v="10845.1"/>
    <n v="6449.3"/>
    <n v="17294.400000000001"/>
    <n v="34.200000000000003"/>
    <n v="0.33"/>
    <n v="6399.9"/>
    <n v="17245"/>
    <n v="600.82000000000005"/>
    <n v="600"/>
    <n v="97807.5"/>
    <n v="34.229999999999997"/>
  </r>
  <r>
    <s v="2000_0.4_0.5_1000_1.0_order_4"/>
    <x v="0"/>
    <n v="0.4"/>
    <n v="0.5"/>
    <n v="1000"/>
    <n v="1"/>
    <n v="4"/>
    <x v="3"/>
    <n v="148707.4"/>
    <n v="61039"/>
    <n v="87668.4"/>
    <n v="600"/>
    <n v="600.62"/>
    <n v="33344.9"/>
    <n v="46754.3"/>
    <n v="80099.199999999997"/>
    <n v="12099.7"/>
    <n v="5855.6"/>
    <n v="17955.3"/>
    <n v="34.06"/>
    <n v="0.15"/>
    <n v="5823.4"/>
    <n v="17923.099999999999"/>
    <n v="600.77"/>
    <n v="600"/>
    <n v="98022.3"/>
    <n v="34.08"/>
  </r>
  <r>
    <s v="2000_0.4_0.5_1000_1.0_order_5"/>
    <x v="0"/>
    <n v="0.4"/>
    <n v="0.5"/>
    <n v="1000"/>
    <n v="1"/>
    <n v="5"/>
    <x v="0"/>
    <n v="148055.70000000001"/>
    <n v="57683"/>
    <n v="90372.7"/>
    <n v="600"/>
    <n v="600.79999999999995"/>
    <n v="32460.2"/>
    <n v="47842.2"/>
    <n v="80302.399999999994"/>
    <n v="11595"/>
    <n v="5768.9"/>
    <n v="17363.900000000001"/>
    <n v="34.03"/>
    <n v="0.16"/>
    <n v="5768.9"/>
    <n v="17363.900000000001"/>
    <n v="600.96"/>
    <n v="600"/>
    <n v="97666.3"/>
    <n v="34.03"/>
  </r>
  <r>
    <s v="2000_0.4_0.5_1000_1.0_order_5"/>
    <x v="0"/>
    <n v="0.4"/>
    <n v="0.5"/>
    <n v="1000"/>
    <n v="1"/>
    <n v="5"/>
    <x v="1"/>
    <n v="148055.70000000001"/>
    <n v="57683"/>
    <n v="90372.7"/>
    <n v="600"/>
    <n v="600"/>
    <n v="32000.5"/>
    <n v="48026.2"/>
    <n v="80026.7"/>
    <n v="11997.7"/>
    <n v="6374.3"/>
    <n v="18372"/>
    <n v="33.54"/>
    <n v="0.18"/>
    <n v="6353.2"/>
    <n v="18350.900000000001"/>
    <n v="600.17999999999995"/>
    <n v="600"/>
    <n v="98377.600000000006"/>
    <n v="33.549999999999997"/>
  </r>
  <r>
    <s v="2000_0.4_0.5_1000_1.0_order_5"/>
    <x v="0"/>
    <n v="0.4"/>
    <n v="0.5"/>
    <n v="1000"/>
    <n v="1"/>
    <n v="5"/>
    <x v="2"/>
    <n v="148055.70000000001"/>
    <n v="57683"/>
    <n v="90372.7"/>
    <n v="600"/>
    <n v="600.01"/>
    <n v="33118.9"/>
    <n v="48798.400000000001"/>
    <n v="81917.3"/>
    <n v="10672"/>
    <n v="6671.6"/>
    <n v="17343.599999999999"/>
    <n v="32.96"/>
    <n v="0.48"/>
    <n v="6620.8"/>
    <n v="17292.8"/>
    <n v="600.49"/>
    <n v="600"/>
    <n v="99210.1"/>
    <n v="32.99"/>
  </r>
  <r>
    <s v="2000_0.4_0.5_1000_1.0_order_5"/>
    <x v="0"/>
    <n v="0.4"/>
    <n v="0.5"/>
    <n v="1000"/>
    <n v="1"/>
    <n v="5"/>
    <x v="3"/>
    <n v="148055.70000000001"/>
    <n v="57683"/>
    <n v="90372.7"/>
    <n v="600"/>
    <n v="600.12"/>
    <n v="32883.699999999997"/>
    <n v="48259"/>
    <n v="81142.7"/>
    <n v="11402.8"/>
    <n v="5502.5"/>
    <n v="16905.3"/>
    <n v="33.78"/>
    <n v="0.14000000000000001"/>
    <n v="5480"/>
    <n v="16882.8"/>
    <n v="600.26"/>
    <n v="599"/>
    <n v="98025.5"/>
    <n v="33.79"/>
  </r>
  <r>
    <s v="2000_0.4_0.5_1000_2.0_order_1"/>
    <x v="0"/>
    <n v="0.4"/>
    <n v="0.5"/>
    <n v="1000"/>
    <n v="2"/>
    <n v="1"/>
    <x v="0"/>
    <n v="230670.1"/>
    <n v="90584.2"/>
    <n v="140085.9"/>
    <n v="600"/>
    <n v="600.54999999999995"/>
    <n v="53349.2"/>
    <n v="79787.100000000006"/>
    <n v="133136.29999999999"/>
    <n v="10778.8"/>
    <n v="5028.8"/>
    <n v="15807.6"/>
    <n v="35.43"/>
    <n v="0.22"/>
    <n v="5026"/>
    <n v="15804.8"/>
    <n v="600.77"/>
    <n v="600"/>
    <n v="148941.1"/>
    <n v="35.43"/>
  </r>
  <r>
    <s v="2000_0.4_0.5_1000_2.0_order_1"/>
    <x v="0"/>
    <n v="0.4"/>
    <n v="0.5"/>
    <n v="1000"/>
    <n v="2"/>
    <n v="1"/>
    <x v="1"/>
    <n v="230670.1"/>
    <n v="90584.2"/>
    <n v="140085.9"/>
    <n v="600"/>
    <n v="600.01"/>
    <n v="54095.8"/>
    <n v="81321.399999999994"/>
    <n v="135417.20000000001"/>
    <n v="10766.2"/>
    <n v="5512"/>
    <n v="16278.2"/>
    <n v="34.24"/>
    <n v="0.26"/>
    <n v="5425.3"/>
    <n v="16191.5"/>
    <n v="600.27"/>
    <n v="600"/>
    <n v="151608.70000000001"/>
    <n v="34.270000000000003"/>
  </r>
  <r>
    <s v="2000_0.4_0.5_1000_2.0_order_1"/>
    <x v="0"/>
    <n v="0.4"/>
    <n v="0.5"/>
    <n v="1000"/>
    <n v="2"/>
    <n v="1"/>
    <x v="2"/>
    <n v="230670.1"/>
    <n v="90584.2"/>
    <n v="140085.9"/>
    <n v="600"/>
    <n v="600.33000000000004"/>
    <n v="53341.599999999999"/>
    <n v="79321"/>
    <n v="132662.6"/>
    <n v="10450.5"/>
    <n v="5469.2"/>
    <n v="15919.7"/>
    <n v="35.590000000000003"/>
    <n v="0.37"/>
    <n v="5358.2"/>
    <n v="15808.7"/>
    <n v="600.70000000000005"/>
    <n v="600"/>
    <n v="148471.29999999999"/>
    <n v="35.630000000000003"/>
  </r>
  <r>
    <s v="2000_0.4_0.5_1000_2.0_order_1"/>
    <x v="0"/>
    <n v="0.4"/>
    <n v="0.5"/>
    <n v="1000"/>
    <n v="2"/>
    <n v="1"/>
    <x v="3"/>
    <n v="230670.1"/>
    <n v="90584.2"/>
    <n v="140085.9"/>
    <n v="600"/>
    <n v="600.04999999999995"/>
    <n v="53872"/>
    <n v="79920.100000000006"/>
    <n v="133792.1"/>
    <n v="10743.6"/>
    <n v="5073.8999999999996"/>
    <n v="15817.5"/>
    <n v="35.14"/>
    <n v="0.24"/>
    <n v="4957.1000000000004"/>
    <n v="15700.7"/>
    <n v="600.29"/>
    <n v="600"/>
    <n v="149492.79999999999"/>
    <n v="35.19"/>
  </r>
  <r>
    <s v="2000_0.4_0.5_1000_2.0_order_2"/>
    <x v="0"/>
    <n v="0.4"/>
    <n v="0.5"/>
    <n v="1000"/>
    <n v="2"/>
    <n v="2"/>
    <x v="0"/>
    <n v="230566.8"/>
    <n v="88402.6"/>
    <n v="142164.20000000001"/>
    <n v="600"/>
    <n v="600"/>
    <n v="52016.1"/>
    <n v="80980.100000000006"/>
    <n v="132996.20000000001"/>
    <n v="10334"/>
    <n v="4604.1000000000004"/>
    <n v="14938.1"/>
    <n v="35.840000000000003"/>
    <n v="0.26"/>
    <n v="4593.5"/>
    <n v="14927.5"/>
    <n v="600.26"/>
    <n v="600"/>
    <n v="147923.70000000001"/>
    <n v="35.840000000000003"/>
  </r>
  <r>
    <s v="2000_0.4_0.5_1000_2.0_order_2"/>
    <x v="0"/>
    <n v="0.4"/>
    <n v="0.5"/>
    <n v="1000"/>
    <n v="2"/>
    <n v="2"/>
    <x v="1"/>
    <n v="230566.8"/>
    <n v="88402.6"/>
    <n v="142164.20000000001"/>
    <n v="600"/>
    <n v="600.01"/>
    <n v="51941.7"/>
    <n v="82945"/>
    <n v="134886.70000000001"/>
    <n v="10702.1"/>
    <n v="5206.6000000000004"/>
    <n v="15908.7"/>
    <n v="34.6"/>
    <n v="0.27"/>
    <n v="5106.8999999999996"/>
    <n v="15809"/>
    <n v="600.27"/>
    <n v="600"/>
    <n v="150695.70000000001"/>
    <n v="34.64"/>
  </r>
  <r>
    <s v="2000_0.4_0.5_1000_2.0_order_2"/>
    <x v="0"/>
    <n v="0.4"/>
    <n v="0.5"/>
    <n v="1000"/>
    <n v="2"/>
    <n v="2"/>
    <x v="2"/>
    <n v="230566.8"/>
    <n v="88402.6"/>
    <n v="142164.20000000001"/>
    <n v="600"/>
    <n v="600.72"/>
    <n v="52168.800000000003"/>
    <n v="80856"/>
    <n v="133024.79999999999"/>
    <n v="10490.7"/>
    <n v="5202.5"/>
    <n v="15693.2"/>
    <n v="35.5"/>
    <n v="0.47"/>
    <n v="5041"/>
    <n v="15531.7"/>
    <n v="601.19000000000005"/>
    <n v="600"/>
    <n v="148556.5"/>
    <n v="35.57"/>
  </r>
  <r>
    <s v="2000_0.4_0.5_1000_2.0_order_2"/>
    <x v="0"/>
    <n v="0.4"/>
    <n v="0.5"/>
    <n v="1000"/>
    <n v="2"/>
    <n v="2"/>
    <x v="3"/>
    <n v="230566.8"/>
    <n v="88402.6"/>
    <n v="142164.20000000001"/>
    <n v="600"/>
    <n v="600.16"/>
    <n v="52815.3"/>
    <n v="82065.2"/>
    <n v="134880.5"/>
    <n v="10600"/>
    <n v="4539.6000000000004"/>
    <n v="15139.6"/>
    <n v="34.93"/>
    <n v="0.18"/>
    <n v="4452.2"/>
    <n v="15052.2"/>
    <n v="600.34"/>
    <n v="600"/>
    <n v="149932.70000000001"/>
    <n v="34.97"/>
  </r>
  <r>
    <s v="2000_0.4_0.5_1000_2.0_order_3"/>
    <x v="0"/>
    <n v="0.4"/>
    <n v="0.5"/>
    <n v="1000"/>
    <n v="2"/>
    <n v="3"/>
    <x v="0"/>
    <n v="216725.7"/>
    <n v="84765.8"/>
    <n v="131959.9"/>
    <n v="600"/>
    <n v="600.29999999999995"/>
    <n v="50618.6"/>
    <n v="75669.8"/>
    <n v="126288.4"/>
    <n v="10261.700000000001"/>
    <n v="4629.3999999999996"/>
    <n v="14891.1"/>
    <n v="34.86"/>
    <n v="0.25"/>
    <n v="4628"/>
    <n v="14889.7"/>
    <n v="600.54"/>
    <n v="600"/>
    <n v="141178.1"/>
    <n v="34.86"/>
  </r>
  <r>
    <s v="2000_0.4_0.5_1000_2.0_order_3"/>
    <x v="0"/>
    <n v="0.4"/>
    <n v="0.5"/>
    <n v="1000"/>
    <n v="2"/>
    <n v="3"/>
    <x v="1"/>
    <n v="216725.7"/>
    <n v="84765.8"/>
    <n v="131959.9"/>
    <n v="600"/>
    <n v="600.01"/>
    <n v="49571.8"/>
    <n v="76543.5"/>
    <n v="126115.3"/>
    <n v="10890.3"/>
    <n v="5565.2"/>
    <n v="16455.5"/>
    <n v="34.22"/>
    <n v="0.24"/>
    <n v="5429.6"/>
    <n v="16319.9"/>
    <n v="600.25"/>
    <n v="600"/>
    <n v="142435.20000000001"/>
    <n v="34.28"/>
  </r>
  <r>
    <s v="2000_0.4_0.5_1000_2.0_order_3"/>
    <x v="0"/>
    <n v="0.4"/>
    <n v="0.5"/>
    <n v="1000"/>
    <n v="2"/>
    <n v="3"/>
    <x v="2"/>
    <n v="216725.7"/>
    <n v="84765.8"/>
    <n v="131959.9"/>
    <n v="600"/>
    <n v="600"/>
    <n v="49759.5"/>
    <n v="75651"/>
    <n v="125410.5"/>
    <n v="10485.700000000001"/>
    <n v="5538.3"/>
    <n v="16024"/>
    <n v="34.74"/>
    <n v="0.41"/>
    <n v="5404"/>
    <n v="15889.7"/>
    <n v="600.41"/>
    <n v="600"/>
    <n v="141300.20000000001"/>
    <n v="34.799999999999997"/>
  </r>
  <r>
    <s v="2000_0.4_0.5_1000_2.0_order_3"/>
    <x v="0"/>
    <n v="0.4"/>
    <n v="0.5"/>
    <n v="1000"/>
    <n v="2"/>
    <n v="3"/>
    <x v="3"/>
    <n v="216725.7"/>
    <n v="84765.8"/>
    <n v="131959.9"/>
    <n v="600"/>
    <n v="600.07000000000005"/>
    <n v="49506.8"/>
    <n v="76361.2"/>
    <n v="125868"/>
    <n v="10578.1"/>
    <n v="5029.6000000000004"/>
    <n v="15607.7"/>
    <n v="34.72"/>
    <n v="0.14000000000000001"/>
    <n v="4927.1000000000004"/>
    <n v="15505.2"/>
    <n v="600.20000000000005"/>
    <n v="600"/>
    <n v="141373.20000000001"/>
    <n v="34.770000000000003"/>
  </r>
  <r>
    <s v="2000_0.4_0.5_1000_2.0_order_4"/>
    <x v="0"/>
    <n v="0.4"/>
    <n v="0.5"/>
    <n v="1000"/>
    <n v="2"/>
    <n v="4"/>
    <x v="0"/>
    <n v="228249.8"/>
    <n v="93670.2"/>
    <n v="134579.6"/>
    <n v="600"/>
    <n v="600.34"/>
    <n v="54441"/>
    <n v="75856"/>
    <n v="130297"/>
    <n v="10565.8"/>
    <n v="5120.8"/>
    <n v="15686.6"/>
    <n v="36.04"/>
    <n v="0.24"/>
    <n v="5120.8"/>
    <n v="15686.6"/>
    <n v="600.58000000000004"/>
    <n v="599"/>
    <n v="145983.6"/>
    <n v="36.04"/>
  </r>
  <r>
    <s v="2000_0.4_0.5_1000_2.0_order_4"/>
    <x v="0"/>
    <n v="0.4"/>
    <n v="0.5"/>
    <n v="1000"/>
    <n v="2"/>
    <n v="4"/>
    <x v="1"/>
    <n v="228249.8"/>
    <n v="93670.2"/>
    <n v="134579.6"/>
    <n v="600"/>
    <n v="600.01"/>
    <n v="54449.7"/>
    <n v="77050.2"/>
    <n v="131499.9"/>
    <n v="11004.3"/>
    <n v="5682.7"/>
    <n v="16687"/>
    <n v="35.08"/>
    <n v="0.25"/>
    <n v="5606.1"/>
    <n v="16610.400000000001"/>
    <n v="600.26"/>
    <n v="600"/>
    <n v="148110.29999999999"/>
    <n v="35.11"/>
  </r>
  <r>
    <s v="2000_0.4_0.5_1000_2.0_order_4"/>
    <x v="0"/>
    <n v="0.4"/>
    <n v="0.5"/>
    <n v="1000"/>
    <n v="2"/>
    <n v="4"/>
    <x v="2"/>
    <n v="228249.8"/>
    <n v="93670.2"/>
    <n v="134579.6"/>
    <n v="600"/>
    <n v="600.85"/>
    <n v="53782.5"/>
    <n v="76879.100000000006"/>
    <n v="130661.6"/>
    <n v="11118.7"/>
    <n v="5862.8"/>
    <n v="16981.5"/>
    <n v="35.32"/>
    <n v="0.3"/>
    <n v="5746.4"/>
    <n v="16865.099999999999"/>
    <n v="601.15"/>
    <n v="600"/>
    <n v="147526.70000000001"/>
    <n v="35.369999999999997"/>
  </r>
  <r>
    <s v="2000_0.4_0.5_1000_2.0_order_4"/>
    <x v="0"/>
    <n v="0.4"/>
    <n v="0.5"/>
    <n v="1000"/>
    <n v="2"/>
    <n v="4"/>
    <x v="3"/>
    <n v="228249.8"/>
    <n v="93670.2"/>
    <n v="134579.6"/>
    <n v="600"/>
    <n v="601.02"/>
    <n v="53879.9"/>
    <n v="76364"/>
    <n v="130243.9"/>
    <n v="10950.7"/>
    <n v="5172.5"/>
    <n v="16123.2"/>
    <n v="35.869999999999997"/>
    <n v="0.25"/>
    <n v="5106"/>
    <n v="16056.7"/>
    <n v="601.27"/>
    <n v="600"/>
    <n v="146300.6"/>
    <n v="35.9"/>
  </r>
  <r>
    <s v="2000_0.4_0.5_1000_2.0_order_5"/>
    <x v="0"/>
    <n v="0.4"/>
    <n v="0.5"/>
    <n v="1000"/>
    <n v="2"/>
    <n v="5"/>
    <x v="0"/>
    <n v="216003.3"/>
    <n v="85862.7"/>
    <n v="130140.6"/>
    <n v="600"/>
    <n v="600.4"/>
    <n v="51213.2"/>
    <n v="74604.2"/>
    <n v="125817.4"/>
    <n v="10575.5"/>
    <n v="4913.8999999999996"/>
    <n v="15489.4"/>
    <n v="34.58"/>
    <n v="0.19"/>
    <n v="4913.8999999999996"/>
    <n v="15489.4"/>
    <n v="600.59"/>
    <n v="600"/>
    <n v="141306.79999999999"/>
    <n v="34.58"/>
  </r>
  <r>
    <s v="2000_0.4_0.5_1000_2.0_order_5"/>
    <x v="0"/>
    <n v="0.4"/>
    <n v="0.5"/>
    <n v="1000"/>
    <n v="2"/>
    <n v="5"/>
    <x v="1"/>
    <n v="216003.3"/>
    <n v="85862.7"/>
    <n v="130140.6"/>
    <n v="600"/>
    <n v="600"/>
    <n v="51630"/>
    <n v="75577.2"/>
    <n v="127207.2"/>
    <n v="10772.7"/>
    <n v="5376.8"/>
    <n v="16149.5"/>
    <n v="33.630000000000003"/>
    <n v="0.19"/>
    <n v="5292.4"/>
    <n v="16065.1"/>
    <n v="600.20000000000005"/>
    <n v="600"/>
    <n v="143272.29999999999"/>
    <n v="33.67"/>
  </r>
  <r>
    <s v="2000_0.4_0.5_1000_2.0_order_5"/>
    <x v="0"/>
    <n v="0.4"/>
    <n v="0.5"/>
    <n v="1000"/>
    <n v="2"/>
    <n v="5"/>
    <x v="2"/>
    <n v="216003.3"/>
    <n v="85862.7"/>
    <n v="130140.6"/>
    <n v="600"/>
    <n v="600.66999999999996"/>
    <n v="51815.8"/>
    <n v="74824.800000000003"/>
    <n v="126640.6"/>
    <n v="10366.5"/>
    <n v="5453.5"/>
    <n v="15820"/>
    <n v="34.049999999999997"/>
    <n v="0.35"/>
    <n v="5297"/>
    <n v="15663.5"/>
    <n v="601.02"/>
    <n v="600"/>
    <n v="142304.1"/>
    <n v="34.119999999999997"/>
  </r>
  <r>
    <s v="2000_0.4_0.5_1000_2.0_order_5"/>
    <x v="0"/>
    <n v="0.4"/>
    <n v="0.5"/>
    <n v="1000"/>
    <n v="2"/>
    <n v="5"/>
    <x v="3"/>
    <n v="216003.3"/>
    <n v="85862.7"/>
    <n v="130140.6"/>
    <n v="600"/>
    <n v="600.24"/>
    <n v="51475.199999999997"/>
    <n v="74043.5"/>
    <n v="125518.7"/>
    <n v="10669.2"/>
    <n v="4840.8999999999996"/>
    <n v="15510.1"/>
    <n v="34.71"/>
    <n v="0.26"/>
    <n v="4691.8999999999996"/>
    <n v="15361.1"/>
    <n v="600.51"/>
    <n v="599"/>
    <n v="140879.79999999999"/>
    <n v="34.78"/>
  </r>
  <r>
    <s v="2000_0.4_0.5_1000_3.0_order_1"/>
    <x v="0"/>
    <n v="0.4"/>
    <n v="0.5"/>
    <n v="1000"/>
    <n v="3"/>
    <n v="1"/>
    <x v="0"/>
    <n v="276286"/>
    <n v="109961"/>
    <n v="166325"/>
    <n v="600"/>
    <n v="600.02"/>
    <n v="66242.100000000006"/>
    <n v="99229.1"/>
    <n v="165471.20000000001"/>
    <n v="10274.200000000001"/>
    <n v="4250.3999999999996"/>
    <n v="14524.6"/>
    <n v="34.85"/>
    <n v="0.2"/>
    <n v="4250.3999999999996"/>
    <n v="14524.6"/>
    <n v="600.22"/>
    <n v="600"/>
    <n v="179995.8"/>
    <n v="34.85"/>
  </r>
  <r>
    <s v="2000_0.4_0.5_1000_3.0_order_1"/>
    <x v="0"/>
    <n v="0.4"/>
    <n v="0.5"/>
    <n v="1000"/>
    <n v="3"/>
    <n v="1"/>
    <x v="1"/>
    <n v="276286"/>
    <n v="109961"/>
    <n v="166325"/>
    <n v="600"/>
    <n v="600.01"/>
    <n v="67154.600000000006"/>
    <n v="100917.1"/>
    <n v="168071.7"/>
    <n v="10223.299999999999"/>
    <n v="5019.3999999999996"/>
    <n v="15242.7"/>
    <n v="33.65"/>
    <n v="0.35"/>
    <n v="4896.6000000000004"/>
    <n v="15119.9"/>
    <n v="600.36"/>
    <n v="600"/>
    <n v="183191.6"/>
    <n v="33.69"/>
  </r>
  <r>
    <s v="2000_0.4_0.5_1000_3.0_order_1"/>
    <x v="0"/>
    <n v="0.4"/>
    <n v="0.5"/>
    <n v="1000"/>
    <n v="3"/>
    <n v="1"/>
    <x v="2"/>
    <n v="276286"/>
    <n v="109961"/>
    <n v="166325"/>
    <n v="600"/>
    <n v="600.16999999999996"/>
    <n v="66340.100000000006"/>
    <n v="99549.2"/>
    <n v="165889.29999999999"/>
    <n v="10504.8"/>
    <n v="4613.3999999999996"/>
    <n v="15118.2"/>
    <n v="34.49"/>
    <n v="0.33"/>
    <n v="4450.3999999999996"/>
    <n v="14955.2"/>
    <n v="600.5"/>
    <n v="600"/>
    <n v="180844.5"/>
    <n v="34.54"/>
  </r>
  <r>
    <s v="2000_0.4_0.5_1000_3.0_order_1"/>
    <x v="0"/>
    <n v="0.4"/>
    <n v="0.5"/>
    <n v="1000"/>
    <n v="3"/>
    <n v="1"/>
    <x v="3"/>
    <n v="276286"/>
    <n v="109961"/>
    <n v="166325"/>
    <n v="600"/>
    <n v="600"/>
    <n v="65959.7"/>
    <n v="98728.2"/>
    <n v="164687.9"/>
    <n v="10399.200000000001"/>
    <n v="4565.2"/>
    <n v="14964.4"/>
    <n v="34.979999999999997"/>
    <n v="0.34"/>
    <n v="4448"/>
    <n v="14847.2"/>
    <n v="600.34"/>
    <n v="600"/>
    <n v="179535.1"/>
    <n v="35.020000000000003"/>
  </r>
  <r>
    <s v="2000_0.4_0.5_1000_3.0_order_2"/>
    <x v="0"/>
    <n v="0.4"/>
    <n v="0.5"/>
    <n v="1000"/>
    <n v="3"/>
    <n v="2"/>
    <x v="0"/>
    <n v="279729.59999999998"/>
    <n v="113230.9"/>
    <n v="166498.70000000001"/>
    <n v="600"/>
    <n v="600.35"/>
    <n v="66266.2"/>
    <n v="96219.9"/>
    <n v="162486.1"/>
    <n v="10447.1"/>
    <n v="4448.3"/>
    <n v="14895.4"/>
    <n v="36.590000000000003"/>
    <n v="0.18"/>
    <n v="4448.3"/>
    <n v="14895.4"/>
    <n v="600.54"/>
    <n v="600"/>
    <n v="177381.5"/>
    <n v="36.590000000000003"/>
  </r>
  <r>
    <s v="2000_0.4_0.5_1000_3.0_order_2"/>
    <x v="0"/>
    <n v="0.4"/>
    <n v="0.5"/>
    <n v="1000"/>
    <n v="3"/>
    <n v="2"/>
    <x v="1"/>
    <n v="279729.59999999998"/>
    <n v="113230.9"/>
    <n v="166498.70000000001"/>
    <n v="600"/>
    <n v="600"/>
    <n v="67364.100000000006"/>
    <n v="99288.2"/>
    <n v="166652.29999999999"/>
    <n v="10394.6"/>
    <n v="5055.6000000000004"/>
    <n v="15450.2"/>
    <n v="34.9"/>
    <n v="0.26"/>
    <n v="4951.7"/>
    <n v="15346.3"/>
    <n v="600.26"/>
    <n v="600"/>
    <n v="181998.6"/>
    <n v="34.94"/>
  </r>
  <r>
    <s v="2000_0.4_0.5_1000_3.0_order_2"/>
    <x v="0"/>
    <n v="0.4"/>
    <n v="0.5"/>
    <n v="1000"/>
    <n v="3"/>
    <n v="2"/>
    <x v="2"/>
    <n v="279729.59999999998"/>
    <n v="113230.9"/>
    <n v="166498.70000000001"/>
    <n v="600"/>
    <n v="600.19000000000005"/>
    <n v="66321.7"/>
    <n v="96741.5"/>
    <n v="163063.20000000001"/>
    <n v="10512.7"/>
    <n v="5121.8"/>
    <n v="15634.5"/>
    <n v="36.119999999999997"/>
    <n v="0.36"/>
    <n v="4990.1000000000004"/>
    <n v="15502.8"/>
    <n v="600.54999999999995"/>
    <n v="600"/>
    <n v="178566"/>
    <n v="36.159999999999997"/>
  </r>
  <r>
    <s v="2000_0.4_0.5_1000_3.0_order_2"/>
    <x v="0"/>
    <n v="0.4"/>
    <n v="0.5"/>
    <n v="1000"/>
    <n v="3"/>
    <n v="2"/>
    <x v="3"/>
    <n v="279729.59999999998"/>
    <n v="113230.9"/>
    <n v="166498.70000000001"/>
    <n v="600"/>
    <n v="600.01"/>
    <n v="66230.2"/>
    <n v="96336"/>
    <n v="162566.20000000001"/>
    <n v="10785.1"/>
    <n v="4696.2"/>
    <n v="15481.3"/>
    <n v="36.35"/>
    <n v="0.19"/>
    <n v="4562.8"/>
    <n v="15347.9"/>
    <n v="600.19000000000005"/>
    <n v="600"/>
    <n v="177914.1"/>
    <n v="36.4"/>
  </r>
  <r>
    <s v="2000_0.4_0.5_1000_3.0_order_3"/>
    <x v="0"/>
    <n v="0.4"/>
    <n v="0.5"/>
    <n v="1000"/>
    <n v="3"/>
    <n v="3"/>
    <x v="0"/>
    <n v="279169.2"/>
    <n v="112698.4"/>
    <n v="166470.79999999999"/>
    <n v="600"/>
    <n v="600"/>
    <n v="67846"/>
    <n v="98748.7"/>
    <n v="166594.70000000001"/>
    <n v="10412.4"/>
    <n v="4674"/>
    <n v="15086.4"/>
    <n v="34.92"/>
    <n v="0.23"/>
    <n v="4674"/>
    <n v="15086.4"/>
    <n v="600.24"/>
    <n v="600"/>
    <n v="181681.1"/>
    <n v="34.92"/>
  </r>
  <r>
    <s v="2000_0.4_0.5_1000_3.0_order_3"/>
    <x v="0"/>
    <n v="0.4"/>
    <n v="0.5"/>
    <n v="1000"/>
    <n v="3"/>
    <n v="3"/>
    <x v="1"/>
    <n v="279169.2"/>
    <n v="112698.4"/>
    <n v="166470.79999999999"/>
    <n v="600"/>
    <n v="600"/>
    <n v="68306.600000000006"/>
    <n v="100205.9"/>
    <n v="168512.5"/>
    <n v="10752.3"/>
    <n v="5176.8"/>
    <n v="15929.1"/>
    <n v="33.93"/>
    <n v="0.28999999999999998"/>
    <n v="5053.2"/>
    <n v="15805.5"/>
    <n v="600.29999999999995"/>
    <n v="600"/>
    <n v="184318"/>
    <n v="33.979999999999997"/>
  </r>
  <r>
    <s v="2000_0.4_0.5_1000_3.0_order_3"/>
    <x v="0"/>
    <n v="0.4"/>
    <n v="0.5"/>
    <n v="1000"/>
    <n v="3"/>
    <n v="3"/>
    <x v="2"/>
    <n v="279169.2"/>
    <n v="112698.4"/>
    <n v="166470.79999999999"/>
    <n v="600"/>
    <n v="600.26"/>
    <n v="67904"/>
    <n v="98764.6"/>
    <n v="166668.6"/>
    <n v="10392"/>
    <n v="5100.3999999999996"/>
    <n v="15492.4"/>
    <n v="34.75"/>
    <n v="0.22"/>
    <n v="4940.5"/>
    <n v="15332.5"/>
    <n v="600.48"/>
    <n v="600"/>
    <n v="182001.1"/>
    <n v="34.81"/>
  </r>
  <r>
    <s v="2000_0.4_0.5_1000_3.0_order_3"/>
    <x v="0"/>
    <n v="0.4"/>
    <n v="0.5"/>
    <n v="1000"/>
    <n v="3"/>
    <n v="3"/>
    <x v="3"/>
    <n v="279169.2"/>
    <n v="112698.4"/>
    <n v="166470.79999999999"/>
    <n v="600"/>
    <n v="600.41"/>
    <n v="68128.899999999994"/>
    <n v="98794.9"/>
    <n v="166923.79999999999"/>
    <n v="10619.1"/>
    <n v="4728.5"/>
    <n v="15347.6"/>
    <n v="34.71"/>
    <n v="0.22"/>
    <n v="4594.3999999999996"/>
    <n v="15213.5"/>
    <n v="600.64"/>
    <n v="600"/>
    <n v="182137.3"/>
    <n v="34.76"/>
  </r>
  <r>
    <s v="2000_0.4_0.5_1000_3.0_order_4"/>
    <x v="0"/>
    <n v="0.4"/>
    <n v="0.5"/>
    <n v="1000"/>
    <n v="3"/>
    <n v="4"/>
    <x v="0"/>
    <n v="283603"/>
    <n v="106923.5"/>
    <n v="176679.5"/>
    <n v="600"/>
    <n v="601.02"/>
    <n v="63485.5"/>
    <n v="103236.3"/>
    <n v="166721.79999999999"/>
    <n v="10715.5"/>
    <n v="4707.2"/>
    <n v="15422.7"/>
    <n v="35.770000000000003"/>
    <n v="0.23"/>
    <n v="4707.2"/>
    <n v="15422.7"/>
    <n v="601.25"/>
    <n v="600"/>
    <n v="182144.5"/>
    <n v="35.770000000000003"/>
  </r>
  <r>
    <s v="2000_0.4_0.5_1000_3.0_order_4"/>
    <x v="0"/>
    <n v="0.4"/>
    <n v="0.5"/>
    <n v="1000"/>
    <n v="3"/>
    <n v="4"/>
    <x v="1"/>
    <n v="283603"/>
    <n v="106923.5"/>
    <n v="176679.5"/>
    <n v="600"/>
    <n v="600.01"/>
    <n v="63467.5"/>
    <n v="105200.8"/>
    <n v="168668.3"/>
    <n v="10552.9"/>
    <n v="5461.8"/>
    <n v="16014.7"/>
    <n v="34.880000000000003"/>
    <n v="0.31"/>
    <n v="5323.1"/>
    <n v="15876"/>
    <n v="600.32000000000005"/>
    <n v="600"/>
    <n v="184544.3"/>
    <n v="34.93"/>
  </r>
  <r>
    <s v="2000_0.4_0.5_1000_3.0_order_4"/>
    <x v="0"/>
    <n v="0.4"/>
    <n v="0.5"/>
    <n v="1000"/>
    <n v="3"/>
    <n v="4"/>
    <x v="2"/>
    <n v="283603"/>
    <n v="106923.5"/>
    <n v="176679.5"/>
    <n v="600"/>
    <n v="600.45000000000005"/>
    <n v="63153.8"/>
    <n v="103933.8"/>
    <n v="167087.6"/>
    <n v="10791.9"/>
    <n v="5199.6000000000004"/>
    <n v="15991.5"/>
    <n v="35.450000000000003"/>
    <n v="0.22"/>
    <n v="4969.8"/>
    <n v="15761.7"/>
    <n v="600.66999999999996"/>
    <n v="600"/>
    <n v="182849.3"/>
    <n v="35.53"/>
  </r>
  <r>
    <s v="2000_0.4_0.5_1000_3.0_order_4"/>
    <x v="0"/>
    <n v="0.4"/>
    <n v="0.5"/>
    <n v="1000"/>
    <n v="3"/>
    <n v="4"/>
    <x v="3"/>
    <n v="283603"/>
    <n v="106923.5"/>
    <n v="176679.5"/>
    <n v="600"/>
    <n v="600.04"/>
    <n v="63198.3"/>
    <n v="104289.2"/>
    <n v="167487.5"/>
    <n v="10874.8"/>
    <n v="4702"/>
    <n v="15576.8"/>
    <n v="35.450000000000003"/>
    <n v="0.21"/>
    <n v="4542.8999999999996"/>
    <n v="15417.7"/>
    <n v="600.24"/>
    <n v="600"/>
    <n v="182905.2"/>
    <n v="35.51"/>
  </r>
  <r>
    <s v="2000_0.4_0.5_1000_3.0_order_5"/>
    <x v="0"/>
    <n v="0.4"/>
    <n v="0.5"/>
    <n v="1000"/>
    <n v="3"/>
    <n v="5"/>
    <x v="0"/>
    <n v="280909.3"/>
    <n v="115396.7"/>
    <n v="165512.6"/>
    <n v="600"/>
    <n v="600.52"/>
    <n v="68440.3"/>
    <n v="97543.5"/>
    <n v="165983.79999999999"/>
    <n v="11078.5"/>
    <n v="4828.1000000000004"/>
    <n v="15906.6"/>
    <n v="35.25"/>
    <n v="0.15"/>
    <n v="4828.1000000000004"/>
    <n v="15906.6"/>
    <n v="600.66999999999996"/>
    <n v="600"/>
    <n v="181890.4"/>
    <n v="35.25"/>
  </r>
  <r>
    <s v="2000_0.4_0.5_1000_3.0_order_5"/>
    <x v="0"/>
    <n v="0.4"/>
    <n v="0.5"/>
    <n v="1000"/>
    <n v="3"/>
    <n v="5"/>
    <x v="1"/>
    <n v="280909.3"/>
    <n v="115396.7"/>
    <n v="165512.6"/>
    <n v="600"/>
    <n v="600.02"/>
    <n v="70175.899999999994"/>
    <n v="99064"/>
    <n v="169239.9"/>
    <n v="10851.3"/>
    <n v="5320.6"/>
    <n v="16171.9"/>
    <n v="34"/>
    <n v="0.32"/>
    <n v="5279.8"/>
    <n v="16131.1"/>
    <n v="600.33000000000004"/>
    <n v="600"/>
    <n v="185371"/>
    <n v="34.01"/>
  </r>
  <r>
    <s v="2000_0.4_0.5_1000_3.0_order_5"/>
    <x v="0"/>
    <n v="0.4"/>
    <n v="0.5"/>
    <n v="1000"/>
    <n v="3"/>
    <n v="5"/>
    <x v="2"/>
    <n v="280909.3"/>
    <n v="115396.7"/>
    <n v="165512.6"/>
    <n v="600"/>
    <n v="600.24"/>
    <n v="69043.8"/>
    <n v="99222.399999999994"/>
    <n v="168266.2"/>
    <n v="10653.9"/>
    <n v="5124.3"/>
    <n v="15778.2"/>
    <n v="34.479999999999997"/>
    <n v="0.27"/>
    <n v="5039.5"/>
    <n v="15693.4"/>
    <n v="600.51"/>
    <n v="600"/>
    <n v="183959.6"/>
    <n v="34.51"/>
  </r>
  <r>
    <s v="2000_0.4_0.5_1000_3.0_order_5"/>
    <x v="0"/>
    <n v="0.4"/>
    <n v="0.5"/>
    <n v="1000"/>
    <n v="3"/>
    <n v="5"/>
    <x v="3"/>
    <n v="280909.3"/>
    <n v="115396.7"/>
    <n v="165512.6"/>
    <n v="600"/>
    <n v="600.66"/>
    <n v="69022"/>
    <n v="98037.7"/>
    <n v="167059.70000000001"/>
    <n v="10533.4"/>
    <n v="4551.1000000000004"/>
    <n v="15084.5"/>
    <n v="35.159999999999997"/>
    <n v="0.23"/>
    <n v="4470.6000000000004"/>
    <n v="15004"/>
    <n v="600.89"/>
    <n v="600"/>
    <n v="182063.7"/>
    <n v="35.19"/>
  </r>
  <r>
    <s v="4000_0.2_0.5_1000_1.0_order_1"/>
    <x v="1"/>
    <n v="0.2"/>
    <n v="0.5"/>
    <n v="1000"/>
    <n v="1"/>
    <n v="1"/>
    <x v="0"/>
    <n v="176793.4"/>
    <n v="69235.899999999994"/>
    <n v="107557.5"/>
    <n v="1200"/>
    <n v="600.58000000000004"/>
    <n v="43185.3"/>
    <n v="65614.600000000006"/>
    <n v="108799.9"/>
    <n v="20775.7"/>
    <n v="4180.6000000000004"/>
    <n v="24956.3"/>
    <n v="24.34"/>
    <n v="0.1"/>
    <n v="4132.2"/>
    <n v="24907.9"/>
    <n v="600.67999999999995"/>
    <n v="1199"/>
    <n v="133707.79999999999"/>
    <n v="24.37"/>
  </r>
  <r>
    <s v="4000_0.2_0.5_1000_1.0_order_1"/>
    <x v="1"/>
    <n v="0.2"/>
    <n v="0.5"/>
    <n v="1000"/>
    <n v="1"/>
    <n v="1"/>
    <x v="1"/>
    <n v="176793.4"/>
    <n v="69235.899999999994"/>
    <n v="107557.5"/>
    <n v="1200"/>
    <n v="600.01"/>
    <n v="43244.6"/>
    <n v="65890.8"/>
    <n v="109135.4"/>
    <n v="21427.3"/>
    <n v="4860.1000000000004"/>
    <n v="26287.4"/>
    <n v="23.4"/>
    <n v="0.11"/>
    <n v="4801.3"/>
    <n v="26228.6"/>
    <n v="600.11"/>
    <n v="1199"/>
    <n v="135364"/>
    <n v="23.43"/>
  </r>
  <r>
    <s v="4000_0.2_0.5_1000_1.0_order_1"/>
    <x v="1"/>
    <n v="0.2"/>
    <n v="0.5"/>
    <n v="1000"/>
    <n v="1"/>
    <n v="1"/>
    <x v="2"/>
    <n v="176793.4"/>
    <n v="69235.899999999994"/>
    <n v="107557.5"/>
    <n v="1200"/>
    <n v="600.79999999999995"/>
    <n v="44636.4"/>
    <n v="68021.7"/>
    <n v="112658.1"/>
    <n v="17101.400000000001"/>
    <n v="7426.1"/>
    <n v="24527.5"/>
    <n v="22.4"/>
    <n v="1.39"/>
    <n v="7020.2"/>
    <n v="24121.599999999999"/>
    <n v="602.19000000000005"/>
    <n v="1199"/>
    <n v="136779.70000000001"/>
    <n v="22.63"/>
  </r>
  <r>
    <s v="4000_0.2_0.5_1000_1.0_order_1"/>
    <x v="1"/>
    <n v="0.2"/>
    <n v="0.5"/>
    <n v="1000"/>
    <n v="1"/>
    <n v="1"/>
    <x v="3"/>
    <n v="176793.4"/>
    <n v="69235.899999999994"/>
    <n v="107557.5"/>
    <n v="1200"/>
    <n v="600.71"/>
    <n v="43610.5"/>
    <n v="65847.600000000006"/>
    <n v="109458.1"/>
    <n v="21229.7"/>
    <n v="4237.3"/>
    <n v="25467"/>
    <n v="23.68"/>
    <n v="7.0000000000000007E-2"/>
    <n v="4109"/>
    <n v="25338.7"/>
    <n v="600.78"/>
    <n v="1200"/>
    <n v="134796.79999999999"/>
    <n v="23.75"/>
  </r>
  <r>
    <s v="4000_0.2_0.5_1000_1.0_order_2"/>
    <x v="1"/>
    <n v="0.2"/>
    <n v="0.5"/>
    <n v="1000"/>
    <n v="1"/>
    <n v="2"/>
    <x v="0"/>
    <n v="172246.7"/>
    <n v="71438.100000000006"/>
    <n v="100808.6"/>
    <n v="1200"/>
    <n v="601.64"/>
    <n v="45089.599999999999"/>
    <n v="61402.5"/>
    <n v="106492.1"/>
    <n v="20780.8"/>
    <n v="4266.3999999999996"/>
    <n v="25047.200000000001"/>
    <n v="23.63"/>
    <n v="0.17"/>
    <n v="4180.6000000000004"/>
    <n v="24961.4"/>
    <n v="601.80999999999995"/>
    <n v="1198"/>
    <n v="131453.5"/>
    <n v="23.68"/>
  </r>
  <r>
    <s v="4000_0.2_0.5_1000_1.0_order_2"/>
    <x v="1"/>
    <n v="0.2"/>
    <n v="0.5"/>
    <n v="1000"/>
    <n v="1"/>
    <n v="2"/>
    <x v="1"/>
    <n v="172246.7"/>
    <n v="71438.100000000006"/>
    <n v="100808.6"/>
    <n v="1200"/>
    <n v="600"/>
    <n v="44858.400000000001"/>
    <n v="60897.4"/>
    <n v="105755.8"/>
    <n v="22118.7"/>
    <n v="4653.2"/>
    <n v="26771.9"/>
    <n v="23.06"/>
    <n v="0.09"/>
    <n v="4562.7"/>
    <n v="26681.4"/>
    <n v="600.09"/>
    <n v="1200"/>
    <n v="132437.20000000001"/>
    <n v="23.11"/>
  </r>
  <r>
    <s v="4000_0.2_0.5_1000_1.0_order_2"/>
    <x v="1"/>
    <n v="0.2"/>
    <n v="0.5"/>
    <n v="1000"/>
    <n v="1"/>
    <n v="2"/>
    <x v="2"/>
    <n v="172246.7"/>
    <n v="71438.100000000006"/>
    <n v="100808.6"/>
    <n v="1200"/>
    <n v="600.96"/>
    <n v="46122.9"/>
    <n v="63654.9"/>
    <n v="109777.8"/>
    <n v="17399.3"/>
    <n v="7205.8"/>
    <n v="24605.1"/>
    <n v="21.98"/>
    <n v="1.58"/>
    <n v="6909.7"/>
    <n v="24309"/>
    <n v="602.54"/>
    <n v="1200"/>
    <n v="134086.79999999999"/>
    <n v="22.15"/>
  </r>
  <r>
    <s v="4000_0.2_0.5_1000_1.0_order_2"/>
    <x v="1"/>
    <n v="0.2"/>
    <n v="0.5"/>
    <n v="1000"/>
    <n v="1"/>
    <n v="2"/>
    <x v="3"/>
    <n v="172246.7"/>
    <n v="71438.100000000006"/>
    <n v="100808.6"/>
    <n v="1200"/>
    <n v="600.46"/>
    <n v="45198.5"/>
    <n v="61605"/>
    <n v="106803.5"/>
    <n v="21963"/>
    <n v="3699.5"/>
    <n v="25662.5"/>
    <n v="23.1"/>
    <n v="0.05"/>
    <n v="3647.6"/>
    <n v="25610.6"/>
    <n v="600.51"/>
    <n v="1199"/>
    <n v="132414.1"/>
    <n v="23.13"/>
  </r>
  <r>
    <s v="4000_0.2_0.5_1000_1.0_order_3"/>
    <x v="1"/>
    <n v="0.2"/>
    <n v="0.5"/>
    <n v="1000"/>
    <n v="1"/>
    <n v="3"/>
    <x v="0"/>
    <n v="172482.6"/>
    <n v="70991"/>
    <n v="101491.6"/>
    <n v="1200"/>
    <n v="600.94000000000005"/>
    <n v="43603.199999999997"/>
    <n v="62297.3"/>
    <n v="105900.5"/>
    <n v="20925.099999999999"/>
    <n v="4219.3999999999996"/>
    <n v="25144.5"/>
    <n v="24.02"/>
    <n v="0.13"/>
    <n v="4134.3999999999996"/>
    <n v="25059.5"/>
    <n v="601.07000000000005"/>
    <n v="1197"/>
    <n v="130960"/>
    <n v="24.07"/>
  </r>
  <r>
    <s v="4000_0.2_0.5_1000_1.0_order_3"/>
    <x v="1"/>
    <n v="0.2"/>
    <n v="0.5"/>
    <n v="1000"/>
    <n v="1"/>
    <n v="3"/>
    <x v="1"/>
    <n v="172482.6"/>
    <n v="70991"/>
    <n v="101491.6"/>
    <n v="1200"/>
    <n v="600"/>
    <n v="44206.2"/>
    <n v="62238.2"/>
    <n v="106444.4"/>
    <n v="21725.1"/>
    <n v="4676.2"/>
    <n v="26401.3"/>
    <n v="22.98"/>
    <n v="0.1"/>
    <n v="4595.8"/>
    <n v="26320.9"/>
    <n v="600.11"/>
    <n v="1200"/>
    <n v="132765.29999999999"/>
    <n v="23.03"/>
  </r>
  <r>
    <s v="4000_0.2_0.5_1000_1.0_order_3"/>
    <x v="1"/>
    <n v="0.2"/>
    <n v="0.5"/>
    <n v="1000"/>
    <n v="1"/>
    <n v="3"/>
    <x v="2"/>
    <n v="172482.6"/>
    <n v="70991"/>
    <n v="101491.6"/>
    <n v="1200"/>
    <n v="600.05999999999995"/>
    <n v="44417"/>
    <n v="64752.2"/>
    <n v="109169.2"/>
    <n v="17305.8"/>
    <n v="7333.1"/>
    <n v="24638.9"/>
    <n v="22.42"/>
    <n v="1.48"/>
    <n v="7004"/>
    <n v="24309.8"/>
    <n v="601.54"/>
    <n v="1200"/>
    <n v="133479"/>
    <n v="22.61"/>
  </r>
  <r>
    <s v="4000_0.2_0.5_1000_1.0_order_3"/>
    <x v="1"/>
    <n v="0.2"/>
    <n v="0.5"/>
    <n v="1000"/>
    <n v="1"/>
    <n v="3"/>
    <x v="3"/>
    <n v="172482.6"/>
    <n v="70991"/>
    <n v="101491.6"/>
    <n v="1200"/>
    <n v="600.02"/>
    <n v="43478.3"/>
    <n v="62554.6"/>
    <n v="106032.9"/>
    <n v="21869.3"/>
    <n v="3847.5"/>
    <n v="25716.799999999999"/>
    <n v="23.62"/>
    <n v="0.06"/>
    <n v="3719.7"/>
    <n v="25589"/>
    <n v="600.09"/>
    <n v="1200"/>
    <n v="131621.9"/>
    <n v="23.69"/>
  </r>
  <r>
    <s v="4000_0.2_0.5_1000_1.0_order_4"/>
    <x v="1"/>
    <n v="0.2"/>
    <n v="0.5"/>
    <n v="1000"/>
    <n v="1"/>
    <n v="4"/>
    <x v="0"/>
    <n v="178110.7"/>
    <n v="73274.7"/>
    <n v="104836"/>
    <n v="1200"/>
    <n v="600"/>
    <n v="44972.6"/>
    <n v="64064.5"/>
    <n v="109037.1"/>
    <n v="21843.4"/>
    <n v="4152.3"/>
    <n v="25995.7"/>
    <n v="24.19"/>
    <n v="0.15"/>
    <n v="4086.4"/>
    <n v="25929.8"/>
    <n v="600.16"/>
    <n v="1200"/>
    <n v="134966.9"/>
    <n v="24.22"/>
  </r>
  <r>
    <s v="4000_0.2_0.5_1000_1.0_order_4"/>
    <x v="1"/>
    <n v="0.2"/>
    <n v="0.5"/>
    <n v="1000"/>
    <n v="1"/>
    <n v="4"/>
    <x v="1"/>
    <n v="178110.7"/>
    <n v="73274.7"/>
    <n v="104836"/>
    <n v="1200"/>
    <n v="600"/>
    <n v="45224.4"/>
    <n v="64091.9"/>
    <n v="109316.3"/>
    <n v="21772"/>
    <n v="5307.8"/>
    <n v="27079.8"/>
    <n v="23.42"/>
    <n v="0.09"/>
    <n v="5223.6000000000004"/>
    <n v="26995.599999999999"/>
    <n v="600.1"/>
    <n v="1199"/>
    <n v="136311.9"/>
    <n v="23.47"/>
  </r>
  <r>
    <s v="4000_0.2_0.5_1000_1.0_order_4"/>
    <x v="1"/>
    <n v="0.2"/>
    <n v="0.5"/>
    <n v="1000"/>
    <n v="1"/>
    <n v="4"/>
    <x v="2"/>
    <n v="178110.7"/>
    <n v="73274.7"/>
    <n v="104836"/>
    <n v="1200"/>
    <n v="600.04999999999995"/>
    <n v="47000"/>
    <n v="66282"/>
    <n v="113282"/>
    <n v="17355.5"/>
    <n v="7689.5"/>
    <n v="25045"/>
    <n v="22.34"/>
    <n v="1.53"/>
    <n v="7322.1"/>
    <n v="24677.599999999999"/>
    <n v="601.57000000000005"/>
    <n v="1200"/>
    <n v="137959.6"/>
    <n v="22.54"/>
  </r>
  <r>
    <s v="4000_0.2_0.5_1000_1.0_order_4"/>
    <x v="1"/>
    <n v="0.2"/>
    <n v="0.5"/>
    <n v="1000"/>
    <n v="1"/>
    <n v="4"/>
    <x v="3"/>
    <n v="178110.7"/>
    <n v="73274.7"/>
    <n v="104836"/>
    <n v="1200"/>
    <n v="600"/>
    <n v="45419.7"/>
    <n v="64605.5"/>
    <n v="110025.2"/>
    <n v="22144.7"/>
    <n v="3992.3"/>
    <n v="26137"/>
    <n v="23.55"/>
    <n v="0.08"/>
    <n v="3892.6"/>
    <n v="26037.3"/>
    <n v="600.08000000000004"/>
    <n v="1200"/>
    <n v="136062.5"/>
    <n v="23.61"/>
  </r>
  <r>
    <s v="4000_0.2_0.5_1000_1.0_order_5"/>
    <x v="1"/>
    <n v="0.2"/>
    <n v="0.5"/>
    <n v="1000"/>
    <n v="1"/>
    <n v="5"/>
    <x v="0"/>
    <n v="179070"/>
    <n v="69970.8"/>
    <n v="109099.2"/>
    <n v="1200"/>
    <n v="601.07000000000005"/>
    <n v="44497.3"/>
    <n v="66326.100000000006"/>
    <n v="110823.4"/>
    <n v="21594.9"/>
    <n v="4151.3"/>
    <n v="25746.2"/>
    <n v="23.73"/>
    <n v="0.11"/>
    <n v="4133.7"/>
    <n v="25728.6"/>
    <n v="601.17999999999995"/>
    <n v="1200"/>
    <n v="136552"/>
    <n v="23.74"/>
  </r>
  <r>
    <s v="4000_0.2_0.5_1000_1.0_order_5"/>
    <x v="1"/>
    <n v="0.2"/>
    <n v="0.5"/>
    <n v="1000"/>
    <n v="1"/>
    <n v="5"/>
    <x v="1"/>
    <n v="179070"/>
    <n v="69970.8"/>
    <n v="109099.2"/>
    <n v="1200"/>
    <n v="600"/>
    <n v="44975.3"/>
    <n v="66370.7"/>
    <n v="111346"/>
    <n v="21897.7"/>
    <n v="4828.3"/>
    <n v="26726"/>
    <n v="22.89"/>
    <n v="7.0000000000000007E-2"/>
    <n v="4712.2"/>
    <n v="26609.9"/>
    <n v="600.07000000000005"/>
    <n v="1200"/>
    <n v="137955.9"/>
    <n v="22.96"/>
  </r>
  <r>
    <s v="4000_0.2_0.5_1000_1.0_order_5"/>
    <x v="1"/>
    <n v="0.2"/>
    <n v="0.5"/>
    <n v="1000"/>
    <n v="1"/>
    <n v="5"/>
    <x v="2"/>
    <n v="179070"/>
    <n v="69970.8"/>
    <n v="109099.2"/>
    <n v="1200"/>
    <n v="600.33000000000004"/>
    <n v="45881.3"/>
    <n v="68307.5"/>
    <n v="114188.8"/>
    <n v="17921.3"/>
    <n v="7264.1"/>
    <n v="25185.4"/>
    <n v="22.17"/>
    <n v="1.63"/>
    <n v="6943.1"/>
    <n v="24864.400000000001"/>
    <n v="601.95000000000005"/>
    <n v="1200"/>
    <n v="139053.20000000001"/>
    <n v="22.35"/>
  </r>
  <r>
    <s v="4000_0.2_0.5_1000_1.0_order_5"/>
    <x v="1"/>
    <n v="0.2"/>
    <n v="0.5"/>
    <n v="1000"/>
    <n v="1"/>
    <n v="5"/>
    <x v="3"/>
    <n v="179070"/>
    <n v="69970.8"/>
    <n v="109099.2"/>
    <n v="1200"/>
    <n v="600.97"/>
    <n v="45373.5"/>
    <n v="66470.8"/>
    <n v="111844.3"/>
    <n v="21615.599999999999"/>
    <n v="3986.5"/>
    <n v="25602.1"/>
    <n v="23.24"/>
    <n v="7.0000000000000007E-2"/>
    <n v="3914.7"/>
    <n v="25530.3"/>
    <n v="601.04"/>
    <n v="1200"/>
    <n v="137374.6"/>
    <n v="23.28"/>
  </r>
  <r>
    <s v="4000_0.2_0.5_1000_2.0_order_1"/>
    <x v="1"/>
    <n v="0.2"/>
    <n v="0.5"/>
    <n v="1000"/>
    <n v="2"/>
    <n v="1"/>
    <x v="0"/>
    <n v="266347.90000000002"/>
    <n v="100159.7"/>
    <n v="166188.20000000001"/>
    <n v="1200"/>
    <n v="600.79"/>
    <n v="67274.2"/>
    <n v="103646.8"/>
    <n v="170921"/>
    <n v="20551.8"/>
    <n v="4846.5"/>
    <n v="25398.3"/>
    <n v="26.29"/>
    <n v="0.14000000000000001"/>
    <n v="4825.3999999999996"/>
    <n v="25377.200000000001"/>
    <n v="600.92999999999995"/>
    <n v="1199"/>
    <n v="196298.2"/>
    <n v="26.3"/>
  </r>
  <r>
    <s v="4000_0.2_0.5_1000_2.0_order_1"/>
    <x v="1"/>
    <n v="0.2"/>
    <n v="0.5"/>
    <n v="1000"/>
    <n v="2"/>
    <n v="1"/>
    <x v="1"/>
    <n v="266347.90000000002"/>
    <n v="100159.7"/>
    <n v="166188.20000000001"/>
    <n v="1200"/>
    <n v="600.02"/>
    <n v="67940.5"/>
    <n v="106755.9"/>
    <n v="174696.4"/>
    <n v="20481.5"/>
    <n v="5711.3"/>
    <n v="26192.799999999999"/>
    <n v="24.58"/>
    <n v="0.22"/>
    <n v="5611.3"/>
    <n v="26092.799999999999"/>
    <n v="600.23"/>
    <n v="1199"/>
    <n v="200789.2"/>
    <n v="24.61"/>
  </r>
  <r>
    <s v="4000_0.2_0.5_1000_2.0_order_1"/>
    <x v="1"/>
    <n v="0.2"/>
    <n v="0.5"/>
    <n v="1000"/>
    <n v="2"/>
    <n v="1"/>
    <x v="2"/>
    <n v="266347.90000000002"/>
    <n v="100159.7"/>
    <n v="166188.20000000001"/>
    <n v="1200"/>
    <n v="600.49"/>
    <n v="68304.600000000006"/>
    <n v="108024.2"/>
    <n v="176328.8"/>
    <n v="17800.599999999999"/>
    <n v="6567.9"/>
    <n v="24368.5"/>
    <n v="24.65"/>
    <n v="0.95"/>
    <n v="6108.3"/>
    <n v="23908.9"/>
    <n v="601.44000000000005"/>
    <n v="1199"/>
    <n v="200237.7"/>
    <n v="24.82"/>
  </r>
  <r>
    <s v="4000_0.2_0.5_1000_2.0_order_1"/>
    <x v="1"/>
    <n v="0.2"/>
    <n v="0.5"/>
    <n v="1000"/>
    <n v="2"/>
    <n v="1"/>
    <x v="3"/>
    <n v="266347.90000000002"/>
    <n v="100159.7"/>
    <n v="166188.20000000001"/>
    <n v="1200"/>
    <n v="600.66999999999996"/>
    <n v="67169.8"/>
    <n v="104664.2"/>
    <n v="171834"/>
    <n v="21002.1"/>
    <n v="5006.2"/>
    <n v="26008.3"/>
    <n v="25.72"/>
    <n v="0.14000000000000001"/>
    <n v="4912.2"/>
    <n v="25914.3"/>
    <n v="600.79999999999995"/>
    <n v="1200"/>
    <n v="197748.3"/>
    <n v="25.76"/>
  </r>
  <r>
    <s v="4000_0.2_0.5_1000_2.0_order_2"/>
    <x v="1"/>
    <n v="0.2"/>
    <n v="0.5"/>
    <n v="1000"/>
    <n v="2"/>
    <n v="2"/>
    <x v="0"/>
    <n v="265499.59999999998"/>
    <n v="100358.1"/>
    <n v="165141.5"/>
    <n v="1200"/>
    <n v="600.66"/>
    <n v="63770.3"/>
    <n v="101171.6"/>
    <n v="164941.9"/>
    <n v="21644.6"/>
    <n v="4875.8"/>
    <n v="26520.400000000001"/>
    <n v="27.89"/>
    <n v="0.16"/>
    <n v="4869.3999999999996"/>
    <n v="26514"/>
    <n v="600.82000000000005"/>
    <n v="1199"/>
    <n v="191455.9"/>
    <n v="27.89"/>
  </r>
  <r>
    <s v="4000_0.2_0.5_1000_2.0_order_2"/>
    <x v="1"/>
    <n v="0.2"/>
    <n v="0.5"/>
    <n v="1000"/>
    <n v="2"/>
    <n v="2"/>
    <x v="1"/>
    <n v="265499.59999999998"/>
    <n v="100358.1"/>
    <n v="165141.5"/>
    <n v="1200"/>
    <n v="600.02"/>
    <n v="65228.6"/>
    <n v="103425.3"/>
    <n v="168653.9"/>
    <n v="21357.8"/>
    <n v="5495"/>
    <n v="26852.799999999999"/>
    <n v="26.36"/>
    <n v="0.18"/>
    <n v="5347.6"/>
    <n v="26705.4"/>
    <n v="600.19000000000005"/>
    <n v="1200"/>
    <n v="195359.3"/>
    <n v="26.42"/>
  </r>
  <r>
    <s v="4000_0.2_0.5_1000_2.0_order_2"/>
    <x v="1"/>
    <n v="0.2"/>
    <n v="0.5"/>
    <n v="1000"/>
    <n v="2"/>
    <n v="2"/>
    <x v="2"/>
    <n v="265499.59999999998"/>
    <n v="100358.1"/>
    <n v="165141.5"/>
    <n v="1200"/>
    <n v="600.30999999999995"/>
    <n v="66138.600000000006"/>
    <n v="106612"/>
    <n v="172750.6"/>
    <n v="17903.7"/>
    <n v="7145.9"/>
    <n v="25049.599999999999"/>
    <n v="25.5"/>
    <n v="1.0900000000000001"/>
    <n v="6736.5"/>
    <n v="24640.2"/>
    <n v="601.4"/>
    <n v="1200"/>
    <n v="197390.8"/>
    <n v="25.65"/>
  </r>
  <r>
    <s v="4000_0.2_0.5_1000_2.0_order_2"/>
    <x v="1"/>
    <n v="0.2"/>
    <n v="0.5"/>
    <n v="1000"/>
    <n v="2"/>
    <n v="2"/>
    <x v="3"/>
    <n v="265499.59999999998"/>
    <n v="100358.1"/>
    <n v="165141.5"/>
    <n v="1200"/>
    <n v="600.51"/>
    <n v="64554"/>
    <n v="102130.3"/>
    <n v="166684.29999999999"/>
    <n v="21867.8"/>
    <n v="4912.6000000000004"/>
    <n v="26780.400000000001"/>
    <n v="27.13"/>
    <n v="0.12"/>
    <n v="4826.5"/>
    <n v="26694.3"/>
    <n v="600.63"/>
    <n v="1200"/>
    <n v="193378.6"/>
    <n v="27.16"/>
  </r>
  <r>
    <s v="4000_0.2_0.5_1000_2.0_order_3"/>
    <x v="1"/>
    <n v="0.2"/>
    <n v="0.5"/>
    <n v="1000"/>
    <n v="2"/>
    <n v="3"/>
    <x v="0"/>
    <n v="256640.4"/>
    <n v="100148.3"/>
    <n v="156492.1"/>
    <n v="1200"/>
    <n v="601.29999999999995"/>
    <n v="65771.8"/>
    <n v="95621.7"/>
    <n v="161393.5"/>
    <n v="21457.599999999999"/>
    <n v="5053.5"/>
    <n v="26511.1"/>
    <n v="26.78"/>
    <n v="0.18"/>
    <n v="5015.3999999999996"/>
    <n v="26473"/>
    <n v="601.49"/>
    <n v="1199"/>
    <n v="187866.5"/>
    <n v="26.8"/>
  </r>
  <r>
    <s v="4000_0.2_0.5_1000_2.0_order_3"/>
    <x v="1"/>
    <n v="0.2"/>
    <n v="0.5"/>
    <n v="1000"/>
    <n v="2"/>
    <n v="3"/>
    <x v="1"/>
    <n v="256640.4"/>
    <n v="100148.3"/>
    <n v="156492.1"/>
    <n v="1200"/>
    <n v="600.02"/>
    <n v="67335.8"/>
    <n v="97580.1"/>
    <n v="164915.9"/>
    <n v="21265.5"/>
    <n v="5551.9"/>
    <n v="26817.4"/>
    <n v="25.29"/>
    <n v="0.18"/>
    <n v="5388"/>
    <n v="26653.5"/>
    <n v="600.19000000000005"/>
    <n v="1200"/>
    <n v="191569.4"/>
    <n v="25.35"/>
  </r>
  <r>
    <s v="4000_0.2_0.5_1000_2.0_order_3"/>
    <x v="1"/>
    <n v="0.2"/>
    <n v="0.5"/>
    <n v="1000"/>
    <n v="2"/>
    <n v="3"/>
    <x v="2"/>
    <n v="256640.4"/>
    <n v="100148.3"/>
    <n v="156492.1"/>
    <n v="1200"/>
    <n v="600.73"/>
    <n v="67666.3"/>
    <n v="99867"/>
    <n v="167533.29999999999"/>
    <n v="18117.400000000001"/>
    <n v="7354"/>
    <n v="25471.4"/>
    <n v="24.8"/>
    <n v="1.04"/>
    <n v="6861.5"/>
    <n v="24978.9"/>
    <n v="601.77"/>
    <n v="1200"/>
    <n v="192512.2"/>
    <n v="24.99"/>
  </r>
  <r>
    <s v="4000_0.2_0.5_1000_2.0_order_3"/>
    <x v="1"/>
    <n v="0.2"/>
    <n v="0.5"/>
    <n v="1000"/>
    <n v="2"/>
    <n v="3"/>
    <x v="3"/>
    <n v="256640.4"/>
    <n v="100148.3"/>
    <n v="156492.1"/>
    <n v="1200"/>
    <n v="600.61"/>
    <n v="67450.7"/>
    <n v="98487.3"/>
    <n v="165938"/>
    <n v="21256.2"/>
    <n v="4630.6000000000004"/>
    <n v="25886.799999999999"/>
    <n v="25.26"/>
    <n v="0.12"/>
    <n v="4557.3"/>
    <n v="25813.5"/>
    <n v="600.72"/>
    <n v="1198"/>
    <n v="191751.5"/>
    <n v="25.28"/>
  </r>
  <r>
    <s v="4000_0.2_0.5_1000_2.0_order_4"/>
    <x v="1"/>
    <n v="0.2"/>
    <n v="0.5"/>
    <n v="1000"/>
    <n v="2"/>
    <n v="4"/>
    <x v="0"/>
    <n v="266529.09999999998"/>
    <n v="102759"/>
    <n v="163770.1"/>
    <n v="1200"/>
    <n v="600.96"/>
    <n v="66675"/>
    <n v="100941.1"/>
    <n v="167616.1"/>
    <n v="21508.5"/>
    <n v="4894.3999999999996"/>
    <n v="26402.9"/>
    <n v="27.21"/>
    <n v="0.14000000000000001"/>
    <n v="4870.2"/>
    <n v="26378.7"/>
    <n v="601.1"/>
    <n v="1200"/>
    <n v="193994.8"/>
    <n v="27.21"/>
  </r>
  <r>
    <s v="4000_0.2_0.5_1000_2.0_order_4"/>
    <x v="1"/>
    <n v="0.2"/>
    <n v="0.5"/>
    <n v="1000"/>
    <n v="2"/>
    <n v="4"/>
    <x v="1"/>
    <n v="266529.09999999998"/>
    <n v="102759"/>
    <n v="163770.1"/>
    <n v="1200"/>
    <n v="600.01"/>
    <n v="67981.2"/>
    <n v="103651.7"/>
    <n v="171632.9"/>
    <n v="21418.5"/>
    <n v="5450.7"/>
    <n v="26869.200000000001"/>
    <n v="25.52"/>
    <n v="0.25"/>
    <n v="5302.3"/>
    <n v="26720.799999999999"/>
    <n v="600.25"/>
    <n v="1200"/>
    <n v="198353.7"/>
    <n v="25.58"/>
  </r>
  <r>
    <s v="4000_0.2_0.5_1000_2.0_order_4"/>
    <x v="1"/>
    <n v="0.2"/>
    <n v="0.5"/>
    <n v="1000"/>
    <n v="2"/>
    <n v="4"/>
    <x v="2"/>
    <n v="266529.09999999998"/>
    <n v="102759"/>
    <n v="163770.1"/>
    <n v="1200"/>
    <n v="600.16"/>
    <n v="68783.899999999994"/>
    <n v="105416.1"/>
    <n v="174200"/>
    <n v="18494.900000000001"/>
    <n v="7019.8"/>
    <n v="25514.7"/>
    <n v="25.07"/>
    <n v="0.99"/>
    <n v="6621"/>
    <n v="25115.9"/>
    <n v="601.15"/>
    <n v="1199"/>
    <n v="199315.9"/>
    <n v="25.22"/>
  </r>
  <r>
    <s v="4000_0.2_0.5_1000_2.0_order_4"/>
    <x v="1"/>
    <n v="0.2"/>
    <n v="0.5"/>
    <n v="1000"/>
    <n v="2"/>
    <n v="4"/>
    <x v="3"/>
    <n v="266529.09999999998"/>
    <n v="102759"/>
    <n v="163770.1"/>
    <n v="1200"/>
    <n v="600.94000000000005"/>
    <n v="68186.600000000006"/>
    <n v="102861.9"/>
    <n v="171048.5"/>
    <n v="21419.7"/>
    <n v="4820.5"/>
    <n v="26240.2"/>
    <n v="25.98"/>
    <n v="0.13"/>
    <n v="4665.2"/>
    <n v="26084.9"/>
    <n v="601.07000000000005"/>
    <n v="1199"/>
    <n v="197133.4"/>
    <n v="26.04"/>
  </r>
  <r>
    <s v="4000_0.2_0.5_1000_2.0_order_5"/>
    <x v="1"/>
    <n v="0.2"/>
    <n v="0.5"/>
    <n v="1000"/>
    <n v="2"/>
    <n v="5"/>
    <x v="0"/>
    <n v="269546.8"/>
    <n v="106410.2"/>
    <n v="163136.6"/>
    <n v="1200"/>
    <n v="600.97"/>
    <n v="67466.8"/>
    <n v="101691.3"/>
    <n v="169158.1"/>
    <n v="21181"/>
    <n v="5244.4"/>
    <n v="26425.4"/>
    <n v="27.44"/>
    <n v="0.2"/>
    <n v="5239.3999999999996"/>
    <n v="26420.400000000001"/>
    <n v="601.16999999999996"/>
    <n v="1198"/>
    <n v="195578.5"/>
    <n v="27.44"/>
  </r>
  <r>
    <s v="4000_0.2_0.5_1000_2.0_order_5"/>
    <x v="1"/>
    <n v="0.2"/>
    <n v="0.5"/>
    <n v="1000"/>
    <n v="2"/>
    <n v="5"/>
    <x v="1"/>
    <n v="269546.8"/>
    <n v="106410.2"/>
    <n v="163136.6"/>
    <n v="1200"/>
    <n v="600.01"/>
    <n v="69437"/>
    <n v="103943.2"/>
    <n v="173380.2"/>
    <n v="21410.2"/>
    <n v="6204.3"/>
    <n v="27614.5"/>
    <n v="25.43"/>
    <n v="0.23"/>
    <n v="5926.3"/>
    <n v="27336.5"/>
    <n v="600.24"/>
    <n v="1200"/>
    <n v="200716.7"/>
    <n v="25.54"/>
  </r>
  <r>
    <s v="4000_0.2_0.5_1000_2.0_order_5"/>
    <x v="1"/>
    <n v="0.2"/>
    <n v="0.5"/>
    <n v="1000"/>
    <n v="2"/>
    <n v="5"/>
    <x v="2"/>
    <n v="269546.8"/>
    <n v="106410.2"/>
    <n v="163136.6"/>
    <n v="1200"/>
    <n v="600.87"/>
    <n v="70111.5"/>
    <n v="105625.60000000001"/>
    <n v="175737.1"/>
    <n v="18459.5"/>
    <n v="7445.9"/>
    <n v="25905.4"/>
    <n v="25.19"/>
    <n v="1.1000000000000001"/>
    <n v="7056.4"/>
    <n v="25515.9"/>
    <n v="601.97"/>
    <n v="1200"/>
    <n v="201253"/>
    <n v="25.34"/>
  </r>
  <r>
    <s v="4000_0.2_0.5_1000_2.0_order_5"/>
    <x v="1"/>
    <n v="0.2"/>
    <n v="0.5"/>
    <n v="1000"/>
    <n v="2"/>
    <n v="5"/>
    <x v="3"/>
    <n v="269546.8"/>
    <n v="106410.2"/>
    <n v="163136.6"/>
    <n v="1200"/>
    <n v="600.78"/>
    <n v="69476.3"/>
    <n v="102560.3"/>
    <n v="172036.6"/>
    <n v="21217.3"/>
    <n v="5245.4"/>
    <n v="26462.7"/>
    <n v="26.36"/>
    <n v="0.18"/>
    <n v="5094.6000000000004"/>
    <n v="26311.9"/>
    <n v="600.96"/>
    <n v="1200"/>
    <n v="198348.5"/>
    <n v="26.41"/>
  </r>
  <r>
    <s v="4000_0.2_0.5_1000_3.0_order_1"/>
    <x v="1"/>
    <n v="0.2"/>
    <n v="0.5"/>
    <n v="1000"/>
    <n v="3"/>
    <n v="1"/>
    <x v="0"/>
    <n v="351445"/>
    <n v="133205"/>
    <n v="218240"/>
    <n v="1200"/>
    <n v="600"/>
    <n v="88987.199999999997"/>
    <n v="139861.4"/>
    <n v="228848.6"/>
    <n v="21277.1"/>
    <n v="5387.3"/>
    <n v="26664.400000000001"/>
    <n v="27.3"/>
    <n v="0.21"/>
    <n v="5354.6"/>
    <n v="26631.7"/>
    <n v="600.22"/>
    <n v="1200"/>
    <n v="255480.3"/>
    <n v="27.31"/>
  </r>
  <r>
    <s v="4000_0.2_0.5_1000_3.0_order_1"/>
    <x v="1"/>
    <n v="0.2"/>
    <n v="0.5"/>
    <n v="1000"/>
    <n v="3"/>
    <n v="1"/>
    <x v="1"/>
    <n v="351445"/>
    <n v="133205"/>
    <n v="218240"/>
    <n v="1200"/>
    <n v="600.02"/>
    <n v="91733.9"/>
    <n v="145381.4"/>
    <n v="237115.3"/>
    <n v="21275.9"/>
    <n v="5868.2"/>
    <n v="27144.1"/>
    <n v="24.81"/>
    <n v="0.22"/>
    <n v="5680.5"/>
    <n v="26956.400000000001"/>
    <n v="600.24"/>
    <n v="1200"/>
    <n v="264071.7"/>
    <n v="24.86"/>
  </r>
  <r>
    <s v="4000_0.2_0.5_1000_3.0_order_1"/>
    <x v="1"/>
    <n v="0.2"/>
    <n v="0.5"/>
    <n v="1000"/>
    <n v="3"/>
    <n v="1"/>
    <x v="2"/>
    <n v="351445"/>
    <n v="133205"/>
    <n v="218240"/>
    <n v="1200"/>
    <n v="600.03"/>
    <n v="91192.1"/>
    <n v="145200.20000000001"/>
    <n v="236392.3"/>
    <n v="18697.3"/>
    <n v="6672.9"/>
    <n v="25370.2"/>
    <n v="25.52"/>
    <n v="0.86"/>
    <n v="6224"/>
    <n v="24921.3"/>
    <n v="600.89"/>
    <n v="1200"/>
    <n v="261313.6"/>
    <n v="25.65"/>
  </r>
  <r>
    <s v="4000_0.2_0.5_1000_3.0_order_1"/>
    <x v="1"/>
    <n v="0.2"/>
    <n v="0.5"/>
    <n v="1000"/>
    <n v="3"/>
    <n v="1"/>
    <x v="3"/>
    <n v="351445"/>
    <n v="133205"/>
    <n v="218240"/>
    <n v="1200"/>
    <n v="600.65"/>
    <n v="88750.399999999994"/>
    <n v="141288.79999999999"/>
    <n v="230039.2"/>
    <n v="22003.3"/>
    <n v="5288.3"/>
    <n v="27291.599999999999"/>
    <n v="26.78"/>
    <n v="0.15"/>
    <n v="5141.8"/>
    <n v="27145.1"/>
    <n v="600.79999999999995"/>
    <n v="1200"/>
    <n v="257184.3"/>
    <n v="26.82"/>
  </r>
  <r>
    <s v="4000_0.2_0.5_1000_3.0_order_2"/>
    <x v="1"/>
    <n v="0.2"/>
    <n v="0.5"/>
    <n v="1000"/>
    <n v="3"/>
    <n v="2"/>
    <x v="0"/>
    <n v="356679.5"/>
    <n v="140383.9"/>
    <n v="216295.6"/>
    <n v="1200"/>
    <n v="600.54"/>
    <n v="91449.5"/>
    <n v="135244.79999999999"/>
    <n v="226694.3"/>
    <n v="22176.7"/>
    <n v="5374.8"/>
    <n v="27551.5"/>
    <n v="28.72"/>
    <n v="0.18"/>
    <n v="5374.8"/>
    <n v="27551.5"/>
    <n v="600.72"/>
    <n v="1200"/>
    <n v="254245.8"/>
    <n v="28.72"/>
  </r>
  <r>
    <s v="4000_0.2_0.5_1000_3.0_order_2"/>
    <x v="1"/>
    <n v="0.2"/>
    <n v="0.5"/>
    <n v="1000"/>
    <n v="3"/>
    <n v="2"/>
    <x v="1"/>
    <n v="356679.5"/>
    <n v="140383.9"/>
    <n v="216295.6"/>
    <n v="1200"/>
    <n v="600.01"/>
    <n v="94975.3"/>
    <n v="141254.39999999999"/>
    <n v="236229.7"/>
    <n v="22161.8"/>
    <n v="5772.9"/>
    <n v="27934.7"/>
    <n v="25.94"/>
    <n v="0.2"/>
    <n v="5535.4"/>
    <n v="27697.200000000001"/>
    <n v="600.21"/>
    <n v="1200"/>
    <n v="263926.90000000002"/>
    <n v="26"/>
  </r>
  <r>
    <s v="4000_0.2_0.5_1000_3.0_order_2"/>
    <x v="1"/>
    <n v="0.2"/>
    <n v="0.5"/>
    <n v="1000"/>
    <n v="3"/>
    <n v="2"/>
    <x v="2"/>
    <n v="356679.5"/>
    <n v="140383.9"/>
    <n v="216295.6"/>
    <n v="1200"/>
    <n v="600.61"/>
    <n v="93501.5"/>
    <n v="139093.70000000001"/>
    <n v="232595.20000000001"/>
    <n v="20048.599999999999"/>
    <n v="7136.9"/>
    <n v="27185.5"/>
    <n v="27.17"/>
    <n v="0.9"/>
    <n v="6541.7"/>
    <n v="26590.3"/>
    <n v="601.51"/>
    <n v="1200"/>
    <n v="259185.5"/>
    <n v="27.33"/>
  </r>
  <r>
    <s v="4000_0.2_0.5_1000_3.0_order_2"/>
    <x v="1"/>
    <n v="0.2"/>
    <n v="0.5"/>
    <n v="1000"/>
    <n v="3"/>
    <n v="2"/>
    <x v="3"/>
    <n v="356679.5"/>
    <n v="140383.9"/>
    <n v="216295.6"/>
    <n v="1200"/>
    <n v="600.4"/>
    <n v="91230.2"/>
    <n v="137697.9"/>
    <n v="228928.1"/>
    <n v="22759.8"/>
    <n v="5540.2"/>
    <n v="28300"/>
    <n v="27.88"/>
    <n v="0.18"/>
    <n v="5408.8"/>
    <n v="28168.6"/>
    <n v="600.58000000000004"/>
    <n v="1200"/>
    <n v="257096.7"/>
    <n v="27.92"/>
  </r>
  <r>
    <s v="4000_0.2_0.5_1000_3.0_order_3"/>
    <x v="1"/>
    <n v="0.2"/>
    <n v="0.5"/>
    <n v="1000"/>
    <n v="3"/>
    <n v="3"/>
    <x v="0"/>
    <n v="346020.1"/>
    <n v="134050.5"/>
    <n v="211969.6"/>
    <n v="1200"/>
    <n v="600.66"/>
    <n v="88067.6"/>
    <n v="133191.5"/>
    <n v="221259.1"/>
    <n v="21778.1"/>
    <n v="5250"/>
    <n v="27028.1"/>
    <n v="28.24"/>
    <n v="0.16"/>
    <n v="5207.8"/>
    <n v="26985.9"/>
    <n v="600.82000000000005"/>
    <n v="1199"/>
    <n v="248245"/>
    <n v="28.26"/>
  </r>
  <r>
    <s v="4000_0.2_0.5_1000_3.0_order_3"/>
    <x v="1"/>
    <n v="0.2"/>
    <n v="0.5"/>
    <n v="1000"/>
    <n v="3"/>
    <n v="3"/>
    <x v="1"/>
    <n v="346020.1"/>
    <n v="134050.5"/>
    <n v="211969.6"/>
    <n v="1200"/>
    <n v="600.01"/>
    <n v="90764.5"/>
    <n v="139324.6"/>
    <n v="230089.1"/>
    <n v="21034.799999999999"/>
    <n v="6068.7"/>
    <n v="27103.5"/>
    <n v="25.67"/>
    <n v="0.25"/>
    <n v="5778.6"/>
    <n v="26813.4"/>
    <n v="600.26"/>
    <n v="1200"/>
    <n v="256902.5"/>
    <n v="25.76"/>
  </r>
  <r>
    <s v="4000_0.2_0.5_1000_3.0_order_3"/>
    <x v="1"/>
    <n v="0.2"/>
    <n v="0.5"/>
    <n v="1000"/>
    <n v="3"/>
    <n v="3"/>
    <x v="2"/>
    <n v="346020.1"/>
    <n v="134050.5"/>
    <n v="211969.6"/>
    <n v="1200"/>
    <n v="600.24"/>
    <n v="90684.9"/>
    <n v="138912.5"/>
    <n v="229597.4"/>
    <n v="18387.5"/>
    <n v="7076.2"/>
    <n v="25463.7"/>
    <n v="26.29"/>
    <n v="1.4"/>
    <n v="6467.2"/>
    <n v="24854.7"/>
    <n v="601.65"/>
    <n v="1199"/>
    <n v="254452.1"/>
    <n v="26.46"/>
  </r>
  <r>
    <s v="4000_0.2_0.5_1000_3.0_order_3"/>
    <x v="1"/>
    <n v="0.2"/>
    <n v="0.5"/>
    <n v="1000"/>
    <n v="3"/>
    <n v="3"/>
    <x v="3"/>
    <n v="346020.1"/>
    <n v="134050.5"/>
    <n v="211969.6"/>
    <n v="1200"/>
    <n v="600.42999999999995"/>
    <n v="88221.5"/>
    <n v="134836.1"/>
    <n v="223057.6"/>
    <n v="21783"/>
    <n v="5290.2"/>
    <n v="27073.200000000001"/>
    <n v="27.71"/>
    <n v="0.17"/>
    <n v="5072.5"/>
    <n v="26855.5"/>
    <n v="600.59"/>
    <n v="1200"/>
    <n v="249913.1"/>
    <n v="27.77"/>
  </r>
  <r>
    <s v="4000_0.2_0.5_1000_3.0_order_4"/>
    <x v="1"/>
    <n v="0.2"/>
    <n v="0.5"/>
    <n v="1000"/>
    <n v="3"/>
    <n v="4"/>
    <x v="0"/>
    <n v="357913.8"/>
    <n v="140722"/>
    <n v="217191.8"/>
    <n v="1200"/>
    <n v="600.89"/>
    <n v="93146.6"/>
    <n v="139055.9"/>
    <n v="232202.5"/>
    <n v="21258.400000000001"/>
    <n v="5395.8"/>
    <n v="26654.2"/>
    <n v="27.68"/>
    <n v="0.2"/>
    <n v="5370.9"/>
    <n v="26629.3"/>
    <n v="601.09"/>
    <n v="1200"/>
    <n v="258831.8"/>
    <n v="27.68"/>
  </r>
  <r>
    <s v="4000_0.2_0.5_1000_3.0_order_4"/>
    <x v="1"/>
    <n v="0.2"/>
    <n v="0.5"/>
    <n v="1000"/>
    <n v="3"/>
    <n v="4"/>
    <x v="1"/>
    <n v="357913.8"/>
    <n v="140722"/>
    <n v="217191.8"/>
    <n v="1200"/>
    <n v="600.01"/>
    <n v="96069"/>
    <n v="144664.9"/>
    <n v="240733.9"/>
    <n v="21419.200000000001"/>
    <n v="6124.9"/>
    <n v="27544.1"/>
    <n v="25.04"/>
    <n v="0.19"/>
    <n v="5878.2"/>
    <n v="27297.4"/>
    <n v="600.21"/>
    <n v="1200"/>
    <n v="268031.3"/>
    <n v="25.11"/>
  </r>
  <r>
    <s v="4000_0.2_0.5_1000_3.0_order_4"/>
    <x v="1"/>
    <n v="0.2"/>
    <n v="0.5"/>
    <n v="1000"/>
    <n v="3"/>
    <n v="4"/>
    <x v="2"/>
    <n v="357913.8"/>
    <n v="140722"/>
    <n v="217191.8"/>
    <n v="1200"/>
    <n v="600.23"/>
    <n v="93834.5"/>
    <n v="142653.29999999999"/>
    <n v="236487.8"/>
    <n v="19859.2"/>
    <n v="6971.6"/>
    <n v="26830.799999999999"/>
    <n v="26.43"/>
    <n v="0.81"/>
    <n v="6471.2"/>
    <n v="26330.400000000001"/>
    <n v="601.04"/>
    <n v="1200"/>
    <n v="262818.2"/>
    <n v="26.57"/>
  </r>
  <r>
    <s v="4000_0.2_0.5_1000_3.0_order_4"/>
    <x v="1"/>
    <n v="0.2"/>
    <n v="0.5"/>
    <n v="1000"/>
    <n v="3"/>
    <n v="4"/>
    <x v="3"/>
    <n v="357913.8"/>
    <n v="140722"/>
    <n v="217191.8"/>
    <n v="1200"/>
    <n v="600.41"/>
    <n v="93433.3"/>
    <n v="140302.70000000001"/>
    <n v="233736"/>
    <n v="21679.200000000001"/>
    <n v="5442.5"/>
    <n v="27121.7"/>
    <n v="27.12"/>
    <n v="0.15"/>
    <n v="5315.1"/>
    <n v="26994.3"/>
    <n v="600.55999999999995"/>
    <n v="1200"/>
    <n v="260730.3"/>
    <n v="27.15"/>
  </r>
  <r>
    <s v="4000_0.2_0.5_1000_3.0_order_5"/>
    <x v="1"/>
    <n v="0.2"/>
    <n v="0.5"/>
    <n v="1000"/>
    <n v="3"/>
    <n v="5"/>
    <x v="0"/>
    <n v="358543.9"/>
    <n v="136947.6"/>
    <n v="221596.3"/>
    <n v="1200"/>
    <n v="601.12"/>
    <n v="90322.8"/>
    <n v="140528.9"/>
    <n v="230851.7"/>
    <n v="21982.6"/>
    <n v="5118.3"/>
    <n v="27100.9"/>
    <n v="28.06"/>
    <n v="0.16"/>
    <n v="5110.8999999999996"/>
    <n v="27093.5"/>
    <n v="601.28"/>
    <n v="1200"/>
    <n v="257945.2"/>
    <n v="28.06"/>
  </r>
  <r>
    <s v="4000_0.2_0.5_1000_3.0_order_5"/>
    <x v="1"/>
    <n v="0.2"/>
    <n v="0.5"/>
    <n v="1000"/>
    <n v="3"/>
    <n v="5"/>
    <x v="1"/>
    <n v="358543.9"/>
    <n v="136947.6"/>
    <n v="221596.3"/>
    <n v="1200"/>
    <n v="600.01"/>
    <n v="92756.2"/>
    <n v="146835.29999999999"/>
    <n v="239591.5"/>
    <n v="21791.3"/>
    <n v="5729.4"/>
    <n v="27520.7"/>
    <n v="25.5"/>
    <n v="0.19"/>
    <n v="5414.3"/>
    <n v="27205.599999999999"/>
    <n v="600.21"/>
    <n v="1200"/>
    <n v="266797.09999999998"/>
    <n v="25.59"/>
  </r>
  <r>
    <s v="4000_0.2_0.5_1000_3.0_order_5"/>
    <x v="1"/>
    <n v="0.2"/>
    <n v="0.5"/>
    <n v="1000"/>
    <n v="3"/>
    <n v="5"/>
    <x v="2"/>
    <n v="358543.9"/>
    <n v="136947.6"/>
    <n v="221596.3"/>
    <n v="1200"/>
    <n v="600.01"/>
    <n v="92685.3"/>
    <n v="145379.4"/>
    <n v="238064.7"/>
    <n v="19269.2"/>
    <n v="6669.6"/>
    <n v="25938.799999999999"/>
    <n v="26.37"/>
    <n v="0.8"/>
    <n v="6145.5"/>
    <n v="25414.7"/>
    <n v="600.80999999999995"/>
    <n v="1199"/>
    <n v="263479.40000000002"/>
    <n v="26.51"/>
  </r>
  <r>
    <s v="4000_0.2_0.5_1000_3.0_order_5"/>
    <x v="1"/>
    <n v="0.2"/>
    <n v="0.5"/>
    <n v="1000"/>
    <n v="3"/>
    <n v="5"/>
    <x v="3"/>
    <n v="358543.9"/>
    <n v="136947.6"/>
    <n v="221596.3"/>
    <n v="1200"/>
    <n v="600.72"/>
    <n v="91162.2"/>
    <n v="142252.29999999999"/>
    <n v="233414.5"/>
    <n v="21910.6"/>
    <n v="5414.6"/>
    <n v="27325.200000000001"/>
    <n v="27.28"/>
    <n v="0.13"/>
    <n v="5282.1"/>
    <n v="27192.7"/>
    <n v="600.85"/>
    <n v="1200"/>
    <n v="260607.2"/>
    <n v="27.32"/>
  </r>
  <r>
    <s v="4000_0.3_0.5_1000_1.0_order_1"/>
    <x v="1"/>
    <n v="0.3"/>
    <n v="0.5"/>
    <n v="1000"/>
    <n v="1"/>
    <n v="1"/>
    <x v="0"/>
    <n v="175093.6"/>
    <n v="68226.600000000006"/>
    <n v="106867"/>
    <n v="1200"/>
    <n v="601.42999999999995"/>
    <n v="41411.300000000003"/>
    <n v="61084.5"/>
    <n v="102495.8"/>
    <n v="21355.7"/>
    <n v="6301.9"/>
    <n v="27657.599999999999"/>
    <n v="25.67"/>
    <n v="0.33"/>
    <n v="6262.4"/>
    <n v="27618.1"/>
    <n v="601.76"/>
    <n v="1200"/>
    <n v="130113.9"/>
    <n v="25.69"/>
  </r>
  <r>
    <s v="4000_0.3_0.5_1000_1.0_order_1"/>
    <x v="1"/>
    <n v="0.3"/>
    <n v="0.5"/>
    <n v="1000"/>
    <n v="1"/>
    <n v="1"/>
    <x v="1"/>
    <n v="175093.6"/>
    <n v="68226.600000000006"/>
    <n v="106867"/>
    <n v="1200"/>
    <n v="600"/>
    <n v="41850.300000000003"/>
    <n v="61461.5"/>
    <n v="103311.8"/>
    <n v="21102.400000000001"/>
    <n v="7337.5"/>
    <n v="28439.9"/>
    <n v="24.75"/>
    <n v="0.34"/>
    <n v="7211.5"/>
    <n v="28313.9"/>
    <n v="600.34"/>
    <n v="1200"/>
    <n v="131625.70000000001"/>
    <n v="24.83"/>
  </r>
  <r>
    <s v="4000_0.3_0.5_1000_1.0_order_1"/>
    <x v="1"/>
    <n v="0.3"/>
    <n v="0.5"/>
    <n v="1000"/>
    <n v="1"/>
    <n v="1"/>
    <x v="2"/>
    <n v="175093.6"/>
    <n v="68226.600000000006"/>
    <n v="106867"/>
    <n v="1200"/>
    <n v="600"/>
    <n v="42818.6"/>
    <n v="63095"/>
    <n v="105913.60000000001"/>
    <n v="17472.599999999999"/>
    <n v="9351.7999999999993"/>
    <n v="26824.400000000001"/>
    <n v="24.19"/>
    <n v="2.63"/>
    <n v="8957"/>
    <n v="26429.599999999999"/>
    <n v="602.63"/>
    <n v="1199"/>
    <n v="132343.20000000001"/>
    <n v="24.42"/>
  </r>
  <r>
    <s v="4000_0.3_0.5_1000_1.0_order_1"/>
    <x v="1"/>
    <n v="0.3"/>
    <n v="0.5"/>
    <n v="1000"/>
    <n v="1"/>
    <n v="1"/>
    <x v="3"/>
    <n v="175093.6"/>
    <n v="68226.600000000006"/>
    <n v="106867"/>
    <n v="1200"/>
    <n v="600.33000000000004"/>
    <n v="42098.1"/>
    <n v="62162"/>
    <n v="104260.1"/>
    <n v="21430.1"/>
    <n v="6048"/>
    <n v="27478.1"/>
    <n v="24.76"/>
    <n v="0.22"/>
    <n v="5946.4"/>
    <n v="27376.5"/>
    <n v="600.54999999999995"/>
    <n v="1200"/>
    <n v="131636.6"/>
    <n v="24.82"/>
  </r>
  <r>
    <s v="4000_0.3_0.5_1000_1.0_order_2"/>
    <x v="1"/>
    <n v="0.3"/>
    <n v="0.5"/>
    <n v="1000"/>
    <n v="1"/>
    <n v="2"/>
    <x v="0"/>
    <n v="175656.9"/>
    <n v="73099.600000000006"/>
    <n v="102557.3"/>
    <n v="1200"/>
    <n v="601.54"/>
    <n v="43414.9"/>
    <n v="59890.1"/>
    <n v="103305"/>
    <n v="21061"/>
    <n v="6183.1"/>
    <n v="27244.1"/>
    <n v="25.68"/>
    <n v="0.28000000000000003"/>
    <n v="6136.5"/>
    <n v="27197.5"/>
    <n v="601.82000000000005"/>
    <n v="1199"/>
    <n v="130502.5"/>
    <n v="25.71"/>
  </r>
  <r>
    <s v="4000_0.3_0.5_1000_1.0_order_2"/>
    <x v="1"/>
    <n v="0.3"/>
    <n v="0.5"/>
    <n v="1000"/>
    <n v="1"/>
    <n v="2"/>
    <x v="1"/>
    <n v="175656.9"/>
    <n v="73099.600000000006"/>
    <n v="102557.3"/>
    <n v="1200"/>
    <n v="600.02"/>
    <n v="43345.3"/>
    <n v="59742"/>
    <n v="103087.3"/>
    <n v="21366.1"/>
    <n v="7674"/>
    <n v="29040.1"/>
    <n v="24.78"/>
    <n v="0.37"/>
    <n v="7515.3"/>
    <n v="28881.4"/>
    <n v="600.38"/>
    <n v="1200"/>
    <n v="131968.70000000001"/>
    <n v="24.87"/>
  </r>
  <r>
    <s v="4000_0.3_0.5_1000_1.0_order_2"/>
    <x v="1"/>
    <n v="0.3"/>
    <n v="0.5"/>
    <n v="1000"/>
    <n v="1"/>
    <n v="2"/>
    <x v="2"/>
    <n v="175656.9"/>
    <n v="73099.600000000006"/>
    <n v="102557.3"/>
    <n v="1200"/>
    <n v="600.01"/>
    <n v="44200.1"/>
    <n v="61738.2"/>
    <n v="105938.3"/>
    <n v="17885.599999999999"/>
    <n v="9170.7000000000007"/>
    <n v="27056.3"/>
    <n v="24.29"/>
    <n v="1.42"/>
    <n v="8830"/>
    <n v="26715.599999999999"/>
    <n v="601.42999999999995"/>
    <n v="1199"/>
    <n v="132653.9"/>
    <n v="24.48"/>
  </r>
  <r>
    <s v="4000_0.3_0.5_1000_1.0_order_2"/>
    <x v="1"/>
    <n v="0.3"/>
    <n v="0.5"/>
    <n v="1000"/>
    <n v="1"/>
    <n v="2"/>
    <x v="3"/>
    <n v="175656.9"/>
    <n v="73099.600000000006"/>
    <n v="102557.3"/>
    <n v="1200"/>
    <n v="600.91"/>
    <n v="42342"/>
    <n v="60065.4"/>
    <n v="102407.4"/>
    <n v="22216.3"/>
    <n v="6611.4"/>
    <n v="28827.7"/>
    <n v="25.29"/>
    <n v="0.21"/>
    <n v="6477.7"/>
    <n v="28694"/>
    <n v="601.12"/>
    <n v="1198"/>
    <n v="131101.4"/>
    <n v="25.37"/>
  </r>
  <r>
    <s v="4000_0.3_0.5_1000_1.0_order_3"/>
    <x v="1"/>
    <n v="0.3"/>
    <n v="0.5"/>
    <n v="1000"/>
    <n v="1"/>
    <n v="3"/>
    <x v="0"/>
    <n v="169951.8"/>
    <n v="69742.100000000006"/>
    <n v="100209.7"/>
    <n v="1200"/>
    <n v="601.76"/>
    <n v="42238.7"/>
    <n v="58971.6"/>
    <n v="101210.3"/>
    <n v="20234.599999999999"/>
    <n v="6248.4"/>
    <n v="26483"/>
    <n v="24.86"/>
    <n v="0.34"/>
    <n v="6186.9"/>
    <n v="26421.5"/>
    <n v="602.1"/>
    <n v="1161"/>
    <n v="127631.8"/>
    <n v="24.9"/>
  </r>
  <r>
    <s v="4000_0.3_0.5_1000_1.0_order_3"/>
    <x v="1"/>
    <n v="0.3"/>
    <n v="0.5"/>
    <n v="1000"/>
    <n v="1"/>
    <n v="3"/>
    <x v="1"/>
    <n v="169951.8"/>
    <n v="69742.100000000006"/>
    <n v="100209.7"/>
    <n v="1200"/>
    <n v="600.01"/>
    <n v="42675"/>
    <n v="58198.1"/>
    <n v="100873.1"/>
    <n v="20908.599999999999"/>
    <n v="7127.5"/>
    <n v="28036.1"/>
    <n v="24.15"/>
    <n v="0.36"/>
    <n v="7041.6"/>
    <n v="27950.2"/>
    <n v="600.38"/>
    <n v="1200"/>
    <n v="128823.3"/>
    <n v="24.2"/>
  </r>
  <r>
    <s v="4000_0.3_0.5_1000_1.0_order_3"/>
    <x v="1"/>
    <n v="0.3"/>
    <n v="0.5"/>
    <n v="1000"/>
    <n v="1"/>
    <n v="3"/>
    <x v="2"/>
    <n v="169951.8"/>
    <n v="69742.100000000006"/>
    <n v="100209.7"/>
    <n v="1200"/>
    <n v="600.9"/>
    <n v="42952.6"/>
    <n v="60160.9"/>
    <n v="103113.5"/>
    <n v="17423.8"/>
    <n v="9132.7000000000007"/>
    <n v="26556.5"/>
    <n v="23.7"/>
    <n v="1.79"/>
    <n v="8780.7999999999993"/>
    <n v="26204.6"/>
    <n v="602.69000000000005"/>
    <n v="1199"/>
    <n v="129318.1"/>
    <n v="23.91"/>
  </r>
  <r>
    <s v="4000_0.3_0.5_1000_1.0_order_3"/>
    <x v="1"/>
    <n v="0.3"/>
    <n v="0.5"/>
    <n v="1000"/>
    <n v="1"/>
    <n v="3"/>
    <x v="3"/>
    <n v="169951.8"/>
    <n v="69742.100000000006"/>
    <n v="100209.7"/>
    <n v="1200"/>
    <n v="600.12"/>
    <n v="42957.3"/>
    <n v="58525"/>
    <n v="101482.3"/>
    <n v="20827.900000000001"/>
    <n v="6102"/>
    <n v="26929.9"/>
    <n v="24.44"/>
    <n v="0.16"/>
    <n v="5994.3"/>
    <n v="26822.2"/>
    <n v="600.28"/>
    <n v="1197"/>
    <n v="128304.5"/>
    <n v="24.51"/>
  </r>
  <r>
    <s v="4000_0.3_0.5_1000_1.0_order_4"/>
    <x v="1"/>
    <n v="0.3"/>
    <n v="0.5"/>
    <n v="1000"/>
    <n v="1"/>
    <n v="4"/>
    <x v="0"/>
    <n v="171916.6"/>
    <n v="69635.3"/>
    <n v="102281.3"/>
    <n v="1200"/>
    <n v="601.92999999999995"/>
    <n v="42693.2"/>
    <n v="59694.2"/>
    <n v="102387.4"/>
    <n v="19694.2"/>
    <n v="6299.3"/>
    <n v="25993.5"/>
    <n v="25.32"/>
    <n v="0.38"/>
    <n v="6283.7"/>
    <n v="25977.9"/>
    <n v="602.30999999999995"/>
    <n v="1171"/>
    <n v="128365.3"/>
    <n v="25.33"/>
  </r>
  <r>
    <s v="4000_0.3_0.5_1000_1.0_order_4"/>
    <x v="1"/>
    <n v="0.3"/>
    <n v="0.5"/>
    <n v="1000"/>
    <n v="1"/>
    <n v="4"/>
    <x v="1"/>
    <n v="171916.6"/>
    <n v="69635.3"/>
    <n v="102281.3"/>
    <n v="1200"/>
    <n v="600.02"/>
    <n v="41742.400000000001"/>
    <n v="59677.1"/>
    <n v="101419.5"/>
    <n v="20855.900000000001"/>
    <n v="7257.3"/>
    <n v="28113.200000000001"/>
    <n v="24.65"/>
    <n v="0.35"/>
    <n v="7127.6"/>
    <n v="27983.5"/>
    <n v="600.37"/>
    <n v="1200"/>
    <n v="129403"/>
    <n v="24.73"/>
  </r>
  <r>
    <s v="4000_0.3_0.5_1000_1.0_order_4"/>
    <x v="1"/>
    <n v="0.3"/>
    <n v="0.5"/>
    <n v="1000"/>
    <n v="1"/>
    <n v="4"/>
    <x v="2"/>
    <n v="171916.6"/>
    <n v="69635.3"/>
    <n v="102281.3"/>
    <n v="1200"/>
    <n v="600.82000000000005"/>
    <n v="42219.5"/>
    <n v="60747.4"/>
    <n v="102966.9"/>
    <n v="18034.3"/>
    <n v="8735.6"/>
    <n v="26769.9"/>
    <n v="24.54"/>
    <n v="2.0099999999999998"/>
    <n v="8497.4"/>
    <n v="26531.7"/>
    <n v="602.83000000000004"/>
    <n v="1199"/>
    <n v="129498.6"/>
    <n v="24.67"/>
  </r>
  <r>
    <s v="4000_0.3_0.5_1000_1.0_order_4"/>
    <x v="1"/>
    <n v="0.3"/>
    <n v="0.5"/>
    <n v="1000"/>
    <n v="1"/>
    <n v="4"/>
    <x v="3"/>
    <n v="171916.6"/>
    <n v="69635.3"/>
    <n v="102281.3"/>
    <n v="1200"/>
    <n v="600.52"/>
    <n v="41980"/>
    <n v="59414.2"/>
    <n v="101394.2"/>
    <n v="21140.400000000001"/>
    <n v="6026.7"/>
    <n v="27167.1"/>
    <n v="25.22"/>
    <n v="0.18"/>
    <n v="5926.9"/>
    <n v="27067.3"/>
    <n v="600.70000000000005"/>
    <n v="1199"/>
    <n v="128461.5"/>
    <n v="25.28"/>
  </r>
  <r>
    <s v="4000_0.3_0.5_1000_1.0_order_5"/>
    <x v="1"/>
    <n v="0.3"/>
    <n v="0.5"/>
    <n v="1000"/>
    <n v="1"/>
    <n v="5"/>
    <x v="0"/>
    <n v="176761.2"/>
    <n v="70693.100000000006"/>
    <n v="106068.1"/>
    <n v="1200"/>
    <n v="601.1"/>
    <n v="42606.7"/>
    <n v="61935"/>
    <n v="104541.7"/>
    <n v="20590"/>
    <n v="6785.3"/>
    <n v="27375.3"/>
    <n v="25.37"/>
    <n v="0.41"/>
    <n v="6744.8"/>
    <n v="27334.799999999999"/>
    <n v="601.5"/>
    <n v="1199"/>
    <n v="131876.5"/>
    <n v="25.39"/>
  </r>
  <r>
    <s v="4000_0.3_0.5_1000_1.0_order_5"/>
    <x v="1"/>
    <n v="0.3"/>
    <n v="0.5"/>
    <n v="1000"/>
    <n v="1"/>
    <n v="5"/>
    <x v="1"/>
    <n v="176761.2"/>
    <n v="70693.100000000006"/>
    <n v="106068.1"/>
    <n v="1200"/>
    <n v="600"/>
    <n v="43252.5"/>
    <n v="61757.2"/>
    <n v="105009.7"/>
    <n v="21292.799999999999"/>
    <n v="7484.3"/>
    <n v="28777.1"/>
    <n v="24.31"/>
    <n v="0.31"/>
    <n v="7379.9"/>
    <n v="28672.7"/>
    <n v="600.30999999999995"/>
    <n v="1200"/>
    <n v="133682.4"/>
    <n v="24.37"/>
  </r>
  <r>
    <s v="4000_0.3_0.5_1000_1.0_order_5"/>
    <x v="1"/>
    <n v="0.3"/>
    <n v="0.5"/>
    <n v="1000"/>
    <n v="1"/>
    <n v="5"/>
    <x v="2"/>
    <n v="176761.2"/>
    <n v="70693.100000000006"/>
    <n v="106068.1"/>
    <n v="1200"/>
    <n v="600.16"/>
    <n v="44005.1"/>
    <n v="63680.5"/>
    <n v="107685.6"/>
    <n v="17822.599999999999"/>
    <n v="9205.7999999999993"/>
    <n v="27028.400000000001"/>
    <n v="23.79"/>
    <n v="1.74"/>
    <n v="8966.6"/>
    <n v="26789.200000000001"/>
    <n v="601.9"/>
    <n v="1199"/>
    <n v="134474.79999999999"/>
    <n v="23.92"/>
  </r>
  <r>
    <s v="4000_0.3_0.5_1000_1.0_order_5"/>
    <x v="1"/>
    <n v="0.3"/>
    <n v="0.5"/>
    <n v="1000"/>
    <n v="1"/>
    <n v="5"/>
    <x v="3"/>
    <n v="176761.2"/>
    <n v="70693.100000000006"/>
    <n v="106068.1"/>
    <n v="1200"/>
    <n v="600.46"/>
    <n v="42755"/>
    <n v="62043.1"/>
    <n v="104798.1"/>
    <n v="21613.599999999999"/>
    <n v="6575.7"/>
    <n v="28189.3"/>
    <n v="24.76"/>
    <n v="0.24"/>
    <n v="6461.5"/>
    <n v="28075.1"/>
    <n v="600.70000000000005"/>
    <n v="1200"/>
    <n v="132873.20000000001"/>
    <n v="24.83"/>
  </r>
  <r>
    <s v="4000_0.3_0.5_1000_2.0_order_1"/>
    <x v="1"/>
    <n v="0.3"/>
    <n v="0.5"/>
    <n v="1000"/>
    <n v="2"/>
    <n v="1"/>
    <x v="0"/>
    <n v="267278.59999999998"/>
    <n v="104903.3"/>
    <n v="162375.29999999999"/>
    <n v="1200"/>
    <n v="601.4"/>
    <n v="65506.2"/>
    <n v="96216.6"/>
    <n v="161722.79999999999"/>
    <n v="20420.400000000001"/>
    <n v="7297.1"/>
    <n v="27717.5"/>
    <n v="29.12"/>
    <n v="0.57999999999999996"/>
    <n v="7255.2"/>
    <n v="27675.599999999999"/>
    <n v="601.98"/>
    <n v="1200"/>
    <n v="189398.39999999999"/>
    <n v="29.14"/>
  </r>
  <r>
    <s v="4000_0.3_0.5_1000_2.0_order_1"/>
    <x v="1"/>
    <n v="0.3"/>
    <n v="0.5"/>
    <n v="1000"/>
    <n v="2"/>
    <n v="1"/>
    <x v="1"/>
    <n v="267278.59999999998"/>
    <n v="104903.3"/>
    <n v="162375.29999999999"/>
    <n v="1200"/>
    <n v="600.01"/>
    <n v="66205.7"/>
    <n v="97545.3"/>
    <n v="163751"/>
    <n v="20997.4"/>
    <n v="8183.5"/>
    <n v="29180.9"/>
    <n v="27.82"/>
    <n v="0.57999999999999996"/>
    <n v="7854.1"/>
    <n v="28851.5"/>
    <n v="600.58000000000004"/>
    <n v="1200"/>
    <n v="192602.5"/>
    <n v="27.94"/>
  </r>
  <r>
    <s v="4000_0.3_0.5_1000_2.0_order_1"/>
    <x v="1"/>
    <n v="0.3"/>
    <n v="0.5"/>
    <n v="1000"/>
    <n v="2"/>
    <n v="1"/>
    <x v="2"/>
    <n v="267278.59999999998"/>
    <n v="104903.3"/>
    <n v="162375.29999999999"/>
    <n v="1200"/>
    <n v="600.61"/>
    <n v="66332"/>
    <n v="97884"/>
    <n v="164216"/>
    <n v="18881.5"/>
    <n v="9286.1"/>
    <n v="28167.599999999999"/>
    <n v="28.02"/>
    <n v="1.51"/>
    <n v="8776.5"/>
    <n v="27658"/>
    <n v="602.11"/>
    <n v="1200"/>
    <n v="191874"/>
    <n v="28.21"/>
  </r>
  <r>
    <s v="4000_0.3_0.5_1000_2.0_order_1"/>
    <x v="1"/>
    <n v="0.3"/>
    <n v="0.5"/>
    <n v="1000"/>
    <n v="2"/>
    <n v="1"/>
    <x v="3"/>
    <n v="267278.59999999998"/>
    <n v="104903.3"/>
    <n v="162375.29999999999"/>
    <n v="1200"/>
    <n v="600.02"/>
    <n v="65259.9"/>
    <n v="95685.2"/>
    <n v="160945.1"/>
    <n v="21510.7"/>
    <n v="7048.8"/>
    <n v="28559.5"/>
    <n v="29.1"/>
    <n v="0.3"/>
    <n v="6897.5"/>
    <n v="28408.2"/>
    <n v="600.32000000000005"/>
    <n v="1200"/>
    <n v="189353.3"/>
    <n v="29.16"/>
  </r>
  <r>
    <s v="4000_0.3_0.5_1000_2.0_order_2"/>
    <x v="1"/>
    <n v="0.3"/>
    <n v="0.5"/>
    <n v="1000"/>
    <n v="2"/>
    <n v="2"/>
    <x v="0"/>
    <n v="266574.40000000002"/>
    <n v="109573.5"/>
    <n v="157000.9"/>
    <n v="1200"/>
    <n v="601.41"/>
    <n v="66639.600000000006"/>
    <n v="92900"/>
    <n v="159539.6"/>
    <n v="20588.400000000001"/>
    <n v="7223.9"/>
    <n v="27812.3"/>
    <n v="29.72"/>
    <n v="0.56999999999999995"/>
    <n v="7206"/>
    <n v="27794.400000000001"/>
    <n v="601.98"/>
    <n v="1200"/>
    <n v="187334"/>
    <n v="29.73"/>
  </r>
  <r>
    <s v="4000_0.3_0.5_1000_2.0_order_2"/>
    <x v="1"/>
    <n v="0.3"/>
    <n v="0.5"/>
    <n v="1000"/>
    <n v="2"/>
    <n v="2"/>
    <x v="1"/>
    <n v="266574.40000000002"/>
    <n v="109573.5"/>
    <n v="157000.9"/>
    <n v="1200"/>
    <n v="600.02"/>
    <n v="67317.100000000006"/>
    <n v="93715.5"/>
    <n v="161032.6"/>
    <n v="21478.2"/>
    <n v="8195.4"/>
    <n v="29673.599999999999"/>
    <n v="28.46"/>
    <n v="0.43"/>
    <n v="7990.6"/>
    <n v="29468.799999999999"/>
    <n v="600.45000000000005"/>
    <n v="1200"/>
    <n v="190501.4"/>
    <n v="28.54"/>
  </r>
  <r>
    <s v="4000_0.3_0.5_1000_2.0_order_2"/>
    <x v="1"/>
    <n v="0.3"/>
    <n v="0.5"/>
    <n v="1000"/>
    <n v="2"/>
    <n v="2"/>
    <x v="2"/>
    <n v="266574.40000000002"/>
    <n v="109573.5"/>
    <n v="157000.9"/>
    <n v="1200"/>
    <n v="600.02"/>
    <n v="68180.100000000006"/>
    <n v="95286.6"/>
    <n v="163466.70000000001"/>
    <n v="18547.900000000001"/>
    <n v="9412.2999999999993"/>
    <n v="27960.2"/>
    <n v="28.19"/>
    <n v="1.97"/>
    <n v="8884.9"/>
    <n v="27432.799999999999"/>
    <n v="601.99"/>
    <n v="1200"/>
    <n v="190899.5"/>
    <n v="28.39"/>
  </r>
  <r>
    <s v="4000_0.3_0.5_1000_2.0_order_2"/>
    <x v="1"/>
    <n v="0.3"/>
    <n v="0.5"/>
    <n v="1000"/>
    <n v="2"/>
    <n v="2"/>
    <x v="3"/>
    <n v="266574.40000000002"/>
    <n v="109573.5"/>
    <n v="157000.9"/>
    <n v="1200"/>
    <n v="600.69000000000005"/>
    <n v="67756.2"/>
    <n v="93508.4"/>
    <n v="161264.6"/>
    <n v="21745.7"/>
    <n v="7343.1"/>
    <n v="29088.799999999999"/>
    <n v="28.59"/>
    <n v="0.34"/>
    <n v="7099.2"/>
    <n v="28844.9"/>
    <n v="601.03"/>
    <n v="1199"/>
    <n v="190109.5"/>
    <n v="28.68"/>
  </r>
  <r>
    <s v="4000_0.3_0.5_1000_2.0_order_3"/>
    <x v="1"/>
    <n v="0.3"/>
    <n v="0.5"/>
    <n v="1000"/>
    <n v="2"/>
    <n v="3"/>
    <x v="0"/>
    <n v="270461.40000000002"/>
    <n v="108640.8"/>
    <n v="161820.6"/>
    <n v="1200"/>
    <n v="601.70000000000005"/>
    <n v="67394.8"/>
    <n v="94068.6"/>
    <n v="161463.4"/>
    <n v="20996.5"/>
    <n v="6798.8"/>
    <n v="27795.3"/>
    <n v="30.02"/>
    <n v="0.47"/>
    <n v="6768.3"/>
    <n v="27764.799999999999"/>
    <n v="602.16999999999996"/>
    <n v="1200"/>
    <n v="189228.2"/>
    <n v="30.04"/>
  </r>
  <r>
    <s v="4000_0.3_0.5_1000_2.0_order_3"/>
    <x v="1"/>
    <n v="0.3"/>
    <n v="0.5"/>
    <n v="1000"/>
    <n v="2"/>
    <n v="3"/>
    <x v="1"/>
    <n v="270461.40000000002"/>
    <n v="108640.8"/>
    <n v="161820.6"/>
    <n v="1200"/>
    <n v="600.01"/>
    <n v="68494.5"/>
    <n v="96662.6"/>
    <n v="165157.1"/>
    <n v="20957.5"/>
    <n v="7842.5"/>
    <n v="28800"/>
    <n v="28.29"/>
    <n v="0.5"/>
    <n v="7596.1"/>
    <n v="28553.599999999999"/>
    <n v="600.51"/>
    <n v="1200"/>
    <n v="193710.7"/>
    <n v="28.38"/>
  </r>
  <r>
    <s v="4000_0.3_0.5_1000_2.0_order_3"/>
    <x v="1"/>
    <n v="0.3"/>
    <n v="0.5"/>
    <n v="1000"/>
    <n v="2"/>
    <n v="3"/>
    <x v="2"/>
    <n v="270461.40000000002"/>
    <n v="108640.8"/>
    <n v="161820.6"/>
    <n v="1200"/>
    <n v="600"/>
    <n v="69120.3"/>
    <n v="97487.8"/>
    <n v="166608.1"/>
    <n v="18606"/>
    <n v="9071.2000000000007"/>
    <n v="27677.200000000001"/>
    <n v="28.17"/>
    <n v="2.09"/>
    <n v="8536.4"/>
    <n v="27142.400000000001"/>
    <n v="602.1"/>
    <n v="1200"/>
    <n v="193750.5"/>
    <n v="28.36"/>
  </r>
  <r>
    <s v="4000_0.3_0.5_1000_2.0_order_3"/>
    <x v="1"/>
    <n v="0.3"/>
    <n v="0.5"/>
    <n v="1000"/>
    <n v="2"/>
    <n v="3"/>
    <x v="3"/>
    <n v="270461.40000000002"/>
    <n v="108640.8"/>
    <n v="161820.6"/>
    <n v="1200"/>
    <n v="600.57000000000005"/>
    <n v="67243.199999999997"/>
    <n v="93340.4"/>
    <n v="160583.6"/>
    <n v="21773.3"/>
    <n v="7103.5"/>
    <n v="28876.799999999999"/>
    <n v="29.95"/>
    <n v="0.31"/>
    <n v="6930.5"/>
    <n v="28703.8"/>
    <n v="600.88"/>
    <n v="1199"/>
    <n v="189287.4"/>
    <n v="30.01"/>
  </r>
  <r>
    <s v="4000_0.3_0.5_1000_2.0_order_4"/>
    <x v="1"/>
    <n v="0.3"/>
    <n v="0.5"/>
    <n v="1000"/>
    <n v="2"/>
    <n v="4"/>
    <x v="0"/>
    <n v="276520.5"/>
    <n v="108151.8"/>
    <n v="168368.7"/>
    <n v="1200"/>
    <n v="601.74"/>
    <n v="68287.3"/>
    <n v="98469.7"/>
    <n v="166757"/>
    <n v="20920.3"/>
    <n v="7305.8"/>
    <n v="28226.1"/>
    <n v="29.49"/>
    <n v="0.37"/>
    <n v="7289"/>
    <n v="28209.3"/>
    <n v="602.11"/>
    <n v="1199"/>
    <n v="194966.3"/>
    <n v="29.49"/>
  </r>
  <r>
    <s v="4000_0.3_0.5_1000_2.0_order_4"/>
    <x v="1"/>
    <n v="0.3"/>
    <n v="0.5"/>
    <n v="1000"/>
    <n v="2"/>
    <n v="4"/>
    <x v="1"/>
    <n v="276520.5"/>
    <n v="108151.8"/>
    <n v="168368.7"/>
    <n v="1200"/>
    <n v="600.01"/>
    <n v="68691.899999999994"/>
    <n v="101730.1"/>
    <n v="170422"/>
    <n v="21011.4"/>
    <n v="8197"/>
    <n v="29208.400000000001"/>
    <n v="27.81"/>
    <n v="0.63"/>
    <n v="7968.9"/>
    <n v="28980.3"/>
    <n v="600.63"/>
    <n v="1200"/>
    <n v="199402.3"/>
    <n v="27.89"/>
  </r>
  <r>
    <s v="4000_0.3_0.5_1000_2.0_order_4"/>
    <x v="1"/>
    <n v="0.3"/>
    <n v="0.5"/>
    <n v="1000"/>
    <n v="2"/>
    <n v="4"/>
    <x v="2"/>
    <n v="276520.5"/>
    <n v="108151.8"/>
    <n v="168368.7"/>
    <n v="1200"/>
    <n v="600.01"/>
    <n v="70379.600000000006"/>
    <n v="102300.4"/>
    <n v="172680"/>
    <n v="18295"/>
    <n v="9043"/>
    <n v="27338"/>
    <n v="27.67"/>
    <n v="1.72"/>
    <n v="8576.7000000000007"/>
    <n v="26871.7"/>
    <n v="601.73"/>
    <n v="1200"/>
    <n v="199551.7"/>
    <n v="27.83"/>
  </r>
  <r>
    <s v="4000_0.3_0.5_1000_2.0_order_4"/>
    <x v="1"/>
    <n v="0.3"/>
    <n v="0.5"/>
    <n v="1000"/>
    <n v="2"/>
    <n v="4"/>
    <x v="3"/>
    <n v="276520.5"/>
    <n v="108151.8"/>
    <n v="168368.7"/>
    <n v="1200"/>
    <n v="600.79"/>
    <n v="68812.399999999994"/>
    <n v="100732.7"/>
    <n v="169545.1"/>
    <n v="20808.2"/>
    <n v="7334.4"/>
    <n v="28142.6"/>
    <n v="28.51"/>
    <n v="0.34"/>
    <n v="7071.8"/>
    <n v="27880"/>
    <n v="601.13"/>
    <n v="1200"/>
    <n v="197425.1"/>
    <n v="28.6"/>
  </r>
  <r>
    <s v="4000_0.3_0.5_1000_2.0_order_5"/>
    <x v="1"/>
    <n v="0.3"/>
    <n v="0.5"/>
    <n v="1000"/>
    <n v="2"/>
    <n v="5"/>
    <x v="0"/>
    <n v="269398.09999999998"/>
    <n v="105268.2"/>
    <n v="164129.9"/>
    <n v="1200"/>
    <n v="600.01"/>
    <n v="65457.5"/>
    <n v="95990.5"/>
    <n v="161448"/>
    <n v="20431.2"/>
    <n v="7200.6"/>
    <n v="27631.8"/>
    <n v="29.81"/>
    <n v="0.57999999999999996"/>
    <n v="7139.8"/>
    <n v="27571"/>
    <n v="600.6"/>
    <n v="1200"/>
    <n v="189019"/>
    <n v="29.84"/>
  </r>
  <r>
    <s v="4000_0.3_0.5_1000_2.0_order_5"/>
    <x v="1"/>
    <n v="0.3"/>
    <n v="0.5"/>
    <n v="1000"/>
    <n v="2"/>
    <n v="5"/>
    <x v="1"/>
    <n v="269398.09999999998"/>
    <n v="105268.2"/>
    <n v="164129.9"/>
    <n v="1200"/>
    <n v="600.01"/>
    <n v="66487.8"/>
    <n v="98600.7"/>
    <n v="165088.5"/>
    <n v="21257.8"/>
    <n v="7850.5"/>
    <n v="29108.3"/>
    <n v="27.91"/>
    <n v="0.49"/>
    <n v="7658.1"/>
    <n v="28915.9"/>
    <n v="600.5"/>
    <n v="1200"/>
    <n v="194004.4"/>
    <n v="27.99"/>
  </r>
  <r>
    <s v="4000_0.3_0.5_1000_2.0_order_5"/>
    <x v="1"/>
    <n v="0.3"/>
    <n v="0.5"/>
    <n v="1000"/>
    <n v="2"/>
    <n v="5"/>
    <x v="2"/>
    <n v="269398.09999999998"/>
    <n v="105268.2"/>
    <n v="164129.9"/>
    <n v="1200"/>
    <n v="600.36"/>
    <n v="67394.7"/>
    <n v="98883.6"/>
    <n v="166278.29999999999"/>
    <n v="17973.5"/>
    <n v="8885.7000000000007"/>
    <n v="26859.200000000001"/>
    <n v="28.31"/>
    <n v="1.65"/>
    <n v="8418"/>
    <n v="26391.5"/>
    <n v="602.01"/>
    <n v="1200"/>
    <n v="192669.8"/>
    <n v="28.48"/>
  </r>
  <r>
    <s v="4000_0.3_0.5_1000_2.0_order_5"/>
    <x v="1"/>
    <n v="0.3"/>
    <n v="0.5"/>
    <n v="1000"/>
    <n v="2"/>
    <n v="5"/>
    <x v="3"/>
    <n v="269398.09999999998"/>
    <n v="105268.2"/>
    <n v="164129.9"/>
    <n v="1200"/>
    <n v="600.36"/>
    <n v="65964.100000000006"/>
    <n v="96637.8"/>
    <n v="162601.9"/>
    <n v="21178.400000000001"/>
    <n v="7101.4"/>
    <n v="28279.8"/>
    <n v="29.15"/>
    <n v="0.36"/>
    <n v="6959.2"/>
    <n v="28137.599999999999"/>
    <n v="600.72"/>
    <n v="1200"/>
    <n v="190739.5"/>
    <n v="29.2"/>
  </r>
  <r>
    <s v="4000_0.3_0.5_1000_3.0_order_1"/>
    <x v="1"/>
    <n v="0.3"/>
    <n v="0.5"/>
    <n v="1000"/>
    <n v="3"/>
    <n v="1"/>
    <x v="0"/>
    <n v="356848.3"/>
    <n v="144262.29999999999"/>
    <n v="212586"/>
    <n v="1200"/>
    <n v="600.01"/>
    <n v="88369.7"/>
    <n v="127890.6"/>
    <n v="216260.3"/>
    <n v="21232.9"/>
    <n v="7498.8"/>
    <n v="28731.7"/>
    <n v="31.35"/>
    <n v="0.48"/>
    <n v="7479.2"/>
    <n v="28712.1"/>
    <n v="600.49"/>
    <n v="1200"/>
    <n v="244972.4"/>
    <n v="31.35"/>
  </r>
  <r>
    <s v="4000_0.3_0.5_1000_3.0_order_1"/>
    <x v="1"/>
    <n v="0.3"/>
    <n v="0.5"/>
    <n v="1000"/>
    <n v="3"/>
    <n v="1"/>
    <x v="1"/>
    <n v="356848.3"/>
    <n v="144262.29999999999"/>
    <n v="212586"/>
    <n v="1200"/>
    <n v="600"/>
    <n v="90820.3"/>
    <n v="131616.70000000001"/>
    <n v="222437"/>
    <n v="21687"/>
    <n v="8172"/>
    <n v="29859"/>
    <n v="29.3"/>
    <n v="0.66"/>
    <n v="7874.7"/>
    <n v="29561.7"/>
    <n v="600.66"/>
    <n v="1200"/>
    <n v="251998.7"/>
    <n v="29.38"/>
  </r>
  <r>
    <s v="4000_0.3_0.5_1000_3.0_order_1"/>
    <x v="1"/>
    <n v="0.3"/>
    <n v="0.5"/>
    <n v="1000"/>
    <n v="3"/>
    <n v="1"/>
    <x v="2"/>
    <n v="356848.3"/>
    <n v="144262.29999999999"/>
    <n v="212586"/>
    <n v="1200"/>
    <n v="600.84"/>
    <n v="90247.1"/>
    <n v="129637.4"/>
    <n v="219884.5"/>
    <n v="19239.5"/>
    <n v="8892.2999999999993"/>
    <n v="28131.8"/>
    <n v="30.5"/>
    <n v="1.27"/>
    <n v="8365.6"/>
    <n v="27605.1"/>
    <n v="602.11"/>
    <n v="1199"/>
    <n v="247489.6"/>
    <n v="30.65"/>
  </r>
  <r>
    <s v="4000_0.3_0.5_1000_3.0_order_1"/>
    <x v="1"/>
    <n v="0.3"/>
    <n v="0.5"/>
    <n v="1000"/>
    <n v="3"/>
    <n v="1"/>
    <x v="3"/>
    <n v="356848.3"/>
    <n v="144262.29999999999"/>
    <n v="212586"/>
    <n v="1200"/>
    <n v="600.91999999999996"/>
    <n v="89919"/>
    <n v="128333.5"/>
    <n v="218252.5"/>
    <n v="21558.2"/>
    <n v="7429"/>
    <n v="28987.200000000001"/>
    <n v="30.72"/>
    <n v="0.37"/>
    <n v="7098.6"/>
    <n v="28656.799999999999"/>
    <n v="601.29"/>
    <n v="1200"/>
    <n v="246909.3"/>
    <n v="30.81"/>
  </r>
  <r>
    <s v="4000_0.3_0.5_1000_3.0_order_2"/>
    <x v="1"/>
    <n v="0.3"/>
    <n v="0.5"/>
    <n v="1000"/>
    <n v="3"/>
    <n v="2"/>
    <x v="0"/>
    <n v="328960.90000000002"/>
    <n v="126352.7"/>
    <n v="202608.2"/>
    <n v="1200"/>
    <n v="601.11"/>
    <n v="80202.5"/>
    <n v="120711.6"/>
    <n v="200914.1"/>
    <n v="19990.5"/>
    <n v="7220.1"/>
    <n v="27210.6"/>
    <n v="30.65"/>
    <n v="0.5"/>
    <n v="7177.8"/>
    <n v="27168.3"/>
    <n v="601.6"/>
    <n v="1200"/>
    <n v="228082.4"/>
    <n v="30.67"/>
  </r>
  <r>
    <s v="4000_0.3_0.5_1000_3.0_order_2"/>
    <x v="1"/>
    <n v="0.3"/>
    <n v="0.5"/>
    <n v="1000"/>
    <n v="3"/>
    <n v="2"/>
    <x v="1"/>
    <n v="328960.90000000002"/>
    <n v="126352.7"/>
    <n v="202608.2"/>
    <n v="1200"/>
    <n v="600.02"/>
    <n v="81636.2"/>
    <n v="123764.5"/>
    <n v="205400.7"/>
    <n v="21091"/>
    <n v="8271.9"/>
    <n v="29362.9"/>
    <n v="28.63"/>
    <n v="0.71"/>
    <n v="7923.7"/>
    <n v="29014.7"/>
    <n v="600.73"/>
    <n v="1200"/>
    <n v="234415.4"/>
    <n v="28.74"/>
  </r>
  <r>
    <s v="4000_0.3_0.5_1000_3.0_order_2"/>
    <x v="1"/>
    <n v="0.3"/>
    <n v="0.5"/>
    <n v="1000"/>
    <n v="3"/>
    <n v="2"/>
    <x v="2"/>
    <n v="328960.90000000002"/>
    <n v="126352.7"/>
    <n v="202608.2"/>
    <n v="1200"/>
    <n v="600.38"/>
    <n v="80800.399999999994"/>
    <n v="122678.9"/>
    <n v="203479.3"/>
    <n v="19571.3"/>
    <n v="9288.7000000000007"/>
    <n v="28860"/>
    <n v="29.37"/>
    <n v="1.38"/>
    <n v="8700.7999999999993"/>
    <n v="28272.1"/>
    <n v="601.76"/>
    <n v="1199"/>
    <n v="231751.4"/>
    <n v="29.55"/>
  </r>
  <r>
    <s v="4000_0.3_0.5_1000_3.0_order_2"/>
    <x v="1"/>
    <n v="0.3"/>
    <n v="0.5"/>
    <n v="1000"/>
    <n v="3"/>
    <n v="2"/>
    <x v="3"/>
    <n v="328960.90000000002"/>
    <n v="126352.7"/>
    <n v="202608.2"/>
    <n v="1200"/>
    <n v="600.01"/>
    <n v="81119.3"/>
    <n v="121086.7"/>
    <n v="202206"/>
    <n v="21536.7"/>
    <n v="7449.3"/>
    <n v="28986"/>
    <n v="29.72"/>
    <n v="0.35"/>
    <n v="7218"/>
    <n v="28754.7"/>
    <n v="600.36"/>
    <n v="1199"/>
    <n v="230960.7"/>
    <n v="29.79"/>
  </r>
  <r>
    <s v="4000_0.3_0.5_1000_3.0_order_3"/>
    <x v="1"/>
    <n v="0.3"/>
    <n v="0.5"/>
    <n v="1000"/>
    <n v="3"/>
    <n v="3"/>
    <x v="0"/>
    <n v="355550"/>
    <n v="132273.1"/>
    <n v="223276.9"/>
    <n v="1200"/>
    <n v="601.48"/>
    <n v="83035.5"/>
    <n v="132052"/>
    <n v="215087.5"/>
    <n v="21694.6"/>
    <n v="7125.8"/>
    <n v="28820.400000000001"/>
    <n v="31.4"/>
    <n v="0.42"/>
    <n v="7109.3"/>
    <n v="28803.9"/>
    <n v="601.89"/>
    <n v="1199"/>
    <n v="243891.4"/>
    <n v="31.4"/>
  </r>
  <r>
    <s v="4000_0.3_0.5_1000_3.0_order_3"/>
    <x v="1"/>
    <n v="0.3"/>
    <n v="0.5"/>
    <n v="1000"/>
    <n v="3"/>
    <n v="3"/>
    <x v="1"/>
    <n v="355550"/>
    <n v="132273.1"/>
    <n v="223276.9"/>
    <n v="1200"/>
    <n v="600.02"/>
    <n v="84449"/>
    <n v="136953.5"/>
    <n v="221402.5"/>
    <n v="21385.7"/>
    <n v="8054.1"/>
    <n v="29439.8"/>
    <n v="29.45"/>
    <n v="0.7"/>
    <n v="7663"/>
    <n v="29048.7"/>
    <n v="600.73"/>
    <n v="1200"/>
    <n v="250451.20000000001"/>
    <n v="29.56"/>
  </r>
  <r>
    <s v="4000_0.3_0.5_1000_3.0_order_3"/>
    <x v="1"/>
    <n v="0.3"/>
    <n v="0.5"/>
    <n v="1000"/>
    <n v="3"/>
    <n v="3"/>
    <x v="2"/>
    <n v="355550"/>
    <n v="132273.1"/>
    <n v="223276.9"/>
    <n v="1200"/>
    <n v="600"/>
    <n v="83631.3"/>
    <n v="134881.5"/>
    <n v="218512.8"/>
    <n v="20640.3"/>
    <n v="8884.7999999999993"/>
    <n v="29525.1"/>
    <n v="30.24"/>
    <n v="1.37"/>
    <n v="8417.5"/>
    <n v="29057.8"/>
    <n v="601.37"/>
    <n v="1199"/>
    <n v="247570.6"/>
    <n v="30.37"/>
  </r>
  <r>
    <s v="4000_0.3_0.5_1000_3.0_order_3"/>
    <x v="1"/>
    <n v="0.3"/>
    <n v="0.5"/>
    <n v="1000"/>
    <n v="3"/>
    <n v="3"/>
    <x v="3"/>
    <n v="355550"/>
    <n v="132273.1"/>
    <n v="223276.9"/>
    <n v="1200"/>
    <n v="600.01"/>
    <n v="83371.399999999994"/>
    <n v="133166.79999999999"/>
    <n v="216538.2"/>
    <n v="22105.599999999999"/>
    <n v="7368.7"/>
    <n v="29474.3"/>
    <n v="30.81"/>
    <n v="0.41"/>
    <n v="7109.9"/>
    <n v="29215.5"/>
    <n v="600.42999999999995"/>
    <n v="1200"/>
    <n v="245753.7"/>
    <n v="30.88"/>
  </r>
  <r>
    <s v="4000_0.3_0.5_1000_3.0_order_4"/>
    <x v="1"/>
    <n v="0.3"/>
    <n v="0.5"/>
    <n v="1000"/>
    <n v="3"/>
    <n v="4"/>
    <x v="0"/>
    <n v="350010.5"/>
    <n v="134680.70000000001"/>
    <n v="215329.8"/>
    <n v="1200"/>
    <n v="601.65"/>
    <n v="84086.9"/>
    <n v="128131.5"/>
    <n v="212218.4"/>
    <n v="21067.200000000001"/>
    <n v="7537"/>
    <n v="28604.2"/>
    <n v="31.2"/>
    <n v="0.52"/>
    <n v="7517.7"/>
    <n v="28584.9"/>
    <n v="602.16999999999996"/>
    <n v="1200"/>
    <n v="240803.3"/>
    <n v="31.2"/>
  </r>
  <r>
    <s v="4000_0.3_0.5_1000_3.0_order_4"/>
    <x v="1"/>
    <n v="0.3"/>
    <n v="0.5"/>
    <n v="1000"/>
    <n v="3"/>
    <n v="4"/>
    <x v="1"/>
    <n v="350010.5"/>
    <n v="134680.70000000001"/>
    <n v="215329.8"/>
    <n v="1200"/>
    <n v="600"/>
    <n v="87406.7"/>
    <n v="131027.9"/>
    <n v="218434.6"/>
    <n v="21053.4"/>
    <n v="7944"/>
    <n v="28997.4"/>
    <n v="29.31"/>
    <n v="0.6"/>
    <n v="7671.5"/>
    <n v="28724.9"/>
    <n v="600.6"/>
    <n v="1200"/>
    <n v="247159.5"/>
    <n v="29.39"/>
  </r>
  <r>
    <s v="4000_0.3_0.5_1000_3.0_order_4"/>
    <x v="1"/>
    <n v="0.3"/>
    <n v="0.5"/>
    <n v="1000"/>
    <n v="3"/>
    <n v="4"/>
    <x v="2"/>
    <n v="350010.5"/>
    <n v="134680.70000000001"/>
    <n v="215329.8"/>
    <n v="1200"/>
    <n v="600.1"/>
    <n v="86113.2"/>
    <n v="130525.5"/>
    <n v="216638.7"/>
    <n v="19334.900000000001"/>
    <n v="8797.2000000000007"/>
    <n v="28132.1"/>
    <n v="30.07"/>
    <n v="1.38"/>
    <n v="8395.5"/>
    <n v="27730.400000000001"/>
    <n v="601.49"/>
    <n v="1199"/>
    <n v="244369.1"/>
    <n v="30.18"/>
  </r>
  <r>
    <s v="4000_0.3_0.5_1000_3.0_order_4"/>
    <x v="1"/>
    <n v="0.3"/>
    <n v="0.5"/>
    <n v="1000"/>
    <n v="3"/>
    <n v="4"/>
    <x v="3"/>
    <n v="350010.5"/>
    <n v="134680.70000000001"/>
    <n v="215329.8"/>
    <n v="1200"/>
    <n v="600.72"/>
    <n v="85503"/>
    <n v="129269.7"/>
    <n v="214772.7"/>
    <n v="21444.9"/>
    <n v="7275.6"/>
    <n v="28720.5"/>
    <n v="30.43"/>
    <n v="0.35"/>
    <n v="7024.4"/>
    <n v="28469.3"/>
    <n v="601.07000000000005"/>
    <n v="1199"/>
    <n v="243242"/>
    <n v="30.5"/>
  </r>
  <r>
    <s v="4000_0.3_0.5_1000_3.0_order_5"/>
    <x v="1"/>
    <n v="0.3"/>
    <n v="0.5"/>
    <n v="1000"/>
    <n v="3"/>
    <n v="5"/>
    <x v="0"/>
    <n v="358853.9"/>
    <n v="135489.60000000001"/>
    <n v="223364.3"/>
    <n v="1200"/>
    <n v="600.44000000000005"/>
    <n v="83066.5"/>
    <n v="133323.79999999999"/>
    <n v="216390.3"/>
    <n v="21523.599999999999"/>
    <n v="7318.7"/>
    <n v="28842.3"/>
    <n v="31.66"/>
    <n v="0.41"/>
    <n v="7313.2"/>
    <n v="28836.799999999999"/>
    <n v="600.85"/>
    <n v="1200"/>
    <n v="245227.1"/>
    <n v="31.66"/>
  </r>
  <r>
    <s v="4000_0.3_0.5_1000_3.0_order_5"/>
    <x v="1"/>
    <n v="0.3"/>
    <n v="0.5"/>
    <n v="1000"/>
    <n v="3"/>
    <n v="5"/>
    <x v="1"/>
    <n v="358853.9"/>
    <n v="135489.60000000001"/>
    <n v="223364.3"/>
    <n v="1200"/>
    <n v="600.01"/>
    <n v="85563"/>
    <n v="138122"/>
    <n v="223685"/>
    <n v="21493.200000000001"/>
    <n v="8491.5"/>
    <n v="29984.7"/>
    <n v="29.31"/>
    <n v="0.6"/>
    <n v="8182.7"/>
    <n v="29675.9"/>
    <n v="600.61"/>
    <n v="1200"/>
    <n v="253360.9"/>
    <n v="29.4"/>
  </r>
  <r>
    <s v="4000_0.3_0.5_1000_3.0_order_5"/>
    <x v="1"/>
    <n v="0.3"/>
    <n v="0.5"/>
    <n v="1000"/>
    <n v="3"/>
    <n v="5"/>
    <x v="2"/>
    <n v="358853.9"/>
    <n v="135489.60000000001"/>
    <n v="223364.3"/>
    <n v="1200"/>
    <n v="600.84"/>
    <n v="85416.6"/>
    <n v="135330.4"/>
    <n v="220747"/>
    <n v="19956.8"/>
    <n v="9098.9"/>
    <n v="29055.7"/>
    <n v="30.39"/>
    <n v="0.98"/>
    <n v="8657.7999999999993"/>
    <n v="28614.6"/>
    <n v="601.82000000000005"/>
    <n v="1199"/>
    <n v="249361.6"/>
    <n v="30.51"/>
  </r>
  <r>
    <s v="4000_0.3_0.5_1000_3.0_order_5"/>
    <x v="1"/>
    <n v="0.3"/>
    <n v="0.5"/>
    <n v="1000"/>
    <n v="3"/>
    <n v="5"/>
    <x v="3"/>
    <n v="358853.9"/>
    <n v="135489.60000000001"/>
    <n v="223364.3"/>
    <n v="1200"/>
    <n v="600.01"/>
    <n v="84243.199999999997"/>
    <n v="135094.9"/>
    <n v="219338.1"/>
    <n v="21764.799999999999"/>
    <n v="7638.6"/>
    <n v="29403.4"/>
    <n v="30.68"/>
    <n v="0.36"/>
    <n v="7391"/>
    <n v="29155.8"/>
    <n v="600.37"/>
    <n v="1200"/>
    <n v="248493.9"/>
    <n v="30.75"/>
  </r>
  <r>
    <s v="4000_0.4_0.5_1000_1.0_order_1"/>
    <x v="1"/>
    <n v="0.4"/>
    <n v="0.5"/>
    <n v="1000"/>
    <n v="1"/>
    <n v="1"/>
    <x v="0"/>
    <n v="171724.4"/>
    <n v="71423.3"/>
    <n v="100301.1"/>
    <n v="1200"/>
    <n v="601.15"/>
    <n v="40023.4"/>
    <n v="55419.7"/>
    <n v="95443.1"/>
    <n v="20639.2"/>
    <n v="7575.3"/>
    <n v="28214.5"/>
    <n v="27.99"/>
    <n v="0.65"/>
    <n v="7538.2"/>
    <n v="28177.4"/>
    <n v="601.79999999999995"/>
    <n v="1200"/>
    <n v="123620.5"/>
    <n v="28.01"/>
  </r>
  <r>
    <s v="4000_0.4_0.5_1000_1.0_order_1"/>
    <x v="1"/>
    <n v="0.4"/>
    <n v="0.5"/>
    <n v="1000"/>
    <n v="1"/>
    <n v="1"/>
    <x v="1"/>
    <n v="171724.4"/>
    <n v="71423.3"/>
    <n v="100301.1"/>
    <n v="1200"/>
    <n v="600"/>
    <n v="40586.800000000003"/>
    <n v="55814.8"/>
    <n v="96401.600000000006"/>
    <n v="20437.599999999999"/>
    <n v="9244.2000000000007"/>
    <n v="29681.8"/>
    <n v="26.58"/>
    <n v="0.56000000000000005"/>
    <n v="9042.5"/>
    <n v="29480.1"/>
    <n v="600.55999999999995"/>
    <n v="1200"/>
    <n v="125881.7"/>
    <n v="26.7"/>
  </r>
  <r>
    <s v="4000_0.4_0.5_1000_1.0_order_1"/>
    <x v="1"/>
    <n v="0.4"/>
    <n v="0.5"/>
    <n v="1000"/>
    <n v="1"/>
    <n v="1"/>
    <x v="2"/>
    <n v="171724.4"/>
    <n v="71423.3"/>
    <n v="100301.1"/>
    <n v="1200"/>
    <n v="600.41999999999996"/>
    <n v="41125.5"/>
    <n v="56825.1"/>
    <n v="97950.6"/>
    <n v="18031.099999999999"/>
    <n v="9945.7999999999993"/>
    <n v="27976.9"/>
    <n v="26.67"/>
    <n v="2.4500000000000002"/>
    <n v="9671.7000000000007"/>
    <n v="27702.799999999999"/>
    <n v="602.87"/>
    <n v="1200"/>
    <n v="125653.4"/>
    <n v="26.83"/>
  </r>
  <r>
    <s v="4000_0.4_0.5_1000_1.0_order_1"/>
    <x v="1"/>
    <n v="0.4"/>
    <n v="0.5"/>
    <n v="1000"/>
    <n v="1"/>
    <n v="1"/>
    <x v="3"/>
    <n v="171724.4"/>
    <n v="71423.3"/>
    <n v="100301.1"/>
    <n v="1200"/>
    <n v="600.16999999999996"/>
    <n v="40955.199999999997"/>
    <n v="55690.1"/>
    <n v="96645.3"/>
    <n v="21184.6"/>
    <n v="7375.2"/>
    <n v="28559.8"/>
    <n v="27.09"/>
    <n v="0.42"/>
    <n v="7204.6"/>
    <n v="28389.200000000001"/>
    <n v="600.59"/>
    <n v="1200"/>
    <n v="125034.5"/>
    <n v="27.19"/>
  </r>
  <r>
    <s v="4000_0.4_0.5_1000_1.0_order_2"/>
    <x v="1"/>
    <n v="0.4"/>
    <n v="0.5"/>
    <n v="1000"/>
    <n v="1"/>
    <n v="2"/>
    <x v="0"/>
    <n v="177265.8"/>
    <n v="68879.7"/>
    <n v="108386.1"/>
    <n v="1200"/>
    <n v="601.91999999999996"/>
    <n v="39503.699999999997"/>
    <n v="58449.5"/>
    <n v="97953.2"/>
    <n v="20859.3"/>
    <n v="8146.2"/>
    <n v="29005.5"/>
    <n v="28.38"/>
    <n v="0.63"/>
    <n v="8142.1"/>
    <n v="29001.4"/>
    <n v="602.54999999999995"/>
    <n v="1190"/>
    <n v="126954.6"/>
    <n v="28.38"/>
  </r>
  <r>
    <s v="4000_0.4_0.5_1000_1.0_order_2"/>
    <x v="1"/>
    <n v="0.4"/>
    <n v="0.5"/>
    <n v="1000"/>
    <n v="1"/>
    <n v="2"/>
    <x v="1"/>
    <n v="177265.8"/>
    <n v="68879.7"/>
    <n v="108386.1"/>
    <n v="1200"/>
    <n v="600.01"/>
    <n v="40191.9"/>
    <n v="58738.6"/>
    <n v="98930.5"/>
    <n v="20628.8"/>
    <n v="9389.7000000000007"/>
    <n v="30018.5"/>
    <n v="27.26"/>
    <n v="0.64"/>
    <n v="9205.7999999999993"/>
    <n v="29834.6"/>
    <n v="600.65"/>
    <n v="1200"/>
    <n v="128765.1"/>
    <n v="27.36"/>
  </r>
  <r>
    <s v="4000_0.4_0.5_1000_1.0_order_2"/>
    <x v="1"/>
    <n v="0.4"/>
    <n v="0.5"/>
    <n v="1000"/>
    <n v="1"/>
    <n v="2"/>
    <x v="2"/>
    <n v="177265.8"/>
    <n v="68879.7"/>
    <n v="108386.1"/>
    <n v="1200"/>
    <n v="600.63"/>
    <n v="40259.599999999999"/>
    <n v="59846.6"/>
    <n v="100106.2"/>
    <n v="18586.099999999999"/>
    <n v="10335.799999999999"/>
    <n v="28921.9"/>
    <n v="27.21"/>
    <n v="1.92"/>
    <n v="10023.4"/>
    <n v="28609.5"/>
    <n v="602.54999999999995"/>
    <n v="1199"/>
    <n v="128715.7"/>
    <n v="27.39"/>
  </r>
  <r>
    <s v="4000_0.4_0.5_1000_1.0_order_2"/>
    <x v="1"/>
    <n v="0.4"/>
    <n v="0.5"/>
    <n v="1000"/>
    <n v="1"/>
    <n v="2"/>
    <x v="3"/>
    <n v="177265.8"/>
    <n v="68879.7"/>
    <n v="108386.1"/>
    <n v="1200"/>
    <n v="600.16"/>
    <n v="38805.5"/>
    <n v="56997.4"/>
    <n v="95802.9"/>
    <n v="21884.799999999999"/>
    <n v="8772.7000000000007"/>
    <n v="30657.5"/>
    <n v="28.66"/>
    <n v="0.34"/>
    <n v="8651.9"/>
    <n v="30536.7"/>
    <n v="600.5"/>
    <n v="1198"/>
    <n v="126339.6"/>
    <n v="28.73"/>
  </r>
  <r>
    <s v="4000_0.4_0.5_1000_1.0_order_3"/>
    <x v="1"/>
    <n v="0.4"/>
    <n v="0.5"/>
    <n v="1000"/>
    <n v="1"/>
    <n v="3"/>
    <x v="0"/>
    <n v="177163.7"/>
    <n v="70112.600000000006"/>
    <n v="107051.1"/>
    <n v="1200"/>
    <n v="601.42999999999995"/>
    <n v="40362"/>
    <n v="58784"/>
    <n v="99146"/>
    <n v="21077.5"/>
    <n v="7845"/>
    <n v="28922.5"/>
    <n v="27.71"/>
    <n v="0.55000000000000004"/>
    <n v="7821.9"/>
    <n v="28899.4"/>
    <n v="601.97"/>
    <n v="1200"/>
    <n v="128045.4"/>
    <n v="27.72"/>
  </r>
  <r>
    <s v="4000_0.4_0.5_1000_1.0_order_3"/>
    <x v="1"/>
    <n v="0.4"/>
    <n v="0.5"/>
    <n v="1000"/>
    <n v="1"/>
    <n v="3"/>
    <x v="1"/>
    <n v="177163.7"/>
    <n v="70112.600000000006"/>
    <n v="107051.1"/>
    <n v="1200"/>
    <n v="600.01"/>
    <n v="41086.6"/>
    <n v="58957"/>
    <n v="100043.6"/>
    <n v="20680.900000000001"/>
    <n v="9096.5"/>
    <n v="29777.4"/>
    <n v="26.72"/>
    <n v="0.57999999999999996"/>
    <n v="8937.7999999999993"/>
    <n v="29618.7"/>
    <n v="600.58000000000004"/>
    <n v="1200"/>
    <n v="129662.3"/>
    <n v="26.81"/>
  </r>
  <r>
    <s v="4000_0.4_0.5_1000_1.0_order_3"/>
    <x v="1"/>
    <n v="0.4"/>
    <n v="0.5"/>
    <n v="1000"/>
    <n v="1"/>
    <n v="3"/>
    <x v="2"/>
    <n v="177163.7"/>
    <n v="70112.600000000006"/>
    <n v="107051.1"/>
    <n v="1200"/>
    <n v="600.26"/>
    <n v="40672"/>
    <n v="59396.800000000003"/>
    <n v="100068.8"/>
    <n v="19117.5"/>
    <n v="10976"/>
    <n v="30093.5"/>
    <n v="26.53"/>
    <n v="1.79"/>
    <n v="10648.5"/>
    <n v="29766"/>
    <n v="602.05999999999995"/>
    <n v="1200"/>
    <n v="129834.8"/>
    <n v="26.71"/>
  </r>
  <r>
    <s v="4000_0.4_0.5_1000_1.0_order_3"/>
    <x v="1"/>
    <n v="0.4"/>
    <n v="0.5"/>
    <n v="1000"/>
    <n v="1"/>
    <n v="3"/>
    <x v="3"/>
    <n v="177163.7"/>
    <n v="70112.600000000006"/>
    <n v="107051.1"/>
    <n v="1200"/>
    <n v="600.41"/>
    <n v="41273.5"/>
    <n v="59485.3"/>
    <n v="100758.8"/>
    <n v="20905.2"/>
    <n v="7848.8"/>
    <n v="28754"/>
    <n v="26.9"/>
    <n v="0.33"/>
    <n v="7667.5"/>
    <n v="28572.7"/>
    <n v="600.73"/>
    <n v="1199"/>
    <n v="129331.5"/>
    <n v="27"/>
  </r>
  <r>
    <s v="4000_0.4_0.5_1000_1.0_order_4"/>
    <x v="1"/>
    <n v="0.4"/>
    <n v="0.5"/>
    <n v="1000"/>
    <n v="1"/>
    <n v="4"/>
    <x v="0"/>
    <n v="172274.8"/>
    <n v="71609"/>
    <n v="100665.8"/>
    <n v="1200"/>
    <n v="601.97"/>
    <n v="40075.9"/>
    <n v="55024.5"/>
    <n v="95100.4"/>
    <n v="21964.2"/>
    <n v="8255"/>
    <n v="30219.200000000001"/>
    <n v="27.26"/>
    <n v="0.48"/>
    <n v="8252.2000000000007"/>
    <n v="30216.400000000001"/>
    <n v="602.45000000000005"/>
    <n v="1200"/>
    <n v="125316.8"/>
    <n v="27.26"/>
  </r>
  <r>
    <s v="4000_0.4_0.5_1000_1.0_order_4"/>
    <x v="1"/>
    <n v="0.4"/>
    <n v="0.5"/>
    <n v="1000"/>
    <n v="1"/>
    <n v="4"/>
    <x v="1"/>
    <n v="172274.8"/>
    <n v="71609"/>
    <n v="100665.8"/>
    <n v="1200"/>
    <n v="600"/>
    <n v="41066.9"/>
    <n v="55183.3"/>
    <n v="96250.2"/>
    <n v="21552.1"/>
    <n v="9536.6"/>
    <n v="31088.7"/>
    <n v="26.08"/>
    <n v="0.45"/>
    <n v="9374.7000000000007"/>
    <n v="30926.799999999999"/>
    <n v="600.45000000000005"/>
    <n v="1200"/>
    <n v="127177"/>
    <n v="26.18"/>
  </r>
  <r>
    <s v="4000_0.4_0.5_1000_1.0_order_4"/>
    <x v="1"/>
    <n v="0.4"/>
    <n v="0.5"/>
    <n v="1000"/>
    <n v="1"/>
    <n v="4"/>
    <x v="2"/>
    <n v="172274.8"/>
    <n v="71609"/>
    <n v="100665.8"/>
    <n v="1200"/>
    <n v="600.78"/>
    <n v="41581.300000000003"/>
    <n v="56259.8"/>
    <n v="97841.1"/>
    <n v="18820.599999999999"/>
    <n v="11124.5"/>
    <n v="29945.1"/>
    <n v="25.82"/>
    <n v="1.94"/>
    <n v="10843.9"/>
    <n v="29664.5"/>
    <n v="602.73"/>
    <n v="1199"/>
    <n v="127505.60000000001"/>
    <n v="25.99"/>
  </r>
  <r>
    <s v="4000_0.4_0.5_1000_1.0_order_4"/>
    <x v="1"/>
    <n v="0.4"/>
    <n v="0.5"/>
    <n v="1000"/>
    <n v="1"/>
    <n v="4"/>
    <x v="3"/>
    <n v="172274.8"/>
    <n v="71609"/>
    <n v="100665.8"/>
    <n v="1200"/>
    <n v="600.01"/>
    <n v="40723.199999999997"/>
    <n v="55491.4"/>
    <n v="96214.6"/>
    <n v="22412.2"/>
    <n v="8340.1"/>
    <n v="30752.3"/>
    <n v="26.3"/>
    <n v="0.31"/>
    <n v="8137.8"/>
    <n v="30550"/>
    <n v="600.32000000000005"/>
    <n v="1195"/>
    <n v="126764.6"/>
    <n v="26.42"/>
  </r>
  <r>
    <s v="4000_0.4_0.5_1000_1.0_order_5"/>
    <x v="1"/>
    <n v="0.4"/>
    <n v="0.5"/>
    <n v="1000"/>
    <n v="1"/>
    <n v="5"/>
    <x v="0"/>
    <n v="177440"/>
    <n v="71930.2"/>
    <n v="105509.8"/>
    <n v="1200"/>
    <n v="601.21"/>
    <n v="41323.1"/>
    <n v="57045.2"/>
    <n v="98368.3"/>
    <n v="21224.799999999999"/>
    <n v="8748.7000000000007"/>
    <n v="29973.5"/>
    <n v="27.67"/>
    <n v="0.6"/>
    <n v="8721.2000000000007"/>
    <n v="29946"/>
    <n v="601.80999999999995"/>
    <n v="1192"/>
    <n v="128314.3"/>
    <n v="27.69"/>
  </r>
  <r>
    <s v="4000_0.4_0.5_1000_1.0_order_5"/>
    <x v="1"/>
    <n v="0.4"/>
    <n v="0.5"/>
    <n v="1000"/>
    <n v="1"/>
    <n v="5"/>
    <x v="1"/>
    <n v="177440"/>
    <n v="71930.2"/>
    <n v="105509.8"/>
    <n v="1200"/>
    <n v="600"/>
    <n v="41010.800000000003"/>
    <n v="57166.7"/>
    <n v="98177.5"/>
    <n v="22127.599999999999"/>
    <n v="9667.7999999999993"/>
    <n v="31795.4"/>
    <n v="26.75"/>
    <n v="0.55000000000000004"/>
    <n v="9565"/>
    <n v="31692.6"/>
    <n v="600.54999999999995"/>
    <n v="1200"/>
    <n v="129870.1"/>
    <n v="26.81"/>
  </r>
  <r>
    <s v="4000_0.4_0.5_1000_1.0_order_5"/>
    <x v="1"/>
    <n v="0.4"/>
    <n v="0.5"/>
    <n v="1000"/>
    <n v="1"/>
    <n v="5"/>
    <x v="2"/>
    <n v="177440"/>
    <n v="71930.2"/>
    <n v="105509.8"/>
    <n v="1200"/>
    <n v="600.13"/>
    <n v="42105.1"/>
    <n v="58109.5"/>
    <n v="100214.6"/>
    <n v="18919.8"/>
    <n v="10942.8"/>
    <n v="29862.6"/>
    <n v="26.69"/>
    <n v="1.62"/>
    <n v="10678.5"/>
    <n v="29598.3"/>
    <n v="601.74"/>
    <n v="1200"/>
    <n v="129812.9"/>
    <n v="26.84"/>
  </r>
  <r>
    <s v="4000_0.4_0.5_1000_1.0_order_5"/>
    <x v="1"/>
    <n v="0.4"/>
    <n v="0.5"/>
    <n v="1000"/>
    <n v="1"/>
    <n v="5"/>
    <x v="3"/>
    <n v="177440"/>
    <n v="71930.2"/>
    <n v="105509.8"/>
    <n v="1200"/>
    <n v="600"/>
    <n v="42803"/>
    <n v="57682.7"/>
    <n v="100485.7"/>
    <n v="21311.3"/>
    <n v="8140"/>
    <n v="29451.3"/>
    <n v="26.77"/>
    <n v="0.38"/>
    <n v="8017.7"/>
    <n v="29329"/>
    <n v="600.38"/>
    <n v="1200"/>
    <n v="129814.7"/>
    <n v="26.84"/>
  </r>
  <r>
    <s v="4000_0.4_0.5_1000_2.0_order_1"/>
    <x v="1"/>
    <n v="0.4"/>
    <n v="0.5"/>
    <n v="1000"/>
    <n v="2"/>
    <n v="1"/>
    <x v="0"/>
    <n v="272984.8"/>
    <n v="106266.9"/>
    <n v="166717.9"/>
    <n v="1200"/>
    <n v="601.25"/>
    <n v="63787.8"/>
    <n v="91548.3"/>
    <n v="155336.1"/>
    <n v="20182.3"/>
    <n v="9245.9"/>
    <n v="29428.2"/>
    <n v="32.32"/>
    <n v="0.74"/>
    <n v="9160.2000000000007"/>
    <n v="29342.5"/>
    <n v="601.99"/>
    <n v="1200"/>
    <n v="184678.6"/>
    <n v="32.35"/>
  </r>
  <r>
    <s v="4000_0.4_0.5_1000_2.0_order_1"/>
    <x v="1"/>
    <n v="0.4"/>
    <n v="0.5"/>
    <n v="1000"/>
    <n v="2"/>
    <n v="1"/>
    <x v="1"/>
    <n v="272984.8"/>
    <n v="106266.9"/>
    <n v="166717.9"/>
    <n v="1200"/>
    <n v="600.01"/>
    <n v="64436.5"/>
    <n v="92569.5"/>
    <n v="157006"/>
    <n v="21290.5"/>
    <n v="10149.9"/>
    <n v="31440.400000000001"/>
    <n v="30.97"/>
    <n v="0.74"/>
    <n v="9941.9"/>
    <n v="31232.400000000001"/>
    <n v="600.75"/>
    <n v="1200"/>
    <n v="188238.4"/>
    <n v="31.04"/>
  </r>
  <r>
    <s v="4000_0.4_0.5_1000_2.0_order_1"/>
    <x v="1"/>
    <n v="0.4"/>
    <n v="0.5"/>
    <n v="1000"/>
    <n v="2"/>
    <n v="1"/>
    <x v="2"/>
    <n v="272984.8"/>
    <n v="106266.9"/>
    <n v="166717.9"/>
    <n v="1200"/>
    <n v="600.47"/>
    <n v="63541"/>
    <n v="92641.4"/>
    <n v="156182.39999999999"/>
    <n v="19161.2"/>
    <n v="10766.5"/>
    <n v="29927.7"/>
    <n v="31.82"/>
    <n v="2.04"/>
    <n v="10337.700000000001"/>
    <n v="29498.9"/>
    <n v="602.51"/>
    <n v="1200"/>
    <n v="185681.3"/>
    <n v="31.98"/>
  </r>
  <r>
    <s v="4000_0.4_0.5_1000_2.0_order_1"/>
    <x v="1"/>
    <n v="0.4"/>
    <n v="0.5"/>
    <n v="1000"/>
    <n v="2"/>
    <n v="1"/>
    <x v="3"/>
    <n v="272984.8"/>
    <n v="106266.9"/>
    <n v="166717.9"/>
    <n v="1200"/>
    <n v="600.02"/>
    <n v="64242"/>
    <n v="93068.4"/>
    <n v="157310.39999999999"/>
    <n v="20703.7"/>
    <n v="9200.4"/>
    <n v="29904.1"/>
    <n v="31.42"/>
    <n v="0.66"/>
    <n v="8938.6"/>
    <n v="29642.3"/>
    <n v="600.67999999999995"/>
    <n v="1200"/>
    <n v="186952.7"/>
    <n v="31.52"/>
  </r>
  <r>
    <s v="4000_0.4_0.5_1000_2.0_order_2"/>
    <x v="1"/>
    <n v="0.4"/>
    <n v="0.5"/>
    <n v="1000"/>
    <n v="2"/>
    <n v="2"/>
    <x v="0"/>
    <n v="263794"/>
    <n v="97689.9"/>
    <n v="166104.1"/>
    <n v="1200"/>
    <n v="602.16999999999996"/>
    <n v="58414.7"/>
    <n v="91768.6"/>
    <n v="150183.29999999999"/>
    <n v="19988.900000000001"/>
    <n v="9095.4"/>
    <n v="29084.3"/>
    <n v="32.04"/>
    <n v="0.8"/>
    <n v="9087.2000000000007"/>
    <n v="29076.1"/>
    <n v="602.97"/>
    <n v="1200"/>
    <n v="179259.4"/>
    <n v="32.049999999999997"/>
  </r>
  <r>
    <s v="4000_0.4_0.5_1000_2.0_order_2"/>
    <x v="1"/>
    <n v="0.4"/>
    <n v="0.5"/>
    <n v="1000"/>
    <n v="2"/>
    <n v="2"/>
    <x v="1"/>
    <n v="263794"/>
    <n v="97689.9"/>
    <n v="166104.1"/>
    <n v="1200"/>
    <n v="600.02"/>
    <n v="59312.2"/>
    <n v="93505.7"/>
    <n v="152817.9"/>
    <n v="20610.7"/>
    <n v="10246.9"/>
    <n v="30857.599999999999"/>
    <n v="30.37"/>
    <n v="1.2"/>
    <n v="9949.6"/>
    <n v="30560.3"/>
    <n v="601.23"/>
    <n v="1200"/>
    <n v="183378.2"/>
    <n v="30.48"/>
  </r>
  <r>
    <s v="4000_0.4_0.5_1000_2.0_order_2"/>
    <x v="1"/>
    <n v="0.4"/>
    <n v="0.5"/>
    <n v="1000"/>
    <n v="2"/>
    <n v="2"/>
    <x v="2"/>
    <n v="263794"/>
    <n v="97689.9"/>
    <n v="166104.1"/>
    <n v="1200"/>
    <n v="600.95000000000005"/>
    <n v="60112.9"/>
    <n v="93596.9"/>
    <n v="153709.79999999999"/>
    <n v="18799.8"/>
    <n v="10110.5"/>
    <n v="28910.3"/>
    <n v="30.77"/>
    <n v="1.89"/>
    <n v="9696.1"/>
    <n v="28495.9"/>
    <n v="602.83000000000004"/>
    <n v="1200"/>
    <n v="182205.7"/>
    <n v="30.93"/>
  </r>
  <r>
    <s v="4000_0.4_0.5_1000_2.0_order_2"/>
    <x v="1"/>
    <n v="0.4"/>
    <n v="0.5"/>
    <n v="1000"/>
    <n v="2"/>
    <n v="2"/>
    <x v="3"/>
    <n v="263794"/>
    <n v="97689.9"/>
    <n v="166104.1"/>
    <n v="1200"/>
    <n v="600.79999999999995"/>
    <n v="58901.7"/>
    <n v="91546"/>
    <n v="150447.70000000001"/>
    <n v="21329.3"/>
    <n v="9185.1"/>
    <n v="30514.400000000001"/>
    <n v="31.4"/>
    <n v="0.66"/>
    <n v="9021"/>
    <n v="30350.3"/>
    <n v="601.46"/>
    <n v="1200"/>
    <n v="180798"/>
    <n v="31.46"/>
  </r>
  <r>
    <s v="4000_0.4_0.5_1000_2.0_order_3"/>
    <x v="1"/>
    <n v="0.4"/>
    <n v="0.5"/>
    <n v="1000"/>
    <n v="2"/>
    <n v="3"/>
    <x v="0"/>
    <n v="267654.8"/>
    <n v="104237.1"/>
    <n v="163417.70000000001"/>
    <n v="1200"/>
    <n v="601.67999999999995"/>
    <n v="61871.7"/>
    <n v="89610.7"/>
    <n v="151482.4"/>
    <n v="20434.3"/>
    <n v="9057.6"/>
    <n v="29491.9"/>
    <n v="32.39"/>
    <n v="0.83"/>
    <n v="9040.1"/>
    <n v="29474.400000000001"/>
    <n v="602.51"/>
    <n v="1200"/>
    <n v="180956.79999999999"/>
    <n v="32.39"/>
  </r>
  <r>
    <s v="4000_0.4_0.5_1000_2.0_order_3"/>
    <x v="1"/>
    <n v="0.4"/>
    <n v="0.5"/>
    <n v="1000"/>
    <n v="2"/>
    <n v="3"/>
    <x v="1"/>
    <n v="267654.8"/>
    <n v="104237.1"/>
    <n v="163417.70000000001"/>
    <n v="1200"/>
    <n v="600.02"/>
    <n v="61242.2"/>
    <n v="91075.7"/>
    <n v="152317.9"/>
    <n v="21947.4"/>
    <n v="10541.9"/>
    <n v="32489.3"/>
    <n v="30.95"/>
    <n v="0.67"/>
    <n v="10307"/>
    <n v="32254.400000000001"/>
    <n v="600.69000000000005"/>
    <n v="1200"/>
    <n v="184572.3"/>
    <n v="31.04"/>
  </r>
  <r>
    <s v="4000_0.4_0.5_1000_2.0_order_3"/>
    <x v="1"/>
    <n v="0.4"/>
    <n v="0.5"/>
    <n v="1000"/>
    <n v="2"/>
    <n v="3"/>
    <x v="2"/>
    <n v="267654.8"/>
    <n v="104237.1"/>
    <n v="163417.70000000001"/>
    <n v="1200"/>
    <n v="600.14"/>
    <n v="62538.9"/>
    <n v="91073.9"/>
    <n v="153612.79999999999"/>
    <n v="19244.7"/>
    <n v="10903.6"/>
    <n v="30148.3"/>
    <n v="31.34"/>
    <n v="2.0099999999999998"/>
    <n v="10465.5"/>
    <n v="29710.2"/>
    <n v="602.15"/>
    <n v="1200"/>
    <n v="183323"/>
    <n v="31.51"/>
  </r>
  <r>
    <s v="4000_0.4_0.5_1000_2.0_order_3"/>
    <x v="1"/>
    <n v="0.4"/>
    <n v="0.5"/>
    <n v="1000"/>
    <n v="2"/>
    <n v="3"/>
    <x v="3"/>
    <n v="267654.8"/>
    <n v="104237.1"/>
    <n v="163417.70000000001"/>
    <n v="1200"/>
    <n v="600.5"/>
    <n v="62640.9"/>
    <n v="90315.6"/>
    <n v="152956.5"/>
    <n v="21196.799999999999"/>
    <n v="9443.9"/>
    <n v="30640.7"/>
    <n v="31.41"/>
    <n v="0.74"/>
    <n v="9210.9"/>
    <n v="30407.7"/>
    <n v="601.25"/>
    <n v="1200"/>
    <n v="183364.2"/>
    <n v="31.49"/>
  </r>
  <r>
    <s v="4000_0.4_0.5_1000_2.0_order_4"/>
    <x v="1"/>
    <n v="0.4"/>
    <n v="0.5"/>
    <n v="1000"/>
    <n v="2"/>
    <n v="4"/>
    <x v="0"/>
    <n v="271917.09999999998"/>
    <n v="103980.4"/>
    <n v="167936.7"/>
    <n v="1200"/>
    <n v="600.01"/>
    <n v="62005.7"/>
    <n v="89832.3"/>
    <n v="151838"/>
    <n v="20661.400000000001"/>
    <n v="9447.5"/>
    <n v="30108.9"/>
    <n v="33.090000000000003"/>
    <n v="0.86"/>
    <n v="9427.1"/>
    <n v="30088.5"/>
    <n v="600.87"/>
    <n v="1200"/>
    <n v="181926.5"/>
    <n v="33.090000000000003"/>
  </r>
  <r>
    <s v="4000_0.4_0.5_1000_2.0_order_4"/>
    <x v="1"/>
    <n v="0.4"/>
    <n v="0.5"/>
    <n v="1000"/>
    <n v="2"/>
    <n v="4"/>
    <x v="1"/>
    <n v="271917.09999999998"/>
    <n v="103980.4"/>
    <n v="167936.7"/>
    <n v="1200"/>
    <n v="600.02"/>
    <n v="62603.1"/>
    <n v="92692.5"/>
    <n v="155295.6"/>
    <n v="21370.400000000001"/>
    <n v="10226.700000000001"/>
    <n v="31597.1"/>
    <n v="31.27"/>
    <n v="0.82"/>
    <n v="9967.6"/>
    <n v="31338"/>
    <n v="600.83000000000004"/>
    <n v="1200"/>
    <n v="186633.60000000001"/>
    <n v="31.36"/>
  </r>
  <r>
    <s v="4000_0.4_0.5_1000_2.0_order_4"/>
    <x v="1"/>
    <n v="0.4"/>
    <n v="0.5"/>
    <n v="1000"/>
    <n v="2"/>
    <n v="4"/>
    <x v="2"/>
    <n v="271917.09999999998"/>
    <n v="103980.4"/>
    <n v="167936.7"/>
    <n v="1200"/>
    <n v="600.41999999999996"/>
    <n v="63568"/>
    <n v="92794.6"/>
    <n v="156362.6"/>
    <n v="18906.7"/>
    <n v="10723.9"/>
    <n v="29630.6"/>
    <n v="31.6"/>
    <n v="2.25"/>
    <n v="10403.700000000001"/>
    <n v="29310.400000000001"/>
    <n v="602.66999999999996"/>
    <n v="1199"/>
    <n v="185673"/>
    <n v="31.72"/>
  </r>
  <r>
    <s v="4000_0.4_0.5_1000_2.0_order_4"/>
    <x v="1"/>
    <n v="0.4"/>
    <n v="0.5"/>
    <n v="1000"/>
    <n v="2"/>
    <n v="4"/>
    <x v="3"/>
    <n v="271917.09999999998"/>
    <n v="103980.4"/>
    <n v="167936.7"/>
    <n v="1200"/>
    <n v="600.01"/>
    <n v="63360.1"/>
    <n v="93462.6"/>
    <n v="156822.70000000001"/>
    <n v="20985.9"/>
    <n v="9232.1"/>
    <n v="30218"/>
    <n v="31.21"/>
    <n v="0.7"/>
    <n v="8899.7999999999993"/>
    <n v="29885.7"/>
    <n v="600.72"/>
    <n v="1199"/>
    <n v="186708.4"/>
    <n v="31.34"/>
  </r>
  <r>
    <s v="4000_0.4_0.5_1000_2.0_order_5"/>
    <x v="1"/>
    <n v="0.4"/>
    <n v="0.5"/>
    <n v="1000"/>
    <n v="2"/>
    <n v="5"/>
    <x v="0"/>
    <n v="276548.7"/>
    <n v="105846.5"/>
    <n v="170702.2"/>
    <n v="1200"/>
    <n v="601.05999999999995"/>
    <n v="63072.3"/>
    <n v="93352.5"/>
    <n v="156424.79999999999"/>
    <n v="20013.2"/>
    <n v="9185.1"/>
    <n v="29198.3"/>
    <n v="32.880000000000003"/>
    <n v="0.81"/>
    <n v="9168.5"/>
    <n v="29181.7"/>
    <n v="601.87"/>
    <n v="1199"/>
    <n v="185606.5"/>
    <n v="32.880000000000003"/>
  </r>
  <r>
    <s v="4000_0.4_0.5_1000_2.0_order_5"/>
    <x v="1"/>
    <n v="0.4"/>
    <n v="0.5"/>
    <n v="1000"/>
    <n v="2"/>
    <n v="5"/>
    <x v="1"/>
    <n v="276548.7"/>
    <n v="105846.5"/>
    <n v="170702.2"/>
    <n v="1200"/>
    <n v="600.01"/>
    <n v="64264.800000000003"/>
    <n v="96727.4"/>
    <n v="160992.20000000001"/>
    <n v="20888.400000000001"/>
    <n v="10051.5"/>
    <n v="30939.9"/>
    <n v="30.6"/>
    <n v="0.61"/>
    <n v="9704.2999999999993"/>
    <n v="30592.7"/>
    <n v="600.61"/>
    <n v="1200"/>
    <n v="191584.9"/>
    <n v="30.72"/>
  </r>
  <r>
    <s v="4000_0.4_0.5_1000_2.0_order_5"/>
    <x v="1"/>
    <n v="0.4"/>
    <n v="0.5"/>
    <n v="1000"/>
    <n v="2"/>
    <n v="5"/>
    <x v="2"/>
    <n v="276548.7"/>
    <n v="105846.5"/>
    <n v="170702.2"/>
    <n v="1200"/>
    <n v="600.01"/>
    <n v="63102.1"/>
    <n v="94854.9"/>
    <n v="157957"/>
    <n v="19509.5"/>
    <n v="10947.8"/>
    <n v="30457.3"/>
    <n v="31.87"/>
    <n v="1.92"/>
    <n v="10467"/>
    <n v="29976.5"/>
    <n v="601.92999999999995"/>
    <n v="1200"/>
    <n v="187933.5"/>
    <n v="32.04"/>
  </r>
  <r>
    <s v="4000_0.4_0.5_1000_2.0_order_5"/>
    <x v="1"/>
    <n v="0.4"/>
    <n v="0.5"/>
    <n v="1000"/>
    <n v="2"/>
    <n v="5"/>
    <x v="3"/>
    <n v="276548.7"/>
    <n v="105846.5"/>
    <n v="170702.2"/>
    <n v="1200"/>
    <n v="600.12"/>
    <n v="63696.3"/>
    <n v="94487.2"/>
    <n v="158183.5"/>
    <n v="21219"/>
    <n v="9130.7000000000007"/>
    <n v="30349.7"/>
    <n v="31.83"/>
    <n v="0.71"/>
    <n v="8896.7999999999993"/>
    <n v="30115.8"/>
    <n v="600.82000000000005"/>
    <n v="1200"/>
    <n v="188299.3"/>
    <n v="31.91"/>
  </r>
  <r>
    <s v="4000_0.4_0.5_1000_3.0_order_1"/>
    <x v="1"/>
    <n v="0.4"/>
    <n v="0.5"/>
    <n v="1000"/>
    <n v="3"/>
    <n v="1"/>
    <x v="0"/>
    <n v="341551.3"/>
    <n v="129094.3"/>
    <n v="212457"/>
    <n v="1200"/>
    <n v="600.29999999999995"/>
    <n v="76350.600000000006"/>
    <n v="117521"/>
    <n v="193871.6"/>
    <n v="20603.5"/>
    <n v="9493.2000000000007"/>
    <n v="30096.7"/>
    <n v="34.43"/>
    <n v="1.06"/>
    <n v="9476.9"/>
    <n v="30080.400000000001"/>
    <n v="601.36"/>
    <n v="1200"/>
    <n v="223952"/>
    <n v="34.43"/>
  </r>
  <r>
    <s v="4000_0.4_0.5_1000_3.0_order_1"/>
    <x v="1"/>
    <n v="0.4"/>
    <n v="0.5"/>
    <n v="1000"/>
    <n v="3"/>
    <n v="1"/>
    <x v="1"/>
    <n v="341551.3"/>
    <n v="129094.3"/>
    <n v="212457"/>
    <n v="1200"/>
    <n v="600.01"/>
    <n v="77674.100000000006"/>
    <n v="119458.9"/>
    <n v="197133"/>
    <n v="20539"/>
    <n v="10230.4"/>
    <n v="30769.4"/>
    <n v="33.270000000000003"/>
    <n v="0.98"/>
    <n v="9884.2999999999993"/>
    <n v="30423.3"/>
    <n v="600.99"/>
    <n v="1200"/>
    <n v="227556.3"/>
    <n v="33.380000000000003"/>
  </r>
  <r>
    <s v="4000_0.4_0.5_1000_3.0_order_1"/>
    <x v="1"/>
    <n v="0.4"/>
    <n v="0.5"/>
    <n v="1000"/>
    <n v="3"/>
    <n v="1"/>
    <x v="2"/>
    <n v="341551.3"/>
    <n v="129094.3"/>
    <n v="212457"/>
    <n v="1200"/>
    <n v="600.26"/>
    <n v="77237.100000000006"/>
    <n v="118482.7"/>
    <n v="195719.8"/>
    <n v="19805.5"/>
    <n v="10731.8"/>
    <n v="30537.3"/>
    <n v="33.76"/>
    <n v="1.88"/>
    <n v="10071.4"/>
    <n v="29876.9"/>
    <n v="602.14"/>
    <n v="1200"/>
    <n v="225596.7"/>
    <n v="33.950000000000003"/>
  </r>
  <r>
    <s v="4000_0.4_0.5_1000_3.0_order_1"/>
    <x v="1"/>
    <n v="0.4"/>
    <n v="0.5"/>
    <n v="1000"/>
    <n v="3"/>
    <n v="1"/>
    <x v="3"/>
    <n v="341551.3"/>
    <n v="129094.3"/>
    <n v="212457"/>
    <n v="1200"/>
    <n v="600.44000000000005"/>
    <n v="76837.600000000006"/>
    <n v="117061.5"/>
    <n v="193899.1"/>
    <n v="21097.1"/>
    <n v="9354.7999999999993"/>
    <n v="30451.9"/>
    <n v="34.31"/>
    <n v="0.84"/>
    <n v="9079"/>
    <n v="30176.1"/>
    <n v="601.28"/>
    <n v="1200"/>
    <n v="224075.2"/>
    <n v="34.39"/>
  </r>
  <r>
    <s v="4000_0.4_0.5_1000_3.0_order_2"/>
    <x v="1"/>
    <n v="0.4"/>
    <n v="0.5"/>
    <n v="1000"/>
    <n v="3"/>
    <n v="2"/>
    <x v="0"/>
    <n v="359905"/>
    <n v="140692.79999999999"/>
    <n v="219212.2"/>
    <n v="1200"/>
    <n v="601.30999999999995"/>
    <n v="83314.399999999994"/>
    <n v="121338"/>
    <n v="204652.4"/>
    <n v="20571.3"/>
    <n v="9323.7999999999993"/>
    <n v="29895.1"/>
    <n v="34.83"/>
    <n v="0.96"/>
    <n v="9311"/>
    <n v="29882.3"/>
    <n v="602.26"/>
    <n v="1199"/>
    <n v="234534.7"/>
    <n v="34.83"/>
  </r>
  <r>
    <s v="4000_0.4_0.5_1000_3.0_order_2"/>
    <x v="1"/>
    <n v="0.4"/>
    <n v="0.5"/>
    <n v="1000"/>
    <n v="3"/>
    <n v="2"/>
    <x v="1"/>
    <n v="359905"/>
    <n v="140692.79999999999"/>
    <n v="219212.2"/>
    <n v="1200"/>
    <n v="600.01"/>
    <n v="85669.8"/>
    <n v="125302"/>
    <n v="210971.8"/>
    <n v="21672.6"/>
    <n v="9941.7999999999993"/>
    <n v="31614.400000000001"/>
    <n v="32.6"/>
    <n v="0.96"/>
    <n v="9474.2999999999993"/>
    <n v="31146.9"/>
    <n v="600.97"/>
    <n v="1200"/>
    <n v="242118.7"/>
    <n v="32.729999999999997"/>
  </r>
  <r>
    <s v="4000_0.4_0.5_1000_3.0_order_2"/>
    <x v="1"/>
    <n v="0.4"/>
    <n v="0.5"/>
    <n v="1000"/>
    <n v="3"/>
    <n v="2"/>
    <x v="2"/>
    <n v="359905"/>
    <n v="140692.79999999999"/>
    <n v="219212.2"/>
    <n v="1200"/>
    <n v="600.01"/>
    <n v="84774.2"/>
    <n v="124034.4"/>
    <n v="208808.6"/>
    <n v="19984.7"/>
    <n v="10457"/>
    <n v="30441.7"/>
    <n v="33.520000000000003"/>
    <n v="1.87"/>
    <n v="9893"/>
    <n v="29877.7"/>
    <n v="601.88"/>
    <n v="1200"/>
    <n v="238686.3"/>
    <n v="33.68"/>
  </r>
  <r>
    <s v="4000_0.4_0.5_1000_3.0_order_2"/>
    <x v="1"/>
    <n v="0.4"/>
    <n v="0.5"/>
    <n v="1000"/>
    <n v="3"/>
    <n v="2"/>
    <x v="3"/>
    <n v="359905"/>
    <n v="140692.79999999999"/>
    <n v="219212.2"/>
    <n v="1200"/>
    <n v="600.12"/>
    <n v="83687.5"/>
    <n v="123010.1"/>
    <n v="206697.60000000001"/>
    <n v="21354"/>
    <n v="9295.6"/>
    <n v="30649.599999999999"/>
    <n v="34.049999999999997"/>
    <n v="0.77"/>
    <n v="9020.6"/>
    <n v="30374.6"/>
    <n v="600.89"/>
    <n v="1200"/>
    <n v="237072.2"/>
    <n v="34.130000000000003"/>
  </r>
  <r>
    <s v="4000_0.4_0.5_1000_3.0_order_3"/>
    <x v="1"/>
    <n v="0.4"/>
    <n v="0.5"/>
    <n v="1000"/>
    <n v="3"/>
    <n v="3"/>
    <x v="0"/>
    <n v="346084.2"/>
    <n v="139484.70000000001"/>
    <n v="206599.5"/>
    <n v="1200"/>
    <n v="600.03"/>
    <n v="82850.3"/>
    <n v="115409.1"/>
    <n v="198259.4"/>
    <n v="20396.7"/>
    <n v="8612"/>
    <n v="29008.7"/>
    <n v="34.33"/>
    <n v="0.87"/>
    <n v="8595.4"/>
    <n v="28992.1"/>
    <n v="600.89"/>
    <n v="1199"/>
    <n v="227251.5"/>
    <n v="34.340000000000003"/>
  </r>
  <r>
    <s v="4000_0.4_0.5_1000_3.0_order_3"/>
    <x v="1"/>
    <n v="0.4"/>
    <n v="0.5"/>
    <n v="1000"/>
    <n v="3"/>
    <n v="3"/>
    <x v="1"/>
    <n v="346084.2"/>
    <n v="139484.70000000001"/>
    <n v="206599.5"/>
    <n v="1200"/>
    <n v="600.03"/>
    <n v="83895.1"/>
    <n v="118123.3"/>
    <n v="202018.4"/>
    <n v="20995"/>
    <n v="9539.1"/>
    <n v="30534.1"/>
    <n v="32.799999999999997"/>
    <n v="1.02"/>
    <n v="9225.5"/>
    <n v="30220.5"/>
    <n v="601.04999999999995"/>
    <n v="1200"/>
    <n v="232238.9"/>
    <n v="32.9"/>
  </r>
  <r>
    <s v="4000_0.4_0.5_1000_3.0_order_3"/>
    <x v="1"/>
    <n v="0.4"/>
    <n v="0.5"/>
    <n v="1000"/>
    <n v="3"/>
    <n v="3"/>
    <x v="2"/>
    <n v="346084.2"/>
    <n v="139484.70000000001"/>
    <n v="206599.5"/>
    <n v="1200"/>
    <n v="600.49"/>
    <n v="83644.800000000003"/>
    <n v="115531.7"/>
    <n v="199176.5"/>
    <n v="19829.900000000001"/>
    <n v="10301.700000000001"/>
    <n v="30131.599999999999"/>
    <n v="33.74"/>
    <n v="2.5"/>
    <n v="9637"/>
    <n v="29466.9"/>
    <n v="602.98"/>
    <n v="1200"/>
    <n v="228643.4"/>
    <n v="33.93"/>
  </r>
  <r>
    <s v="4000_0.4_0.5_1000_3.0_order_3"/>
    <x v="1"/>
    <n v="0.4"/>
    <n v="0.5"/>
    <n v="1000"/>
    <n v="3"/>
    <n v="3"/>
    <x v="3"/>
    <n v="346084.2"/>
    <n v="139484.70000000001"/>
    <n v="206599.5"/>
    <n v="1200"/>
    <n v="600.35"/>
    <n v="84001.7"/>
    <n v="117724.1"/>
    <n v="201725.8"/>
    <n v="20929.7"/>
    <n v="8690.2999999999993"/>
    <n v="29620"/>
    <n v="33.15"/>
    <n v="0.8"/>
    <n v="8541.4"/>
    <n v="29471.1"/>
    <n v="601.15"/>
    <n v="1200"/>
    <n v="231196.9"/>
    <n v="33.200000000000003"/>
  </r>
  <r>
    <s v="4000_0.4_0.5_1000_3.0_order_4"/>
    <x v="1"/>
    <n v="0.4"/>
    <n v="0.5"/>
    <n v="1000"/>
    <n v="3"/>
    <n v="4"/>
    <x v="0"/>
    <n v="368365.6"/>
    <n v="138650.29999999999"/>
    <n v="229715.3"/>
    <n v="1200"/>
    <n v="601.80999999999995"/>
    <n v="82791.100000000006"/>
    <n v="127630.3"/>
    <n v="210421.4"/>
    <n v="20936.8"/>
    <n v="9224.2999999999993"/>
    <n v="30161.1"/>
    <n v="34.69"/>
    <n v="0.93"/>
    <n v="9224.2999999999993"/>
    <n v="30161.1"/>
    <n v="602.74"/>
    <n v="1200"/>
    <n v="240582.5"/>
    <n v="34.69"/>
  </r>
  <r>
    <s v="4000_0.4_0.5_1000_3.0_order_4"/>
    <x v="1"/>
    <n v="0.4"/>
    <n v="0.5"/>
    <n v="1000"/>
    <n v="3"/>
    <n v="4"/>
    <x v="1"/>
    <n v="368365.6"/>
    <n v="138650.29999999999"/>
    <n v="229715.3"/>
    <n v="1200"/>
    <n v="600.02"/>
    <n v="84605.7"/>
    <n v="131942.29999999999"/>
    <n v="216548"/>
    <n v="21193.5"/>
    <n v="10145.9"/>
    <n v="31339.4"/>
    <n v="32.71"/>
    <n v="0.79"/>
    <n v="9696.1"/>
    <n v="30889.599999999999"/>
    <n v="600.79999999999995"/>
    <n v="1200"/>
    <n v="247437.6"/>
    <n v="32.83"/>
  </r>
  <r>
    <s v="4000_0.4_0.5_1000_3.0_order_4"/>
    <x v="1"/>
    <n v="0.4"/>
    <n v="0.5"/>
    <n v="1000"/>
    <n v="3"/>
    <n v="4"/>
    <x v="2"/>
    <n v="368365.6"/>
    <n v="138650.29999999999"/>
    <n v="229715.3"/>
    <n v="1200"/>
    <n v="600.02"/>
    <n v="83889.1"/>
    <n v="129653.2"/>
    <n v="213542.3"/>
    <n v="20294.8"/>
    <n v="10738.9"/>
    <n v="31033.7"/>
    <n v="33.61"/>
    <n v="1.46"/>
    <n v="10030.200000000001"/>
    <n v="30325"/>
    <n v="601.48"/>
    <n v="1200"/>
    <n v="243867.3"/>
    <n v="33.799999999999997"/>
  </r>
  <r>
    <s v="4000_0.4_0.5_1000_3.0_order_4"/>
    <x v="1"/>
    <n v="0.4"/>
    <n v="0.5"/>
    <n v="1000"/>
    <n v="3"/>
    <n v="4"/>
    <x v="3"/>
    <n v="368365.6"/>
    <n v="138650.29999999999"/>
    <n v="229715.3"/>
    <n v="1200"/>
    <n v="600.41999999999996"/>
    <n v="84279.1"/>
    <n v="131019.8"/>
    <n v="215298.9"/>
    <n v="20849"/>
    <n v="9152.1"/>
    <n v="30001.1"/>
    <n v="33.409999999999997"/>
    <n v="1.1299999999999999"/>
    <n v="8868.2000000000007"/>
    <n v="29717.200000000001"/>
    <n v="601.54"/>
    <n v="1199"/>
    <n v="245016.1"/>
    <n v="33.49"/>
  </r>
  <r>
    <s v="4000_0.4_0.5_1000_3.0_order_5"/>
    <x v="1"/>
    <n v="0.4"/>
    <n v="0.5"/>
    <n v="1000"/>
    <n v="3"/>
    <n v="5"/>
    <x v="0"/>
    <n v="339263.6"/>
    <n v="129708.3"/>
    <n v="209555.3"/>
    <n v="1200"/>
    <n v="601.39"/>
    <n v="78861"/>
    <n v="116843.6"/>
    <n v="195704.6"/>
    <n v="20895.099999999999"/>
    <n v="9206.7000000000007"/>
    <n v="30101.8"/>
    <n v="33.44"/>
    <n v="1.04"/>
    <n v="9191.4"/>
    <n v="30086.5"/>
    <n v="602.42999999999995"/>
    <n v="1200"/>
    <n v="225791.1"/>
    <n v="33.450000000000003"/>
  </r>
  <r>
    <s v="4000_0.4_0.5_1000_3.0_order_5"/>
    <x v="1"/>
    <n v="0.4"/>
    <n v="0.5"/>
    <n v="1000"/>
    <n v="3"/>
    <n v="5"/>
    <x v="1"/>
    <n v="339263.6"/>
    <n v="129708.3"/>
    <n v="209555.3"/>
    <n v="1200"/>
    <n v="600.01"/>
    <n v="80109.7"/>
    <n v="119914.6"/>
    <n v="200024.3"/>
    <n v="21479.200000000001"/>
    <n v="10206.200000000001"/>
    <n v="31685.4"/>
    <n v="31.7"/>
    <n v="0.85"/>
    <n v="9946.2000000000007"/>
    <n v="31425.4"/>
    <n v="600.87"/>
    <n v="1200"/>
    <n v="231449.7"/>
    <n v="31.78"/>
  </r>
  <r>
    <s v="4000_0.4_0.5_1000_3.0_order_5"/>
    <x v="1"/>
    <n v="0.4"/>
    <n v="0.5"/>
    <n v="1000"/>
    <n v="3"/>
    <n v="5"/>
    <x v="2"/>
    <n v="339263.6"/>
    <n v="129708.3"/>
    <n v="209555.3"/>
    <n v="1200"/>
    <n v="600.03"/>
    <n v="79747.899999999994"/>
    <n v="119418.8"/>
    <n v="199166.7"/>
    <n v="19765.099999999999"/>
    <n v="10619.5"/>
    <n v="30384.6"/>
    <n v="32.340000000000003"/>
    <n v="1.62"/>
    <n v="10096"/>
    <n v="29861.1"/>
    <n v="601.65"/>
    <n v="1199"/>
    <n v="229027.8"/>
    <n v="32.49"/>
  </r>
  <r>
    <s v="4000_0.4_0.5_1000_3.0_order_5"/>
    <x v="1"/>
    <n v="0.4"/>
    <n v="0.5"/>
    <n v="1000"/>
    <n v="3"/>
    <n v="5"/>
    <x v="3"/>
    <n v="339263.6"/>
    <n v="129708.3"/>
    <n v="209555.3"/>
    <n v="1200"/>
    <n v="600.79"/>
    <n v="80028.600000000006"/>
    <n v="118814.1"/>
    <n v="198842.7"/>
    <n v="20844"/>
    <n v="9162.1"/>
    <n v="30006.1"/>
    <n v="32.549999999999997"/>
    <n v="0.75"/>
    <n v="8893.7000000000007"/>
    <n v="29737.7"/>
    <n v="601.54"/>
    <n v="1200"/>
    <n v="228580.4"/>
    <n v="32.619999999999997"/>
  </r>
  <r>
    <s v="8000_0.2_0.5_1000_1.0_order_1"/>
    <x v="2"/>
    <n v="0.2"/>
    <n v="0.5"/>
    <n v="1000"/>
    <n v="1"/>
    <n v="1"/>
    <x v="0"/>
    <n v="284028.3"/>
    <n v="113604.7"/>
    <n v="170423.6"/>
    <n v="2400"/>
    <n v="603.14"/>
    <n v="65568.899999999994"/>
    <n v="92965.1"/>
    <n v="158534"/>
    <n v="42445.5"/>
    <n v="7392.2"/>
    <n v="49837.7"/>
    <n v="26.64"/>
    <n v="1.75"/>
    <n v="7287.5"/>
    <n v="49733"/>
    <n v="604.89"/>
    <n v="2361"/>
    <n v="208267"/>
    <n v="26.67"/>
  </r>
  <r>
    <s v="8000_0.2_0.5_1000_1.0_order_1"/>
    <x v="2"/>
    <n v="0.2"/>
    <n v="0.5"/>
    <n v="1000"/>
    <n v="1"/>
    <n v="1"/>
    <x v="1"/>
    <n v="284028.3"/>
    <n v="113604.7"/>
    <n v="170423.6"/>
    <n v="2400"/>
    <n v="600.03"/>
    <n v="68866.899999999994"/>
    <n v="93704.7"/>
    <n v="162571.6"/>
    <n v="40844.1"/>
    <n v="7051.1"/>
    <n v="47895.199999999997"/>
    <n v="25.9"/>
    <n v="0.33"/>
    <n v="6859.3"/>
    <n v="47703.4"/>
    <n v="600.35"/>
    <n v="2400"/>
    <n v="210275"/>
    <n v="25.97"/>
  </r>
  <r>
    <s v="8000_0.2_0.5_1000_1.0_order_1"/>
    <x v="2"/>
    <n v="0.2"/>
    <n v="0.5"/>
    <n v="1000"/>
    <n v="1"/>
    <n v="1"/>
    <x v="2"/>
    <n v="284028.3"/>
    <n v="113604.7"/>
    <n v="170423.6"/>
    <n v="2400"/>
    <n v="600.01"/>
    <n v="67714.600000000006"/>
    <n v="94088.6"/>
    <n v="161803.20000000001"/>
    <n v="36302.800000000003"/>
    <n v="13692.9"/>
    <n v="49995.7"/>
    <n v="25.43"/>
    <n v="5.34"/>
    <n v="12845.1"/>
    <n v="49147.9"/>
    <n v="605.35"/>
    <n v="2098"/>
    <n v="210951.1"/>
    <n v="25.73"/>
  </r>
  <r>
    <s v="8000_0.2_0.5_1000_1.0_order_1"/>
    <x v="2"/>
    <n v="0.2"/>
    <n v="0.5"/>
    <n v="1000"/>
    <n v="1"/>
    <n v="1"/>
    <x v="3"/>
    <n v="284028.3"/>
    <n v="113604.7"/>
    <n v="170423.6"/>
    <n v="2400"/>
    <n v="600.02"/>
    <n v="67160.2"/>
    <n v="91828.800000000003"/>
    <n v="158989"/>
    <n v="44905.599999999999"/>
    <n v="5904.4"/>
    <n v="50810"/>
    <n v="26.13"/>
    <n v="0.28999999999999998"/>
    <n v="5766.3"/>
    <n v="50671.9"/>
    <n v="600.29999999999995"/>
    <n v="2393"/>
    <n v="209660.9"/>
    <n v="26.18"/>
  </r>
  <r>
    <s v="8000_0.2_0.5_1000_1.0_order_2"/>
    <x v="2"/>
    <n v="0.2"/>
    <n v="0.5"/>
    <n v="1000"/>
    <n v="1"/>
    <n v="2"/>
    <x v="0"/>
    <n v="287896"/>
    <n v="114328.4"/>
    <n v="173567.6"/>
    <n v="2400"/>
    <n v="600.01"/>
    <n v="66293.600000000006"/>
    <n v="94769"/>
    <n v="161062.6"/>
    <n v="42110.7"/>
    <n v="7037.6"/>
    <n v="49148.3"/>
    <n v="26.98"/>
    <n v="1.32"/>
    <n v="6972.8"/>
    <n v="49083.5"/>
    <n v="601.33000000000004"/>
    <n v="2399"/>
    <n v="210146.1"/>
    <n v="27.01"/>
  </r>
  <r>
    <s v="8000_0.2_0.5_1000_1.0_order_2"/>
    <x v="2"/>
    <n v="0.2"/>
    <n v="0.5"/>
    <n v="1000"/>
    <n v="1"/>
    <n v="2"/>
    <x v="1"/>
    <n v="287896"/>
    <n v="114328.4"/>
    <n v="173567.6"/>
    <n v="2400"/>
    <n v="600.03"/>
    <n v="71091.3"/>
    <n v="96425.8"/>
    <n v="167517.1"/>
    <n v="39730.6"/>
    <n v="7357.9"/>
    <n v="47088.5"/>
    <n v="25.46"/>
    <n v="0.35"/>
    <n v="7188.6"/>
    <n v="46919.199999999997"/>
    <n v="600.37"/>
    <n v="2400"/>
    <n v="214436.3"/>
    <n v="25.52"/>
  </r>
  <r>
    <s v="8000_0.2_0.5_1000_1.0_order_2"/>
    <x v="2"/>
    <n v="0.2"/>
    <n v="0.5"/>
    <n v="1000"/>
    <n v="1"/>
    <n v="2"/>
    <x v="2"/>
    <n v="287896"/>
    <n v="114328.4"/>
    <n v="173567.6"/>
    <n v="2400"/>
    <n v="600.25"/>
    <n v="65166.5"/>
    <n v="93967.9"/>
    <n v="159134.39999999999"/>
    <n v="40044.9"/>
    <n v="13851.6"/>
    <n v="53896.5"/>
    <n v="26"/>
    <n v="5.63"/>
    <n v="12898"/>
    <n v="52942.9"/>
    <n v="605.88"/>
    <n v="2399"/>
    <n v="212077.3"/>
    <n v="26.34"/>
  </r>
  <r>
    <s v="8000_0.2_0.5_1000_1.0_order_2"/>
    <x v="2"/>
    <n v="0.2"/>
    <n v="0.5"/>
    <n v="1000"/>
    <n v="1"/>
    <n v="2"/>
    <x v="3"/>
    <n v="287896"/>
    <n v="114328.4"/>
    <n v="173567.6"/>
    <n v="2400"/>
    <n v="600.71"/>
    <n v="68517"/>
    <n v="93858.4"/>
    <n v="162375.4"/>
    <n v="44340.800000000003"/>
    <n v="5758.6"/>
    <n v="50099.4"/>
    <n v="26.2"/>
    <n v="0.22"/>
    <n v="5679.5"/>
    <n v="50020.3"/>
    <n v="600.92999999999995"/>
    <n v="2395"/>
    <n v="212395.7"/>
    <n v="26.22"/>
  </r>
  <r>
    <s v="8000_0.2_0.5_1000_1.0_order_3"/>
    <x v="2"/>
    <n v="0.2"/>
    <n v="0.5"/>
    <n v="1000"/>
    <n v="1"/>
    <n v="3"/>
    <x v="0"/>
    <n v="300995"/>
    <n v="115406.7"/>
    <n v="185588.3"/>
    <n v="2400"/>
    <n v="602.49"/>
    <n v="68165.5"/>
    <n v="100115.2"/>
    <n v="168280.7"/>
    <n v="41605.699999999997"/>
    <n v="7060.6"/>
    <n v="48666.3"/>
    <n v="27.92"/>
    <n v="1.34"/>
    <n v="6939.3"/>
    <n v="48545"/>
    <n v="603.83000000000004"/>
    <n v="2399"/>
    <n v="216825.7"/>
    <n v="27.96"/>
  </r>
  <r>
    <s v="8000_0.2_0.5_1000_1.0_order_3"/>
    <x v="2"/>
    <n v="0.2"/>
    <n v="0.5"/>
    <n v="1000"/>
    <n v="1"/>
    <n v="3"/>
    <x v="1"/>
    <n v="300995"/>
    <n v="115406.7"/>
    <n v="185588.3"/>
    <n v="2400"/>
    <n v="600.02"/>
    <n v="71114.5"/>
    <n v="99759.2"/>
    <n v="170873.7"/>
    <n v="40038.9"/>
    <n v="7215.6"/>
    <n v="47254.5"/>
    <n v="27.53"/>
    <n v="0.32"/>
    <n v="7027.1"/>
    <n v="47066"/>
    <n v="600.33000000000004"/>
    <n v="2400"/>
    <n v="217939.7"/>
    <n v="27.59"/>
  </r>
  <r>
    <s v="8000_0.2_0.5_1000_1.0_order_3"/>
    <x v="2"/>
    <n v="0.2"/>
    <n v="0.5"/>
    <n v="1000"/>
    <n v="1"/>
    <n v="3"/>
    <x v="2"/>
    <n v="300995"/>
    <n v="115406.7"/>
    <n v="185588.3"/>
    <n v="2400"/>
    <n v="600.19000000000005"/>
    <n v="69372.100000000006"/>
    <n v="102104.5"/>
    <n v="171476.6"/>
    <n v="35994.1"/>
    <n v="14004.4"/>
    <n v="49998.5"/>
    <n v="26.42"/>
    <n v="5.2"/>
    <n v="12913.6"/>
    <n v="48907.7"/>
    <n v="605.38"/>
    <n v="2111"/>
    <n v="220384.3"/>
    <n v="26.78"/>
  </r>
  <r>
    <s v="8000_0.2_0.5_1000_1.0_order_3"/>
    <x v="2"/>
    <n v="0.2"/>
    <n v="0.5"/>
    <n v="1000"/>
    <n v="1"/>
    <n v="3"/>
    <x v="3"/>
    <n v="300995"/>
    <n v="115406.7"/>
    <n v="185588.3"/>
    <n v="2400"/>
    <n v="600.99"/>
    <n v="67104.800000000003"/>
    <n v="99381.7"/>
    <n v="166486.5"/>
    <n v="44591.199999999997"/>
    <n v="6276.9"/>
    <n v="50868.1"/>
    <n v="27.79"/>
    <n v="0.24"/>
    <n v="6107.9"/>
    <n v="50699.1"/>
    <n v="601.22"/>
    <n v="2393"/>
    <n v="217185.6"/>
    <n v="27.84"/>
  </r>
  <r>
    <s v="8000_0.2_0.5_1000_1.0_order_4"/>
    <x v="2"/>
    <n v="0.2"/>
    <n v="0.5"/>
    <n v="1000"/>
    <n v="1"/>
    <n v="4"/>
    <x v="0"/>
    <n v="281856.2"/>
    <n v="115121.2"/>
    <n v="166735"/>
    <n v="2400"/>
    <n v="600"/>
    <n v="66535.399999999994"/>
    <n v="92473.8"/>
    <n v="159009.20000000001"/>
    <n v="41806.699999999997"/>
    <n v="7263.9"/>
    <n v="49070.6"/>
    <n v="26.18"/>
    <n v="1.26"/>
    <n v="7226.2"/>
    <n v="49032.9"/>
    <n v="601.27"/>
    <n v="2292"/>
    <n v="208042.1"/>
    <n v="26.19"/>
  </r>
  <r>
    <s v="8000_0.2_0.5_1000_1.0_order_4"/>
    <x v="2"/>
    <n v="0.2"/>
    <n v="0.5"/>
    <n v="1000"/>
    <n v="1"/>
    <n v="4"/>
    <x v="1"/>
    <n v="281856.2"/>
    <n v="115121.2"/>
    <n v="166735"/>
    <n v="2400"/>
    <n v="600.03"/>
    <n v="70944.7"/>
    <n v="93354.5"/>
    <n v="164299.20000000001"/>
    <n v="39886.5"/>
    <n v="6958.1"/>
    <n v="46844.6"/>
    <n v="25.09"/>
    <n v="0.38"/>
    <n v="6785.4"/>
    <n v="46671.9"/>
    <n v="600.41"/>
    <n v="2400"/>
    <n v="210971.1"/>
    <n v="25.15"/>
  </r>
  <r>
    <s v="8000_0.2_0.5_1000_1.0_order_4"/>
    <x v="2"/>
    <n v="0.2"/>
    <n v="0.5"/>
    <n v="1000"/>
    <n v="1"/>
    <n v="4"/>
    <x v="2"/>
    <n v="281856.2"/>
    <n v="115121.2"/>
    <n v="166735"/>
    <n v="2400"/>
    <n v="600.66999999999996"/>
    <n v="69069.7"/>
    <n v="92228.3"/>
    <n v="161298"/>
    <n v="36121.9"/>
    <n v="13876.2"/>
    <n v="49998.1"/>
    <n v="25.03"/>
    <n v="5.44"/>
    <n v="13008"/>
    <n v="49129.9"/>
    <n v="606.11"/>
    <n v="2045"/>
    <n v="210427.9"/>
    <n v="25.34"/>
  </r>
  <r>
    <s v="8000_0.2_0.5_1000_1.0_order_4"/>
    <x v="2"/>
    <n v="0.2"/>
    <n v="0.5"/>
    <n v="1000"/>
    <n v="1"/>
    <n v="4"/>
    <x v="3"/>
    <n v="281856.2"/>
    <n v="115121.2"/>
    <n v="166735"/>
    <n v="2400"/>
    <n v="600.83000000000004"/>
    <n v="68273.399999999994"/>
    <n v="92243.9"/>
    <n v="160517.29999999999"/>
    <n v="43758.400000000001"/>
    <n v="5852.6"/>
    <n v="49611"/>
    <n v="25.45"/>
    <n v="0.31"/>
    <n v="5783.9"/>
    <n v="49542.3"/>
    <n v="601.14"/>
    <n v="2397"/>
    <n v="210059.6"/>
    <n v="25.47"/>
  </r>
  <r>
    <s v="8000_0.2_0.5_1000_1.0_order_5"/>
    <x v="2"/>
    <n v="0.2"/>
    <n v="0.5"/>
    <n v="1000"/>
    <n v="1"/>
    <n v="5"/>
    <x v="0"/>
    <n v="290451.90000000002"/>
    <n v="115475.8"/>
    <n v="174976.1"/>
    <n v="2400"/>
    <n v="602.76"/>
    <n v="67204.3"/>
    <n v="94245.6"/>
    <n v="161449.9"/>
    <n v="42534.9"/>
    <n v="7146.5"/>
    <n v="49681.4"/>
    <n v="27.31"/>
    <n v="1.42"/>
    <n v="7068.8"/>
    <n v="49603.7"/>
    <n v="604.17999999999995"/>
    <n v="2333"/>
    <n v="211053.6"/>
    <n v="27.34"/>
  </r>
  <r>
    <s v="8000_0.2_0.5_1000_1.0_order_5"/>
    <x v="2"/>
    <n v="0.2"/>
    <n v="0.5"/>
    <n v="1000"/>
    <n v="1"/>
    <n v="5"/>
    <x v="1"/>
    <n v="290451.90000000002"/>
    <n v="115475.8"/>
    <n v="174976.1"/>
    <n v="2400"/>
    <n v="600.04"/>
    <n v="69725.3"/>
    <n v="95513"/>
    <n v="165238.29999999999"/>
    <n v="40981.800000000003"/>
    <n v="7211.8"/>
    <n v="48193.599999999999"/>
    <n v="26.52"/>
    <n v="0.39"/>
    <n v="7034.7"/>
    <n v="48016.5"/>
    <n v="600.41999999999996"/>
    <n v="2399"/>
    <n v="213254.8"/>
    <n v="26.58"/>
  </r>
  <r>
    <s v="8000_0.2_0.5_1000_1.0_order_5"/>
    <x v="2"/>
    <n v="0.2"/>
    <n v="0.5"/>
    <n v="1000"/>
    <n v="1"/>
    <n v="5"/>
    <x v="2"/>
    <n v="290451.90000000002"/>
    <n v="115475.8"/>
    <n v="174976.1"/>
    <n v="2400"/>
    <n v="600.21"/>
    <n v="66361.3"/>
    <n v="94793.4"/>
    <n v="161154.70000000001"/>
    <n v="39294.400000000001"/>
    <n v="15349.3"/>
    <n v="54643.7"/>
    <n v="25.7"/>
    <n v="5.59"/>
    <n v="14181.4"/>
    <n v="53475.8"/>
    <n v="605.79999999999995"/>
    <n v="2301"/>
    <n v="214630.5"/>
    <n v="26.1"/>
  </r>
  <r>
    <s v="8000_0.2_0.5_1000_1.0_order_5"/>
    <x v="2"/>
    <n v="0.2"/>
    <n v="0.5"/>
    <n v="1000"/>
    <n v="1"/>
    <n v="5"/>
    <x v="3"/>
    <n v="290451.90000000002"/>
    <n v="115475.8"/>
    <n v="174976.1"/>
    <n v="2400"/>
    <n v="600"/>
    <n v="66457.5"/>
    <n v="92950.9"/>
    <n v="159408.4"/>
    <n v="46312.2"/>
    <n v="6339.1"/>
    <n v="52651.3"/>
    <n v="26.99"/>
    <n v="0.36"/>
    <n v="6160.4"/>
    <n v="52472.6"/>
    <n v="600.36"/>
    <n v="2400"/>
    <n v="211881"/>
    <n v="27.05"/>
  </r>
  <r>
    <s v="8000_0.2_0.5_1000_2.0_order_1"/>
    <x v="2"/>
    <n v="0.2"/>
    <n v="0.5"/>
    <n v="1000"/>
    <n v="2"/>
    <n v="1"/>
    <x v="0"/>
    <n v="451665.2"/>
    <n v="173512.3"/>
    <n v="278152.90000000002"/>
    <n v="2400"/>
    <n v="603"/>
    <n v="102304.5"/>
    <n v="149177.20000000001"/>
    <n v="251481.7"/>
    <n v="45355.8"/>
    <n v="8967.7000000000007"/>
    <n v="54323.5"/>
    <n v="32.29"/>
    <n v="0.98"/>
    <n v="8882.5"/>
    <n v="54238.3"/>
    <n v="603.98"/>
    <n v="2390"/>
    <n v="305720"/>
    <n v="32.31"/>
  </r>
  <r>
    <s v="8000_0.2_0.5_1000_2.0_order_1"/>
    <x v="2"/>
    <n v="0.2"/>
    <n v="0.5"/>
    <n v="1000"/>
    <n v="2"/>
    <n v="1"/>
    <x v="1"/>
    <n v="451665.2"/>
    <n v="173512.3"/>
    <n v="278152.90000000002"/>
    <n v="2400"/>
    <n v="600.01"/>
    <n v="99904.9"/>
    <n v="146245.79999999999"/>
    <n v="246150.7"/>
    <n v="47451.7"/>
    <n v="10736.2"/>
    <n v="58187.9"/>
    <n v="32.619999999999997"/>
    <n v="0.51"/>
    <n v="10221.799999999999"/>
    <n v="57673.5"/>
    <n v="600.52"/>
    <n v="2398"/>
    <n v="303824.2"/>
    <n v="32.729999999999997"/>
  </r>
  <r>
    <s v="8000_0.2_0.5_1000_2.0_order_1"/>
    <x v="2"/>
    <n v="0.2"/>
    <n v="0.5"/>
    <n v="1000"/>
    <n v="2"/>
    <n v="1"/>
    <x v="2"/>
    <n v="451665.2"/>
    <n v="173512.3"/>
    <n v="278152.90000000002"/>
    <n v="2400"/>
    <n v="600.83000000000004"/>
    <n v="102171.3"/>
    <n v="153003.4"/>
    <n v="255174.7"/>
    <n v="39793.300000000003"/>
    <n v="17484.8"/>
    <n v="57278.1"/>
    <n v="30.82"/>
    <n v="5.52"/>
    <n v="16004.6"/>
    <n v="55797.9"/>
    <n v="606.35"/>
    <n v="2400"/>
    <n v="310972.59999999998"/>
    <n v="31.15"/>
  </r>
  <r>
    <s v="8000_0.2_0.5_1000_2.0_order_1"/>
    <x v="2"/>
    <n v="0.2"/>
    <n v="0.5"/>
    <n v="1000"/>
    <n v="2"/>
    <n v="1"/>
    <x v="3"/>
    <n v="451665.2"/>
    <n v="173512.3"/>
    <n v="278152.90000000002"/>
    <n v="2400"/>
    <n v="600.82000000000005"/>
    <n v="100987.8"/>
    <n v="145723.20000000001"/>
    <n v="246711"/>
    <n v="50248.6"/>
    <n v="8610.2999999999993"/>
    <n v="58858.9"/>
    <n v="32.35"/>
    <n v="0.3"/>
    <n v="8232.6"/>
    <n v="58481.2"/>
    <n v="601.13"/>
    <n v="2381"/>
    <n v="305192.2"/>
    <n v="32.43"/>
  </r>
  <r>
    <s v="8000_0.2_0.5_1000_2.0_order_2"/>
    <x v="2"/>
    <n v="0.2"/>
    <n v="0.5"/>
    <n v="1000"/>
    <n v="2"/>
    <n v="2"/>
    <x v="0"/>
    <n v="440100.8"/>
    <n v="164654.6"/>
    <n v="275446.2"/>
    <n v="2400"/>
    <n v="602.30999999999995"/>
    <n v="96734.7"/>
    <n v="146171.20000000001"/>
    <n v="242905.9"/>
    <n v="43590.8"/>
    <n v="8894.2999999999993"/>
    <n v="52485.1"/>
    <n v="32.880000000000003"/>
    <n v="0.98"/>
    <n v="8791.9"/>
    <n v="52382.7"/>
    <n v="603.28"/>
    <n v="2386"/>
    <n v="295288.59999999998"/>
    <n v="32.9"/>
  </r>
  <r>
    <s v="8000_0.2_0.5_1000_2.0_order_2"/>
    <x v="2"/>
    <n v="0.2"/>
    <n v="0.5"/>
    <n v="1000"/>
    <n v="2"/>
    <n v="2"/>
    <x v="1"/>
    <n v="440100.8"/>
    <n v="164654.6"/>
    <n v="275446.2"/>
    <n v="2400"/>
    <n v="600.01"/>
    <n v="96157.6"/>
    <n v="143190"/>
    <n v="239347.6"/>
    <n v="45707.9"/>
    <n v="10446.299999999999"/>
    <n v="56154.2"/>
    <n v="32.86"/>
    <n v="0.5"/>
    <n v="9933.2999999999993"/>
    <n v="55641.2"/>
    <n v="600.51"/>
    <n v="2400"/>
    <n v="294988.79999999999"/>
    <n v="32.97"/>
  </r>
  <r>
    <s v="8000_0.2_0.5_1000_2.0_order_2"/>
    <x v="2"/>
    <n v="0.2"/>
    <n v="0.5"/>
    <n v="1000"/>
    <n v="2"/>
    <n v="2"/>
    <x v="2"/>
    <n v="440100.8"/>
    <n v="164654.6"/>
    <n v="275446.2"/>
    <n v="2400"/>
    <n v="601"/>
    <n v="97368.1"/>
    <n v="147233.79999999999"/>
    <n v="244601.9"/>
    <n v="39361.699999999997"/>
    <n v="16748.900000000001"/>
    <n v="56110.6"/>
    <n v="31.67"/>
    <n v="5.37"/>
    <n v="15238.1"/>
    <n v="54599.8"/>
    <n v="606.37"/>
    <n v="2400"/>
    <n v="299201.7"/>
    <n v="32.020000000000003"/>
  </r>
  <r>
    <s v="8000_0.2_0.5_1000_2.0_order_2"/>
    <x v="2"/>
    <n v="0.2"/>
    <n v="0.5"/>
    <n v="1000"/>
    <n v="2"/>
    <n v="2"/>
    <x v="3"/>
    <n v="440100.8"/>
    <n v="164654.6"/>
    <n v="275446.2"/>
    <n v="2400"/>
    <n v="600.85"/>
    <n v="95389.4"/>
    <n v="142990.1"/>
    <n v="238379.5"/>
    <n v="49344.800000000003"/>
    <n v="8096.7"/>
    <n v="57441.5"/>
    <n v="32.78"/>
    <n v="0.34"/>
    <n v="7747.6"/>
    <n v="57092.4"/>
    <n v="601.19000000000005"/>
    <n v="2400"/>
    <n v="295471.90000000002"/>
    <n v="32.86"/>
  </r>
  <r>
    <s v="8000_0.2_0.5_1000_2.0_order_3"/>
    <x v="2"/>
    <n v="0.2"/>
    <n v="0.5"/>
    <n v="1000"/>
    <n v="2"/>
    <n v="3"/>
    <x v="0"/>
    <n v="437246.5"/>
    <n v="162976.70000000001"/>
    <n v="274269.8"/>
    <n v="2400"/>
    <n v="603.54999999999995"/>
    <n v="94781.5"/>
    <n v="150874.5"/>
    <n v="245656"/>
    <n v="42904"/>
    <n v="8131.4"/>
    <n v="51035.4"/>
    <n v="32.15"/>
    <n v="0.9"/>
    <n v="8074.8"/>
    <n v="50978.8"/>
    <n v="604.44000000000005"/>
    <n v="2382"/>
    <n v="296634.8"/>
    <n v="32.159999999999997"/>
  </r>
  <r>
    <s v="8000_0.2_0.5_1000_2.0_order_3"/>
    <x v="2"/>
    <n v="0.2"/>
    <n v="0.5"/>
    <n v="1000"/>
    <n v="2"/>
    <n v="3"/>
    <x v="1"/>
    <n v="437246.5"/>
    <n v="162976.70000000001"/>
    <n v="274269.8"/>
    <n v="2400"/>
    <n v="600.01"/>
    <n v="95528.3"/>
    <n v="145721.70000000001"/>
    <n v="241250"/>
    <n v="44972.1"/>
    <n v="10148.9"/>
    <n v="55121"/>
    <n v="32.22"/>
    <n v="0.53"/>
    <n v="9697.7999999999993"/>
    <n v="54669.9"/>
    <n v="600.53"/>
    <n v="2400"/>
    <n v="295919.90000000002"/>
    <n v="32.32"/>
  </r>
  <r>
    <s v="8000_0.2_0.5_1000_2.0_order_3"/>
    <x v="2"/>
    <n v="0.2"/>
    <n v="0.5"/>
    <n v="1000"/>
    <n v="2"/>
    <n v="3"/>
    <x v="2"/>
    <n v="437246.5"/>
    <n v="162976.70000000001"/>
    <n v="274269.8"/>
    <n v="2400"/>
    <n v="600.51"/>
    <n v="95703.7"/>
    <n v="151929.9"/>
    <n v="247633.6"/>
    <n v="39012.300000000003"/>
    <n v="16828.7"/>
    <n v="55841"/>
    <n v="30.59"/>
    <n v="5.27"/>
    <n v="15357.3"/>
    <n v="54369.599999999999"/>
    <n v="605.79"/>
    <n v="2400"/>
    <n v="302003.20000000001"/>
    <n v="30.93"/>
  </r>
  <r>
    <s v="8000_0.2_0.5_1000_2.0_order_3"/>
    <x v="2"/>
    <n v="0.2"/>
    <n v="0.5"/>
    <n v="1000"/>
    <n v="2"/>
    <n v="3"/>
    <x v="3"/>
    <n v="437246.5"/>
    <n v="162976.70000000001"/>
    <n v="274269.8"/>
    <n v="2400"/>
    <n v="600.72"/>
    <n v="92786.5"/>
    <n v="145039.29999999999"/>
    <n v="237825.8"/>
    <n v="48677.3"/>
    <n v="8352.5"/>
    <n v="57029.8"/>
    <n v="32.57"/>
    <n v="0.34"/>
    <n v="8009.7"/>
    <n v="56687"/>
    <n v="601.05999999999995"/>
    <n v="2386"/>
    <n v="294512.8"/>
    <n v="32.64"/>
  </r>
  <r>
    <s v="8000_0.2_0.5_1000_2.0_order_4"/>
    <x v="2"/>
    <n v="0.2"/>
    <n v="0.5"/>
    <n v="1000"/>
    <n v="2"/>
    <n v="4"/>
    <x v="0"/>
    <n v="456550.1"/>
    <n v="164153.29999999999"/>
    <n v="292396.79999999999"/>
    <n v="2400"/>
    <n v="602.87"/>
    <n v="95336.5"/>
    <n v="157027.20000000001"/>
    <n v="252363.7"/>
    <n v="46067.5"/>
    <n v="9211.7000000000007"/>
    <n v="55279.199999999997"/>
    <n v="32.619999999999997"/>
    <n v="0.98"/>
    <n v="9076"/>
    <n v="55143.5"/>
    <n v="603.85"/>
    <n v="2391"/>
    <n v="307507.20000000001"/>
    <n v="32.65"/>
  </r>
  <r>
    <s v="8000_0.2_0.5_1000_2.0_order_4"/>
    <x v="2"/>
    <n v="0.2"/>
    <n v="0.5"/>
    <n v="1000"/>
    <n v="2"/>
    <n v="4"/>
    <x v="1"/>
    <n v="456550.1"/>
    <n v="164153.29999999999"/>
    <n v="292396.79999999999"/>
    <n v="2400"/>
    <n v="600.02"/>
    <n v="95448.7"/>
    <n v="152946.9"/>
    <n v="248395.6"/>
    <n v="47884.6"/>
    <n v="10881.9"/>
    <n v="58766.5"/>
    <n v="32.72"/>
    <n v="0.57999999999999996"/>
    <n v="10290.5"/>
    <n v="58175.1"/>
    <n v="600.6"/>
    <n v="2399"/>
    <n v="306570.7"/>
    <n v="32.85"/>
  </r>
  <r>
    <s v="8000_0.2_0.5_1000_2.0_order_4"/>
    <x v="2"/>
    <n v="0.2"/>
    <n v="0.5"/>
    <n v="1000"/>
    <n v="2"/>
    <n v="4"/>
    <x v="2"/>
    <n v="456550.1"/>
    <n v="164153.29999999999"/>
    <n v="292396.79999999999"/>
    <n v="2400"/>
    <n v="600.66"/>
    <n v="96272.4"/>
    <n v="159756.4"/>
    <n v="256028.79999999999"/>
    <n v="40475.1"/>
    <n v="18221.599999999999"/>
    <n v="58696.7"/>
    <n v="31.06"/>
    <n v="4.9400000000000004"/>
    <n v="16503"/>
    <n v="56978.1"/>
    <n v="605.6"/>
    <n v="2400"/>
    <n v="313006.90000000002"/>
    <n v="31.44"/>
  </r>
  <r>
    <s v="8000_0.2_0.5_1000_2.0_order_4"/>
    <x v="2"/>
    <n v="0.2"/>
    <n v="0.5"/>
    <n v="1000"/>
    <n v="2"/>
    <n v="4"/>
    <x v="3"/>
    <n v="456550.1"/>
    <n v="164153.29999999999"/>
    <n v="292396.79999999999"/>
    <n v="2400"/>
    <n v="600.53"/>
    <n v="93819.199999999997"/>
    <n v="151185.29999999999"/>
    <n v="245004.5"/>
    <n v="50851"/>
    <n v="9235.2999999999993"/>
    <n v="60086.3"/>
    <n v="33.17"/>
    <n v="0.51"/>
    <n v="8809.2999999999993"/>
    <n v="59660.3"/>
    <n v="601.04"/>
    <n v="2399"/>
    <n v="304664.8"/>
    <n v="33.270000000000003"/>
  </r>
  <r>
    <s v="8000_0.2_0.5_1000_2.0_order_5"/>
    <x v="2"/>
    <n v="0.2"/>
    <n v="0.5"/>
    <n v="1000"/>
    <n v="2"/>
    <n v="5"/>
    <x v="0"/>
    <n v="457523.20000000001"/>
    <n v="176183.7"/>
    <n v="281339.5"/>
    <n v="2400"/>
    <n v="603"/>
    <n v="101695.5"/>
    <n v="151342.6"/>
    <n v="253038.1"/>
    <n v="45831.5"/>
    <n v="9058.2000000000007"/>
    <n v="54889.7"/>
    <n v="32.700000000000003"/>
    <n v="1.18"/>
    <n v="9007.4"/>
    <n v="54838.9"/>
    <n v="604.17999999999995"/>
    <n v="2398"/>
    <n v="307877"/>
    <n v="32.71"/>
  </r>
  <r>
    <s v="8000_0.2_0.5_1000_2.0_order_5"/>
    <x v="2"/>
    <n v="0.2"/>
    <n v="0.5"/>
    <n v="1000"/>
    <n v="2"/>
    <n v="5"/>
    <x v="1"/>
    <n v="457523.20000000001"/>
    <n v="176183.7"/>
    <n v="281339.5"/>
    <n v="2400"/>
    <n v="600"/>
    <n v="99805.5"/>
    <n v="147084.4"/>
    <n v="246889.9"/>
    <n v="48061.5"/>
    <n v="11013.6"/>
    <n v="59075.1"/>
    <n v="33.130000000000003"/>
    <n v="0.49"/>
    <n v="10411.200000000001"/>
    <n v="58472.7"/>
    <n v="600.49"/>
    <n v="2400"/>
    <n v="305362.59999999998"/>
    <n v="33.26"/>
  </r>
  <r>
    <s v="8000_0.2_0.5_1000_2.0_order_5"/>
    <x v="2"/>
    <n v="0.2"/>
    <n v="0.5"/>
    <n v="1000"/>
    <n v="2"/>
    <n v="5"/>
    <x v="2"/>
    <n v="457523.20000000001"/>
    <n v="176183.7"/>
    <n v="281339.5"/>
    <n v="2400"/>
    <n v="600"/>
    <n v="101315.6"/>
    <n v="152289.79999999999"/>
    <n v="253605.4"/>
    <n v="40368.1"/>
    <n v="18323.5"/>
    <n v="58691.6"/>
    <n v="31.74"/>
    <n v="5.89"/>
    <n v="16602"/>
    <n v="56970.1"/>
    <n v="605.89"/>
    <n v="2399"/>
    <n v="310575.5"/>
    <n v="32.119999999999997"/>
  </r>
  <r>
    <s v="8000_0.2_0.5_1000_2.0_order_5"/>
    <x v="2"/>
    <n v="0.2"/>
    <n v="0.5"/>
    <n v="1000"/>
    <n v="2"/>
    <n v="5"/>
    <x v="3"/>
    <n v="457523.20000000001"/>
    <n v="176183.7"/>
    <n v="281339.5"/>
    <n v="2400"/>
    <n v="600.39"/>
    <n v="99993.8"/>
    <n v="148173.9"/>
    <n v="248167.7"/>
    <n v="49533.1"/>
    <n v="9290.2000000000007"/>
    <n v="58823.3"/>
    <n v="32.9"/>
    <n v="0.38"/>
    <n v="8953.2000000000007"/>
    <n v="58486.3"/>
    <n v="600.76"/>
    <n v="2399"/>
    <n v="306654"/>
    <n v="32.979999999999997"/>
  </r>
  <r>
    <s v="8000_0.2_0.5_1000_3.0_order_1"/>
    <x v="2"/>
    <n v="0.2"/>
    <n v="0.5"/>
    <n v="1000"/>
    <n v="3"/>
    <n v="1"/>
    <x v="0"/>
    <n v="593161.5"/>
    <n v="215760"/>
    <n v="377401.5"/>
    <n v="2400"/>
    <n v="603.21"/>
    <n v="123523.3"/>
    <n v="210950.39999999999"/>
    <n v="334473.7"/>
    <n v="49810.1"/>
    <n v="12195.4"/>
    <n v="62005.5"/>
    <n v="33.159999999999997"/>
    <n v="1.07"/>
    <n v="12040.1"/>
    <n v="61850.2"/>
    <n v="604.28"/>
    <n v="2399"/>
    <n v="396323.9"/>
    <n v="33.18"/>
  </r>
  <r>
    <s v="8000_0.2_0.5_1000_3.0_order_1"/>
    <x v="2"/>
    <n v="0.2"/>
    <n v="0.5"/>
    <n v="1000"/>
    <n v="3"/>
    <n v="1"/>
    <x v="1"/>
    <n v="593161.5"/>
    <n v="215760"/>
    <n v="377401.5"/>
    <n v="2400"/>
    <n v="600.02"/>
    <n v="123278.8"/>
    <n v="209420.4"/>
    <n v="332699.2"/>
    <n v="52584.9"/>
    <n v="14826.9"/>
    <n v="67411.8"/>
    <n v="32.549999999999997"/>
    <n v="0.76"/>
    <n v="13909.5"/>
    <n v="66494.399999999994"/>
    <n v="600.77"/>
    <n v="2400"/>
    <n v="399193.59999999998"/>
    <n v="32.700000000000003"/>
  </r>
  <r>
    <s v="8000_0.2_0.5_1000_3.0_order_1"/>
    <x v="2"/>
    <n v="0.2"/>
    <n v="0.5"/>
    <n v="1000"/>
    <n v="3"/>
    <n v="1"/>
    <x v="2"/>
    <n v="593161.5"/>
    <n v="215760"/>
    <n v="377401.5"/>
    <n v="2400"/>
    <n v="600.33000000000004"/>
    <n v="127715.6"/>
    <n v="218467.6"/>
    <n v="346183.2"/>
    <n v="42559.3"/>
    <n v="20603.2"/>
    <n v="63162.5"/>
    <n v="30.99"/>
    <n v="4.63"/>
    <n v="18323.2"/>
    <n v="60882.5"/>
    <n v="604.96"/>
    <n v="2400"/>
    <n v="407065.7"/>
    <n v="31.37"/>
  </r>
  <r>
    <s v="8000_0.2_0.5_1000_3.0_order_1"/>
    <x v="2"/>
    <n v="0.2"/>
    <n v="0.5"/>
    <n v="1000"/>
    <n v="3"/>
    <n v="1"/>
    <x v="3"/>
    <n v="593161.5"/>
    <n v="215760"/>
    <n v="377401.5"/>
    <n v="2400"/>
    <n v="600.41999999999996"/>
    <n v="124002.9"/>
    <n v="209414.1"/>
    <n v="333417"/>
    <n v="55049.5"/>
    <n v="11387.6"/>
    <n v="66437.100000000006"/>
    <n v="32.590000000000003"/>
    <n v="0.49"/>
    <n v="10823.3"/>
    <n v="65872.800000000003"/>
    <n v="600.91999999999996"/>
    <n v="2400"/>
    <n v="399289.8"/>
    <n v="32.68"/>
  </r>
  <r>
    <s v="8000_0.2_0.5_1000_3.0_order_2"/>
    <x v="2"/>
    <n v="0.2"/>
    <n v="0.5"/>
    <n v="1000"/>
    <n v="3"/>
    <n v="2"/>
    <x v="0"/>
    <n v="597665.69999999995"/>
    <n v="223856.5"/>
    <n v="373809.2"/>
    <n v="2400"/>
    <n v="602.63"/>
    <n v="125673.8"/>
    <n v="206015.8"/>
    <n v="331689.59999999998"/>
    <n v="52008.5"/>
    <n v="12191.4"/>
    <n v="64199.9"/>
    <n v="33.76"/>
    <n v="0.77"/>
    <n v="12154.1"/>
    <n v="64162.6"/>
    <n v="603.4"/>
    <n v="2397"/>
    <n v="395852.2"/>
    <n v="33.770000000000003"/>
  </r>
  <r>
    <s v="8000_0.2_0.5_1000_3.0_order_2"/>
    <x v="2"/>
    <n v="0.2"/>
    <n v="0.5"/>
    <n v="1000"/>
    <n v="3"/>
    <n v="2"/>
    <x v="1"/>
    <n v="597665.69999999995"/>
    <n v="223856.5"/>
    <n v="373809.2"/>
    <n v="2400"/>
    <n v="600.03"/>
    <n v="127780.2"/>
    <n v="207385.60000000001"/>
    <n v="335165.8"/>
    <n v="53446"/>
    <n v="14401.6"/>
    <n v="67847.600000000006"/>
    <n v="32.57"/>
    <n v="0.74"/>
    <n v="13617.4"/>
    <n v="67063.399999999994"/>
    <n v="600.77"/>
    <n v="2400"/>
    <n v="402229.2"/>
    <n v="32.700000000000003"/>
  </r>
  <r>
    <s v="8000_0.2_0.5_1000_3.0_order_2"/>
    <x v="2"/>
    <n v="0.2"/>
    <n v="0.5"/>
    <n v="1000"/>
    <n v="3"/>
    <n v="2"/>
    <x v="2"/>
    <n v="597665.69999999995"/>
    <n v="223856.5"/>
    <n v="373809.2"/>
    <n v="2400"/>
    <n v="600.91"/>
    <n v="129935.1"/>
    <n v="211759.5"/>
    <n v="341694.6"/>
    <n v="44815.6"/>
    <n v="20031.900000000001"/>
    <n v="64847.5"/>
    <n v="31.98"/>
    <n v="3.52"/>
    <n v="18356.3"/>
    <n v="63171.9"/>
    <n v="604.42999999999995"/>
    <n v="2400"/>
    <n v="404866.5"/>
    <n v="32.26"/>
  </r>
  <r>
    <s v="8000_0.2_0.5_1000_3.0_order_2"/>
    <x v="2"/>
    <n v="0.2"/>
    <n v="0.5"/>
    <n v="1000"/>
    <n v="3"/>
    <n v="2"/>
    <x v="3"/>
    <n v="597665.69999999995"/>
    <n v="223856.5"/>
    <n v="373809.2"/>
    <n v="2400"/>
    <n v="600.05999999999995"/>
    <n v="127995.4"/>
    <n v="203773.8"/>
    <n v="331769.2"/>
    <n v="54750.3"/>
    <n v="11545.3"/>
    <n v="66295.600000000006"/>
    <n v="33.4"/>
    <n v="0.37"/>
    <n v="11012.5"/>
    <n v="65762.8"/>
    <n v="600.42999999999995"/>
    <n v="2399"/>
    <n v="397532"/>
    <n v="33.49"/>
  </r>
  <r>
    <s v="8000_0.2_0.5_1000_3.0_order_3"/>
    <x v="2"/>
    <n v="0.2"/>
    <n v="0.5"/>
    <n v="1000"/>
    <n v="3"/>
    <n v="3"/>
    <x v="0"/>
    <n v="583722.1"/>
    <n v="223799"/>
    <n v="359923.1"/>
    <n v="2400"/>
    <n v="600"/>
    <n v="124345.2"/>
    <n v="195387.8"/>
    <n v="319733"/>
    <n v="51254.3"/>
    <n v="11515.7"/>
    <n v="62770"/>
    <n v="34.47"/>
    <n v="0.78"/>
    <n v="11388"/>
    <n v="62642.3"/>
    <n v="600.78"/>
    <n v="2399"/>
    <n v="382375.3"/>
    <n v="34.49"/>
  </r>
  <r>
    <s v="8000_0.2_0.5_1000_3.0_order_3"/>
    <x v="2"/>
    <n v="0.2"/>
    <n v="0.5"/>
    <n v="1000"/>
    <n v="3"/>
    <n v="3"/>
    <x v="1"/>
    <n v="583722.1"/>
    <n v="223799"/>
    <n v="359923.1"/>
    <n v="2400"/>
    <n v="600"/>
    <n v="126681.8"/>
    <n v="193827.1"/>
    <n v="320508.90000000002"/>
    <n v="52467.8"/>
    <n v="14111.2"/>
    <n v="66579"/>
    <n v="33.69"/>
    <n v="0.63"/>
    <n v="13411"/>
    <n v="65878.8"/>
    <n v="600.63"/>
    <n v="2400"/>
    <n v="386387.7"/>
    <n v="33.81"/>
  </r>
  <r>
    <s v="8000_0.2_0.5_1000_3.0_order_3"/>
    <x v="2"/>
    <n v="0.2"/>
    <n v="0.5"/>
    <n v="1000"/>
    <n v="3"/>
    <n v="3"/>
    <x v="2"/>
    <n v="583722.1"/>
    <n v="223799"/>
    <n v="359923.1"/>
    <n v="2400"/>
    <n v="600.75"/>
    <n v="129055.4"/>
    <n v="205141.4"/>
    <n v="334196.8"/>
    <n v="42299.8"/>
    <n v="20219.2"/>
    <n v="62519"/>
    <n v="32.04"/>
    <n v="4.88"/>
    <n v="18124.5"/>
    <n v="60424.3"/>
    <n v="605.63"/>
    <n v="2399"/>
    <n v="394621.1"/>
    <n v="32.4"/>
  </r>
  <r>
    <s v="8000_0.2_0.5_1000_3.0_order_3"/>
    <x v="2"/>
    <n v="0.2"/>
    <n v="0.5"/>
    <n v="1000"/>
    <n v="3"/>
    <n v="3"/>
    <x v="3"/>
    <n v="583722.1"/>
    <n v="223799"/>
    <n v="359923.1"/>
    <n v="2400"/>
    <n v="600.57000000000005"/>
    <n v="125003.8"/>
    <n v="193228.1"/>
    <n v="318231.90000000002"/>
    <n v="54934.400000000001"/>
    <n v="11972.5"/>
    <n v="66906.899999999994"/>
    <n v="34.020000000000003"/>
    <n v="0.45"/>
    <n v="11395"/>
    <n v="66329.399999999994"/>
    <n v="601.01"/>
    <n v="2396"/>
    <n v="384561.3"/>
    <n v="34.119999999999997"/>
  </r>
  <r>
    <s v="8000_0.2_0.5_1000_3.0_order_4"/>
    <x v="2"/>
    <n v="0.2"/>
    <n v="0.5"/>
    <n v="1000"/>
    <n v="3"/>
    <n v="4"/>
    <x v="0"/>
    <n v="587036.19999999995"/>
    <n v="229321.60000000001"/>
    <n v="357714.6"/>
    <n v="2400"/>
    <n v="603.21"/>
    <n v="127765.3"/>
    <n v="199696"/>
    <n v="327461.3"/>
    <n v="49269.4"/>
    <n v="10962.8"/>
    <n v="60232.2"/>
    <n v="33.96"/>
    <n v="0.84"/>
    <n v="10916.2"/>
    <n v="60185.599999999999"/>
    <n v="604.04999999999995"/>
    <n v="2399"/>
    <n v="387646.9"/>
    <n v="33.97"/>
  </r>
  <r>
    <s v="8000_0.2_0.5_1000_3.0_order_4"/>
    <x v="2"/>
    <n v="0.2"/>
    <n v="0.5"/>
    <n v="1000"/>
    <n v="3"/>
    <n v="4"/>
    <x v="1"/>
    <n v="587036.19999999995"/>
    <n v="229321.60000000001"/>
    <n v="357714.6"/>
    <n v="2400"/>
    <n v="600.02"/>
    <n v="127124.7"/>
    <n v="198490.9"/>
    <n v="325615.59999999998"/>
    <n v="51472.800000000003"/>
    <n v="13848.8"/>
    <n v="65321.599999999999"/>
    <n v="33.4"/>
    <n v="0.62"/>
    <n v="13206.1"/>
    <n v="64678.9"/>
    <n v="600.64"/>
    <n v="2400"/>
    <n v="390294.5"/>
    <n v="33.51"/>
  </r>
  <r>
    <s v="8000_0.2_0.5_1000_3.0_order_4"/>
    <x v="2"/>
    <n v="0.2"/>
    <n v="0.5"/>
    <n v="1000"/>
    <n v="3"/>
    <n v="4"/>
    <x v="2"/>
    <n v="587036.19999999995"/>
    <n v="229321.60000000001"/>
    <n v="357714.6"/>
    <n v="2400"/>
    <n v="600.82000000000005"/>
    <n v="131726.20000000001"/>
    <n v="204478.8"/>
    <n v="336205"/>
    <n v="42278.2"/>
    <n v="19310.099999999999"/>
    <n v="61588.3"/>
    <n v="32.24"/>
    <n v="5.54"/>
    <n v="17224.5"/>
    <n v="59502.7"/>
    <n v="606.36"/>
    <n v="2400"/>
    <n v="395707.7"/>
    <n v="32.590000000000003"/>
  </r>
  <r>
    <s v="8000_0.2_0.5_1000_3.0_order_4"/>
    <x v="2"/>
    <n v="0.2"/>
    <n v="0.5"/>
    <n v="1000"/>
    <n v="3"/>
    <n v="4"/>
    <x v="3"/>
    <n v="587036.19999999995"/>
    <n v="229321.60000000001"/>
    <n v="357714.6"/>
    <n v="2400"/>
    <n v="600.03"/>
    <n v="128113.5"/>
    <n v="197931.4"/>
    <n v="326044.90000000002"/>
    <n v="53875.199999999997"/>
    <n v="11166.6"/>
    <n v="65041.8"/>
    <n v="33.380000000000003"/>
    <n v="0.43"/>
    <n v="10664.6"/>
    <n v="64539.8"/>
    <n v="600.46"/>
    <n v="2400"/>
    <n v="390584.7"/>
    <n v="33.46"/>
  </r>
  <r>
    <s v="8000_0.2_0.5_1000_3.0_order_5"/>
    <x v="2"/>
    <n v="0.2"/>
    <n v="0.5"/>
    <n v="1000"/>
    <n v="3"/>
    <n v="5"/>
    <x v="0"/>
    <n v="592275.9"/>
    <n v="226754.8"/>
    <n v="365521.1"/>
    <n v="2400"/>
    <n v="601.47"/>
    <n v="128174.5"/>
    <n v="200663"/>
    <n v="328837.5"/>
    <n v="51220.7"/>
    <n v="11172.9"/>
    <n v="62393.599999999999"/>
    <n v="33.94"/>
    <n v="0.65"/>
    <n v="11108.1"/>
    <n v="62328.800000000003"/>
    <n v="602.12"/>
    <n v="2399"/>
    <n v="391166.3"/>
    <n v="33.96"/>
  </r>
  <r>
    <s v="8000_0.2_0.5_1000_3.0_order_5"/>
    <x v="2"/>
    <n v="0.2"/>
    <n v="0.5"/>
    <n v="1000"/>
    <n v="3"/>
    <n v="5"/>
    <x v="1"/>
    <n v="592275.9"/>
    <n v="226754.8"/>
    <n v="365521.1"/>
    <n v="2400"/>
    <n v="600.01"/>
    <n v="129883.4"/>
    <n v="198898"/>
    <n v="328781.40000000002"/>
    <n v="52928.6"/>
    <n v="13832.1"/>
    <n v="66760.7"/>
    <n v="33.22"/>
    <n v="0.76"/>
    <n v="13146"/>
    <n v="66074.600000000006"/>
    <n v="600.77"/>
    <n v="2400"/>
    <n v="394856"/>
    <n v="33.33"/>
  </r>
  <r>
    <s v="8000_0.2_0.5_1000_3.0_order_5"/>
    <x v="2"/>
    <n v="0.2"/>
    <n v="0.5"/>
    <n v="1000"/>
    <n v="3"/>
    <n v="5"/>
    <x v="2"/>
    <n v="592275.9"/>
    <n v="226754.8"/>
    <n v="365521.1"/>
    <n v="2400"/>
    <n v="600.03"/>
    <n v="132415.6"/>
    <n v="211471.2"/>
    <n v="343886.8"/>
    <n v="43017.9"/>
    <n v="20889.599999999999"/>
    <n v="63907.5"/>
    <n v="31.15"/>
    <n v="4.68"/>
    <n v="18931.599999999999"/>
    <n v="61949.5"/>
    <n v="604.71"/>
    <n v="2399"/>
    <n v="405836.3"/>
    <n v="31.48"/>
  </r>
  <r>
    <s v="8000_0.2_0.5_1000_3.0_order_5"/>
    <x v="2"/>
    <n v="0.2"/>
    <n v="0.5"/>
    <n v="1000"/>
    <n v="3"/>
    <n v="5"/>
    <x v="3"/>
    <n v="592275.9"/>
    <n v="226754.8"/>
    <n v="365521.1"/>
    <n v="2400"/>
    <n v="600.76"/>
    <n v="129322.6"/>
    <n v="199546.3"/>
    <n v="328868.90000000002"/>
    <n v="53442.2"/>
    <n v="11771.2"/>
    <n v="65213.4"/>
    <n v="33.46"/>
    <n v="0.41"/>
    <n v="11330.3"/>
    <n v="64772.5"/>
    <n v="601.16999999999996"/>
    <n v="2397"/>
    <n v="393641.4"/>
    <n v="33.54"/>
  </r>
  <r>
    <s v="8000_0.3_0.5_1000_1.0_order_1"/>
    <x v="2"/>
    <n v="0.3"/>
    <n v="0.5"/>
    <n v="1000"/>
    <n v="1"/>
    <n v="1"/>
    <x v="0"/>
    <n v="286040.5"/>
    <n v="110201.1"/>
    <n v="175839.4"/>
    <n v="2400"/>
    <n v="603.63"/>
    <n v="64328.4"/>
    <n v="93529.7"/>
    <n v="157858.1"/>
    <n v="40917.599999999999"/>
    <n v="8730"/>
    <n v="49647.6"/>
    <n v="27.46"/>
    <n v="1.81"/>
    <n v="8709.7999999999993"/>
    <n v="49627.4"/>
    <n v="605.44000000000005"/>
    <n v="2319"/>
    <n v="207485.5"/>
    <n v="27.46"/>
  </r>
  <r>
    <s v="8000_0.3_0.5_1000_1.0_order_1"/>
    <x v="2"/>
    <n v="0.3"/>
    <n v="0.5"/>
    <n v="1000"/>
    <n v="1"/>
    <n v="1"/>
    <x v="1"/>
    <n v="286040.5"/>
    <n v="110201.1"/>
    <n v="175839.4"/>
    <n v="2400"/>
    <n v="600.01"/>
    <n v="66946.899999999994"/>
    <n v="94141.9"/>
    <n v="161088.79999999999"/>
    <n v="40046.300000000003"/>
    <n v="9854.2000000000007"/>
    <n v="49900.5"/>
    <n v="26.24"/>
    <n v="0.72"/>
    <n v="9641.2999999999993"/>
    <n v="49687.6"/>
    <n v="600.73"/>
    <n v="2399"/>
    <n v="210776.4"/>
    <n v="26.31"/>
  </r>
  <r>
    <s v="8000_0.3_0.5_1000_1.0_order_1"/>
    <x v="2"/>
    <n v="0.3"/>
    <n v="0.5"/>
    <n v="1000"/>
    <n v="1"/>
    <n v="1"/>
    <x v="2"/>
    <n v="286040.5"/>
    <n v="110201.1"/>
    <n v="175839.4"/>
    <n v="2400"/>
    <n v="600.12"/>
    <n v="63722.2"/>
    <n v="92813.5"/>
    <n v="156535.70000000001"/>
    <n v="38577.4"/>
    <n v="15792.2"/>
    <n v="54369.599999999999"/>
    <n v="26.27"/>
    <n v="5.81"/>
    <n v="14806.2"/>
    <n v="53383.6"/>
    <n v="605.92999999999995"/>
    <n v="2284"/>
    <n v="209919.3"/>
    <n v="26.61"/>
  </r>
  <r>
    <s v="8000_0.3_0.5_1000_1.0_order_1"/>
    <x v="2"/>
    <n v="0.3"/>
    <n v="0.5"/>
    <n v="1000"/>
    <n v="1"/>
    <n v="1"/>
    <x v="3"/>
    <n v="286040.5"/>
    <n v="110201.1"/>
    <n v="175839.4"/>
    <n v="2400"/>
    <n v="600.78"/>
    <n v="64502"/>
    <n v="93003.199999999997"/>
    <n v="157505.20000000001"/>
    <n v="44421.4"/>
    <n v="8119.3"/>
    <n v="52540.7"/>
    <n v="26.57"/>
    <n v="0.28999999999999998"/>
    <n v="7839.4"/>
    <n v="52260.800000000003"/>
    <n v="601.07000000000005"/>
    <n v="2368"/>
    <n v="209766"/>
    <n v="26.67"/>
  </r>
  <r>
    <s v="8000_0.3_0.5_1000_1.0_order_2"/>
    <x v="2"/>
    <n v="0.3"/>
    <n v="0.5"/>
    <n v="1000"/>
    <n v="1"/>
    <n v="2"/>
    <x v="0"/>
    <n v="292003.40000000002"/>
    <n v="110554.4"/>
    <n v="181449"/>
    <n v="2400"/>
    <n v="602.79"/>
    <n v="62069.7"/>
    <n v="97874.5"/>
    <n v="159944.20000000001"/>
    <n v="41398.6"/>
    <n v="8886.2000000000007"/>
    <n v="50284.800000000003"/>
    <n v="28"/>
    <n v="1.76"/>
    <n v="8845.2000000000007"/>
    <n v="50243.8"/>
    <n v="604.54999999999995"/>
    <n v="2316"/>
    <n v="210188"/>
    <n v="28.02"/>
  </r>
  <r>
    <s v="8000_0.3_0.5_1000_1.0_order_2"/>
    <x v="2"/>
    <n v="0.3"/>
    <n v="0.5"/>
    <n v="1000"/>
    <n v="1"/>
    <n v="2"/>
    <x v="1"/>
    <n v="292003.40000000002"/>
    <n v="110554.4"/>
    <n v="181449"/>
    <n v="2400"/>
    <n v="600"/>
    <n v="67597.899999999994"/>
    <n v="100329.9"/>
    <n v="167927.8"/>
    <n v="37791.4"/>
    <n v="8863.2999999999993"/>
    <n v="46654.7"/>
    <n v="26.51"/>
    <n v="0.7"/>
    <n v="8576.5"/>
    <n v="46367.9"/>
    <n v="600.70000000000005"/>
    <n v="2258"/>
    <n v="214295.7"/>
    <n v="26.61"/>
  </r>
  <r>
    <s v="8000_0.3_0.5_1000_1.0_order_2"/>
    <x v="2"/>
    <n v="0.3"/>
    <n v="0.5"/>
    <n v="1000"/>
    <n v="1"/>
    <n v="2"/>
    <x v="2"/>
    <n v="292003.40000000002"/>
    <n v="110554.4"/>
    <n v="181449"/>
    <n v="2400"/>
    <n v="600.88"/>
    <n v="64394.2"/>
    <n v="99975.6"/>
    <n v="164369.79999999999"/>
    <n v="34932.800000000003"/>
    <n v="15065.4"/>
    <n v="49998.2"/>
    <n v="26.59"/>
    <n v="5.26"/>
    <n v="14118.9"/>
    <n v="49051.7"/>
    <n v="606.14"/>
    <n v="1898"/>
    <n v="213421.5"/>
    <n v="26.91"/>
  </r>
  <r>
    <s v="8000_0.3_0.5_1000_1.0_order_2"/>
    <x v="2"/>
    <n v="0.3"/>
    <n v="0.5"/>
    <n v="1000"/>
    <n v="1"/>
    <n v="2"/>
    <x v="3"/>
    <n v="292003.40000000002"/>
    <n v="110554.4"/>
    <n v="181449"/>
    <n v="2400"/>
    <n v="600.49"/>
    <n v="63145.7"/>
    <n v="96017.4"/>
    <n v="159163.1"/>
    <n v="44907.3"/>
    <n v="8046.9"/>
    <n v="52954.2"/>
    <n v="27.36"/>
    <n v="0.38"/>
    <n v="7688.8"/>
    <n v="52596.1"/>
    <n v="600.87"/>
    <n v="2345"/>
    <n v="211759.2"/>
    <n v="27.48"/>
  </r>
  <r>
    <s v="8000_0.3_0.5_1000_1.0_order_3"/>
    <x v="2"/>
    <n v="0.3"/>
    <n v="0.5"/>
    <n v="1000"/>
    <n v="1"/>
    <n v="3"/>
    <x v="0"/>
    <n v="292940.79999999999"/>
    <n v="116162.1"/>
    <n v="176778.7"/>
    <n v="2400"/>
    <n v="602.32000000000005"/>
    <n v="65775.5"/>
    <n v="92922.9"/>
    <n v="158698.4"/>
    <n v="42648.6"/>
    <n v="8932.9"/>
    <n v="51581.5"/>
    <n v="28.22"/>
    <n v="1.75"/>
    <n v="8905.9"/>
    <n v="51554.5"/>
    <n v="604.07000000000005"/>
    <n v="2382"/>
    <n v="210252.9"/>
    <n v="28.23"/>
  </r>
  <r>
    <s v="8000_0.3_0.5_1000_1.0_order_3"/>
    <x v="2"/>
    <n v="0.3"/>
    <n v="0.5"/>
    <n v="1000"/>
    <n v="1"/>
    <n v="3"/>
    <x v="1"/>
    <n v="292940.79999999999"/>
    <n v="116162.1"/>
    <n v="176778.7"/>
    <n v="2400"/>
    <n v="600.01"/>
    <n v="69337.399999999994"/>
    <n v="95513.5"/>
    <n v="164850.9"/>
    <n v="39891.800000000003"/>
    <n v="9497.2999999999993"/>
    <n v="49389.1"/>
    <n v="26.87"/>
    <n v="0.6"/>
    <n v="9227.4"/>
    <n v="49119.199999999997"/>
    <n v="600.6"/>
    <n v="2400"/>
    <n v="213970.1"/>
    <n v="26.96"/>
  </r>
  <r>
    <s v="8000_0.3_0.5_1000_1.0_order_3"/>
    <x v="2"/>
    <n v="0.3"/>
    <n v="0.5"/>
    <n v="1000"/>
    <n v="1"/>
    <n v="3"/>
    <x v="2"/>
    <n v="292940.79999999999"/>
    <n v="116162.1"/>
    <n v="176778.7"/>
    <n v="2400"/>
    <n v="600.86"/>
    <n v="65066"/>
    <n v="92554.8"/>
    <n v="157620.79999999999"/>
    <n v="38781.1"/>
    <n v="15884.1"/>
    <n v="54665.2"/>
    <n v="27.53"/>
    <n v="6.53"/>
    <n v="14741.3"/>
    <n v="53522.400000000001"/>
    <n v="607.39"/>
    <n v="2301"/>
    <n v="211143.2"/>
    <n v="27.92"/>
  </r>
  <r>
    <s v="8000_0.3_0.5_1000_1.0_order_3"/>
    <x v="2"/>
    <n v="0.3"/>
    <n v="0.5"/>
    <n v="1000"/>
    <n v="1"/>
    <n v="3"/>
    <x v="3"/>
    <n v="292940.79999999999"/>
    <n v="116162.1"/>
    <n v="176778.7"/>
    <n v="2400"/>
    <n v="600.03"/>
    <n v="67898.399999999994"/>
    <n v="93671.5"/>
    <n v="161569.9"/>
    <n v="43164.4"/>
    <n v="7714.9"/>
    <n v="50879.3"/>
    <n v="27.48"/>
    <n v="0.4"/>
    <n v="7485.8"/>
    <n v="50650.2"/>
    <n v="600.42999999999995"/>
    <n v="2393"/>
    <n v="212220.1"/>
    <n v="27.56"/>
  </r>
  <r>
    <s v="8000_0.3_0.5_1000_1.0_order_4"/>
    <x v="2"/>
    <n v="0.3"/>
    <n v="0.5"/>
    <n v="1000"/>
    <n v="1"/>
    <n v="4"/>
    <x v="0"/>
    <n v="280335.2"/>
    <n v="111676"/>
    <n v="168659.20000000001"/>
    <n v="2400"/>
    <n v="603.61"/>
    <n v="64187.199999999997"/>
    <n v="90911.9"/>
    <n v="155099.1"/>
    <n v="41126.300000000003"/>
    <n v="8313"/>
    <n v="49439.3"/>
    <n v="27.04"/>
    <n v="1.77"/>
    <n v="8291.5"/>
    <n v="49417.8"/>
    <n v="605.38"/>
    <n v="2334"/>
    <n v="204516.9"/>
    <n v="27.05"/>
  </r>
  <r>
    <s v="8000_0.3_0.5_1000_1.0_order_4"/>
    <x v="2"/>
    <n v="0.3"/>
    <n v="0.5"/>
    <n v="1000"/>
    <n v="1"/>
    <n v="4"/>
    <x v="1"/>
    <n v="280335.2"/>
    <n v="111676"/>
    <n v="168659.20000000001"/>
    <n v="2400"/>
    <n v="600"/>
    <n v="68289.8"/>
    <n v="92870.7"/>
    <n v="161160.5"/>
    <n v="37784.699999999997"/>
    <n v="9508.4"/>
    <n v="47293.1"/>
    <n v="25.64"/>
    <n v="0.72"/>
    <n v="9273"/>
    <n v="47057.7"/>
    <n v="600.72"/>
    <n v="2400"/>
    <n v="208218.2"/>
    <n v="25.73"/>
  </r>
  <r>
    <s v="8000_0.3_0.5_1000_1.0_order_4"/>
    <x v="2"/>
    <n v="0.3"/>
    <n v="0.5"/>
    <n v="1000"/>
    <n v="1"/>
    <n v="4"/>
    <x v="2"/>
    <n v="280335.2"/>
    <n v="111676"/>
    <n v="168659.20000000001"/>
    <n v="2400"/>
    <n v="600.98"/>
    <n v="63238.7"/>
    <n v="90547.6"/>
    <n v="153786.29999999999"/>
    <n v="38259.4"/>
    <n v="15132.8"/>
    <n v="53392.2"/>
    <n v="26.1"/>
    <n v="6.49"/>
    <n v="14196.2"/>
    <n v="52455.6"/>
    <n v="607.47"/>
    <n v="2235"/>
    <n v="206241.9"/>
    <n v="26.43"/>
  </r>
  <r>
    <s v="8000_0.3_0.5_1000_1.0_order_4"/>
    <x v="2"/>
    <n v="0.3"/>
    <n v="0.5"/>
    <n v="1000"/>
    <n v="1"/>
    <n v="4"/>
    <x v="3"/>
    <n v="280335.2"/>
    <n v="111676"/>
    <n v="168659.20000000001"/>
    <n v="2400"/>
    <n v="600.38"/>
    <n v="66127.600000000006"/>
    <n v="91165.8"/>
    <n v="157293.4"/>
    <n v="42059"/>
    <n v="7874.7"/>
    <n v="49933.7"/>
    <n v="26.08"/>
    <n v="0.48"/>
    <n v="7704.9"/>
    <n v="49763.9"/>
    <n v="600.86"/>
    <n v="2400"/>
    <n v="207057.3"/>
    <n v="26.14"/>
  </r>
  <r>
    <s v="8000_0.3_0.5_1000_1.0_order_5"/>
    <x v="2"/>
    <n v="0.3"/>
    <n v="0.5"/>
    <n v="1000"/>
    <n v="1"/>
    <n v="5"/>
    <x v="0"/>
    <n v="286002.59999999998"/>
    <n v="115303.6"/>
    <n v="170699"/>
    <n v="2400"/>
    <n v="602.66999999999996"/>
    <n v="67648.600000000006"/>
    <n v="91709.5"/>
    <n v="159358.1"/>
    <n v="40305.300000000003"/>
    <n v="8874.7999999999993"/>
    <n v="49180.1"/>
    <n v="27.09"/>
    <n v="1.77"/>
    <n v="8816.7000000000007"/>
    <n v="49122"/>
    <n v="604.44000000000005"/>
    <n v="2321"/>
    <n v="208480.1"/>
    <n v="27.11"/>
  </r>
  <r>
    <s v="8000_0.3_0.5_1000_1.0_order_5"/>
    <x v="2"/>
    <n v="0.3"/>
    <n v="0.5"/>
    <n v="1000"/>
    <n v="1"/>
    <n v="5"/>
    <x v="1"/>
    <n v="286002.59999999998"/>
    <n v="115303.6"/>
    <n v="170699"/>
    <n v="2400"/>
    <n v="600.02"/>
    <n v="70475.600000000006"/>
    <n v="92395.5"/>
    <n v="162871.1"/>
    <n v="39270.1"/>
    <n v="9732"/>
    <n v="49002.1"/>
    <n v="25.92"/>
    <n v="0.62"/>
    <n v="9436.1"/>
    <n v="48706.2"/>
    <n v="600.65"/>
    <n v="2398"/>
    <n v="211577.3"/>
    <n v="26.02"/>
  </r>
  <r>
    <s v="8000_0.3_0.5_1000_1.0_order_5"/>
    <x v="2"/>
    <n v="0.3"/>
    <n v="0.5"/>
    <n v="1000"/>
    <n v="1"/>
    <n v="5"/>
    <x v="2"/>
    <n v="286002.59999999998"/>
    <n v="115303.6"/>
    <n v="170699"/>
    <n v="2400"/>
    <n v="600.07000000000005"/>
    <n v="67574.7"/>
    <n v="90254.8"/>
    <n v="157829.5"/>
    <n v="37462.400000000001"/>
    <n v="15631.9"/>
    <n v="53094.3"/>
    <n v="26.25"/>
    <n v="5.75"/>
    <n v="14469.5"/>
    <n v="51931.9"/>
    <n v="605.82000000000005"/>
    <n v="2231"/>
    <n v="209761.4"/>
    <n v="26.66"/>
  </r>
  <r>
    <s v="8000_0.3_0.5_1000_1.0_order_5"/>
    <x v="2"/>
    <n v="0.3"/>
    <n v="0.5"/>
    <n v="1000"/>
    <n v="1"/>
    <n v="5"/>
    <x v="3"/>
    <n v="286002.59999999998"/>
    <n v="115303.6"/>
    <n v="170699"/>
    <n v="2400"/>
    <n v="600.17999999999995"/>
    <n v="70756.100000000006"/>
    <n v="92020.3"/>
    <n v="162776.4"/>
    <n v="41371.300000000003"/>
    <n v="6983.4"/>
    <n v="48354.7"/>
    <n v="26.18"/>
    <n v="0.42"/>
    <n v="6832.1"/>
    <n v="48203.4"/>
    <n v="600.6"/>
    <n v="2400"/>
    <n v="210979.8"/>
    <n v="26.23"/>
  </r>
  <r>
    <s v="8000_0.3_0.5_1000_2.0_order_1"/>
    <x v="2"/>
    <n v="0.3"/>
    <n v="0.5"/>
    <n v="1000"/>
    <n v="2"/>
    <n v="1"/>
    <x v="0"/>
    <n v="450971.9"/>
    <n v="169991.9"/>
    <n v="280980"/>
    <n v="2400"/>
    <n v="604.45000000000005"/>
    <n v="95116.9"/>
    <n v="147049.4"/>
    <n v="242166.3"/>
    <n v="44196.6"/>
    <n v="11533.2"/>
    <n v="55729.8"/>
    <n v="33.94"/>
    <n v="1.73"/>
    <n v="11472.1"/>
    <n v="55668.7"/>
    <n v="606.17999999999995"/>
    <n v="2394"/>
    <n v="297835"/>
    <n v="33.96"/>
  </r>
  <r>
    <s v="8000_0.3_0.5_1000_2.0_order_1"/>
    <x v="2"/>
    <n v="0.3"/>
    <n v="0.5"/>
    <n v="1000"/>
    <n v="2"/>
    <n v="1"/>
    <x v="1"/>
    <n v="450971.9"/>
    <n v="169991.9"/>
    <n v="280980"/>
    <n v="2400"/>
    <n v="600.02"/>
    <n v="93799.2"/>
    <n v="141831.79999999999"/>
    <n v="235631"/>
    <n v="46607"/>
    <n v="14335.7"/>
    <n v="60942.7"/>
    <n v="34.24"/>
    <n v="1.18"/>
    <n v="13474.9"/>
    <n v="60081.9"/>
    <n v="601.20000000000005"/>
    <n v="2400"/>
    <n v="295712.90000000002"/>
    <n v="34.43"/>
  </r>
  <r>
    <s v="8000_0.3_0.5_1000_2.0_order_1"/>
    <x v="2"/>
    <n v="0.3"/>
    <n v="0.5"/>
    <n v="1000"/>
    <n v="2"/>
    <n v="1"/>
    <x v="2"/>
    <n v="450971.9"/>
    <n v="169991.9"/>
    <n v="280980"/>
    <n v="2400"/>
    <n v="600.36"/>
    <n v="94575.5"/>
    <n v="146706.29999999999"/>
    <n v="241281.8"/>
    <n v="39827.800000000003"/>
    <n v="20664.5"/>
    <n v="60492.3"/>
    <n v="33.08"/>
    <n v="6.33"/>
    <n v="18651.7"/>
    <n v="58479.5"/>
    <n v="606.69000000000005"/>
    <n v="2399"/>
    <n v="299761.3"/>
    <n v="33.53"/>
  </r>
  <r>
    <s v="8000_0.3_0.5_1000_2.0_order_1"/>
    <x v="2"/>
    <n v="0.3"/>
    <n v="0.5"/>
    <n v="1000"/>
    <n v="2"/>
    <n v="1"/>
    <x v="3"/>
    <n v="450971.9"/>
    <n v="169991.9"/>
    <n v="280980"/>
    <n v="2400"/>
    <n v="600.87"/>
    <n v="92566.399999999994"/>
    <n v="141383.9"/>
    <n v="233950.3"/>
    <n v="48888.7"/>
    <n v="12573.1"/>
    <n v="61461.8"/>
    <n v="34.49"/>
    <n v="0.8"/>
    <n v="11893.6"/>
    <n v="60782.3"/>
    <n v="601.67999999999995"/>
    <n v="2400"/>
    <n v="294732.59999999998"/>
    <n v="34.65"/>
  </r>
  <r>
    <s v="8000_0.3_0.5_1000_2.0_order_2"/>
    <x v="2"/>
    <n v="0.3"/>
    <n v="0.5"/>
    <n v="1000"/>
    <n v="2"/>
    <n v="2"/>
    <x v="0"/>
    <n v="447112"/>
    <n v="171904"/>
    <n v="275208"/>
    <n v="2400"/>
    <n v="602.57000000000005"/>
    <n v="97193.1"/>
    <n v="143204.29999999999"/>
    <n v="240397.4"/>
    <n v="44248.4"/>
    <n v="11533.2"/>
    <n v="55781.599999999999"/>
    <n v="33.76"/>
    <n v="1.31"/>
    <n v="11445.7"/>
    <n v="55694.1"/>
    <n v="603.89"/>
    <n v="2389"/>
    <n v="296091.5"/>
    <n v="33.78"/>
  </r>
  <r>
    <s v="8000_0.3_0.5_1000_2.0_order_2"/>
    <x v="2"/>
    <n v="0.3"/>
    <n v="0.5"/>
    <n v="1000"/>
    <n v="2"/>
    <n v="2"/>
    <x v="1"/>
    <n v="447112"/>
    <n v="171904"/>
    <n v="275208"/>
    <n v="2400"/>
    <n v="600.02"/>
    <n v="95731.4"/>
    <n v="137613.6"/>
    <n v="233345"/>
    <n v="47930.9"/>
    <n v="15025.1"/>
    <n v="62956"/>
    <n v="33.729999999999997"/>
    <n v="1.21"/>
    <n v="14158.3"/>
    <n v="62089.2"/>
    <n v="601.23"/>
    <n v="2400"/>
    <n v="295434.2"/>
    <n v="33.92"/>
  </r>
  <r>
    <s v="8000_0.3_0.5_1000_2.0_order_2"/>
    <x v="2"/>
    <n v="0.3"/>
    <n v="0.5"/>
    <n v="1000"/>
    <n v="2"/>
    <n v="2"/>
    <x v="2"/>
    <n v="447112"/>
    <n v="171904"/>
    <n v="275208"/>
    <n v="2400"/>
    <n v="600.05999999999995"/>
    <n v="96215.3"/>
    <n v="142972.9"/>
    <n v="239188.2"/>
    <n v="40670.199999999997"/>
    <n v="21168.6"/>
    <n v="61838.8"/>
    <n v="32.67"/>
    <n v="7.06"/>
    <n v="19103.099999999999"/>
    <n v="59773.3"/>
    <n v="607.11"/>
    <n v="2400"/>
    <n v="298961.5"/>
    <n v="33.130000000000003"/>
  </r>
  <r>
    <s v="8000_0.3_0.5_1000_2.0_order_2"/>
    <x v="2"/>
    <n v="0.3"/>
    <n v="0.5"/>
    <n v="1000"/>
    <n v="2"/>
    <n v="2"/>
    <x v="3"/>
    <n v="447112"/>
    <n v="171904"/>
    <n v="275208"/>
    <n v="2400"/>
    <n v="600.29999999999995"/>
    <n v="94710.9"/>
    <n v="136474.5"/>
    <n v="231185.4"/>
    <n v="49637"/>
    <n v="12550.5"/>
    <n v="62187.5"/>
    <n v="34.380000000000003"/>
    <n v="0.66"/>
    <n v="11967"/>
    <n v="61604"/>
    <n v="600.96"/>
    <n v="2397"/>
    <n v="292789.40000000002"/>
    <n v="34.520000000000003"/>
  </r>
  <r>
    <s v="8000_0.3_0.5_1000_2.0_order_3"/>
    <x v="2"/>
    <n v="0.3"/>
    <n v="0.5"/>
    <n v="1000"/>
    <n v="2"/>
    <n v="3"/>
    <x v="0"/>
    <n v="447008.9"/>
    <n v="167665.79999999999"/>
    <n v="279343.09999999998"/>
    <n v="2400"/>
    <n v="603"/>
    <n v="95470.3"/>
    <n v="145065.70000000001"/>
    <n v="240536"/>
    <n v="44503.7"/>
    <n v="10693.2"/>
    <n v="55196.9"/>
    <n v="33.840000000000003"/>
    <n v="1.52"/>
    <n v="10662.9"/>
    <n v="55166.6"/>
    <n v="604.52"/>
    <n v="2367"/>
    <n v="295702.59999999998"/>
    <n v="33.85"/>
  </r>
  <r>
    <s v="8000_0.3_0.5_1000_2.0_order_3"/>
    <x v="2"/>
    <n v="0.3"/>
    <n v="0.5"/>
    <n v="1000"/>
    <n v="2"/>
    <n v="3"/>
    <x v="1"/>
    <n v="447008.9"/>
    <n v="167665.79999999999"/>
    <n v="279343.09999999998"/>
    <n v="2400"/>
    <n v="600"/>
    <n v="94053.3"/>
    <n v="139387"/>
    <n v="233440.3"/>
    <n v="46331.3"/>
    <n v="15330.5"/>
    <n v="61661.8"/>
    <n v="33.979999999999997"/>
    <n v="1.33"/>
    <n v="14316.7"/>
    <n v="60648"/>
    <n v="601.33000000000004"/>
    <n v="2400"/>
    <n v="294088.3"/>
    <n v="34.21"/>
  </r>
  <r>
    <s v="8000_0.3_0.5_1000_2.0_order_3"/>
    <x v="2"/>
    <n v="0.3"/>
    <n v="0.5"/>
    <n v="1000"/>
    <n v="2"/>
    <n v="3"/>
    <x v="2"/>
    <n v="447008.9"/>
    <n v="167665.79999999999"/>
    <n v="279343.09999999998"/>
    <n v="2400"/>
    <n v="600.29"/>
    <n v="96058.5"/>
    <n v="144860.5"/>
    <n v="240919"/>
    <n v="39852.300000000003"/>
    <n v="20558.8"/>
    <n v="60411.1"/>
    <n v="32.590000000000003"/>
    <n v="6.6"/>
    <n v="18437.2"/>
    <n v="58289.5"/>
    <n v="606.89"/>
    <n v="2400"/>
    <n v="299208.5"/>
    <n v="33.06"/>
  </r>
  <r>
    <s v="8000_0.3_0.5_1000_2.0_order_3"/>
    <x v="2"/>
    <n v="0.3"/>
    <n v="0.5"/>
    <n v="1000"/>
    <n v="2"/>
    <n v="3"/>
    <x v="3"/>
    <n v="447008.9"/>
    <n v="167665.79999999999"/>
    <n v="279343.09999999998"/>
    <n v="2400"/>
    <n v="600.36"/>
    <n v="94419.3"/>
    <n v="140624.5"/>
    <n v="235043.8"/>
    <n v="48734.6"/>
    <n v="12133.4"/>
    <n v="60868"/>
    <n v="33.799999999999997"/>
    <n v="0.79"/>
    <n v="11616.9"/>
    <n v="60351.5"/>
    <n v="601.15"/>
    <n v="2396"/>
    <n v="295395.3"/>
    <n v="33.92"/>
  </r>
  <r>
    <s v="8000_0.3_0.5_1000_2.0_order_4"/>
    <x v="2"/>
    <n v="0.3"/>
    <n v="0.5"/>
    <n v="1000"/>
    <n v="2"/>
    <n v="4"/>
    <x v="0"/>
    <n v="441673.7"/>
    <n v="172616.6"/>
    <n v="269057.09999999998"/>
    <n v="2400"/>
    <n v="600.03"/>
    <n v="94823.3"/>
    <n v="137952.70000000001"/>
    <n v="232776"/>
    <n v="45139.1"/>
    <n v="11592.2"/>
    <n v="56731.3"/>
    <n v="34.450000000000003"/>
    <n v="1.71"/>
    <n v="11533.6"/>
    <n v="56672.7"/>
    <n v="601.73"/>
    <n v="2397"/>
    <n v="289448.7"/>
    <n v="34.47"/>
  </r>
  <r>
    <s v="8000_0.3_0.5_1000_2.0_order_4"/>
    <x v="2"/>
    <n v="0.3"/>
    <n v="0.5"/>
    <n v="1000"/>
    <n v="2"/>
    <n v="4"/>
    <x v="1"/>
    <n v="441673.7"/>
    <n v="172616.6"/>
    <n v="269057.09999999998"/>
    <n v="2400"/>
    <n v="600.02"/>
    <n v="94775"/>
    <n v="133696.6"/>
    <n v="228471.6"/>
    <n v="45807.4"/>
    <n v="14039.5"/>
    <n v="59846.9"/>
    <n v="34.72"/>
    <n v="1.0900000000000001"/>
    <n v="13332.9"/>
    <n v="59140.3"/>
    <n v="601.11"/>
    <n v="2399"/>
    <n v="287611.90000000002"/>
    <n v="34.880000000000003"/>
  </r>
  <r>
    <s v="8000_0.3_0.5_1000_2.0_order_4"/>
    <x v="2"/>
    <n v="0.3"/>
    <n v="0.5"/>
    <n v="1000"/>
    <n v="2"/>
    <n v="4"/>
    <x v="2"/>
    <n v="441673.7"/>
    <n v="172616.6"/>
    <n v="269057.09999999998"/>
    <n v="2400"/>
    <n v="600.47"/>
    <n v="94861.7"/>
    <n v="138637"/>
    <n v="233498.7"/>
    <n v="40912.199999999997"/>
    <n v="20161.3"/>
    <n v="61073.5"/>
    <n v="33.31"/>
    <n v="7.22"/>
    <n v="18313.2"/>
    <n v="59225.4"/>
    <n v="607.70000000000005"/>
    <n v="2400"/>
    <n v="292724.09999999998"/>
    <n v="33.72"/>
  </r>
  <r>
    <s v="8000_0.3_0.5_1000_2.0_order_4"/>
    <x v="2"/>
    <n v="0.3"/>
    <n v="0.5"/>
    <n v="1000"/>
    <n v="2"/>
    <n v="4"/>
    <x v="3"/>
    <n v="441673.7"/>
    <n v="172616.6"/>
    <n v="269057.09999999998"/>
    <n v="2400"/>
    <n v="600.03"/>
    <n v="93585.5"/>
    <n v="131151.1"/>
    <n v="224736.6"/>
    <n v="48869"/>
    <n v="12613.5"/>
    <n v="61482.5"/>
    <n v="35.200000000000003"/>
    <n v="0.76"/>
    <n v="12020.9"/>
    <n v="60889.9"/>
    <n v="600.79"/>
    <n v="2400"/>
    <n v="285626.5"/>
    <n v="35.33"/>
  </r>
  <r>
    <s v="8000_0.3_0.5_1000_2.0_order_5"/>
    <x v="2"/>
    <n v="0.3"/>
    <n v="0.5"/>
    <n v="1000"/>
    <n v="2"/>
    <n v="5"/>
    <x v="0"/>
    <n v="441622.8"/>
    <n v="175651.8"/>
    <n v="265971"/>
    <n v="2400"/>
    <n v="603.86"/>
    <n v="97013.6"/>
    <n v="137192.79999999999"/>
    <n v="234206.4"/>
    <n v="45430.9"/>
    <n v="11475"/>
    <n v="56905.9"/>
    <n v="34.08"/>
    <n v="1.47"/>
    <n v="11418.7"/>
    <n v="56849.599999999999"/>
    <n v="605.33000000000004"/>
    <n v="2395"/>
    <n v="291056"/>
    <n v="34.090000000000003"/>
  </r>
  <r>
    <s v="8000_0.3_0.5_1000_2.0_order_5"/>
    <x v="2"/>
    <n v="0.3"/>
    <n v="0.5"/>
    <n v="1000"/>
    <n v="2"/>
    <n v="5"/>
    <x v="1"/>
    <n v="441622.8"/>
    <n v="175651.8"/>
    <n v="265971"/>
    <n v="2400"/>
    <n v="600.01"/>
    <n v="95642"/>
    <n v="132358.79999999999"/>
    <n v="228000.8"/>
    <n v="47643.7"/>
    <n v="15219.4"/>
    <n v="62863.1"/>
    <n v="34.14"/>
    <n v="1.18"/>
    <n v="14395.7"/>
    <n v="62039.4"/>
    <n v="601.17999999999995"/>
    <n v="2398"/>
    <n v="290040.2"/>
    <n v="34.32"/>
  </r>
  <r>
    <s v="8000_0.3_0.5_1000_2.0_order_5"/>
    <x v="2"/>
    <n v="0.3"/>
    <n v="0.5"/>
    <n v="1000"/>
    <n v="2"/>
    <n v="5"/>
    <x v="2"/>
    <n v="441622.8"/>
    <n v="175651.8"/>
    <n v="265971"/>
    <n v="2400"/>
    <n v="600.13"/>
    <n v="98247.7"/>
    <n v="137994.5"/>
    <n v="236242.2"/>
    <n v="41340.6"/>
    <n v="20531.400000000001"/>
    <n v="61872"/>
    <n v="32.5"/>
    <n v="6.67"/>
    <n v="18638"/>
    <n v="59978.6"/>
    <n v="606.79999999999995"/>
    <n v="2399"/>
    <n v="296220.79999999999"/>
    <n v="32.92"/>
  </r>
  <r>
    <s v="8000_0.3_0.5_1000_2.0_order_5"/>
    <x v="2"/>
    <n v="0.3"/>
    <n v="0.5"/>
    <n v="1000"/>
    <n v="2"/>
    <n v="5"/>
    <x v="3"/>
    <n v="441622.8"/>
    <n v="175651.8"/>
    <n v="265971"/>
    <n v="2400"/>
    <n v="600.12"/>
    <n v="94529.7"/>
    <n v="133582.5"/>
    <n v="228112.2"/>
    <n v="49520.5"/>
    <n v="12141.1"/>
    <n v="61661.599999999999"/>
    <n v="34.380000000000003"/>
    <n v="0.54"/>
    <n v="11481.5"/>
    <n v="61002"/>
    <n v="600.66999999999996"/>
    <n v="2398"/>
    <n v="289114.2"/>
    <n v="34.53"/>
  </r>
  <r>
    <s v="8000_0.3_0.5_1000_3.0_order_1"/>
    <x v="2"/>
    <n v="0.3"/>
    <n v="0.5"/>
    <n v="1000"/>
    <n v="3"/>
    <n v="1"/>
    <x v="0"/>
    <n v="601966.4"/>
    <n v="222890"/>
    <n v="379076.4"/>
    <n v="2400"/>
    <n v="603.6"/>
    <n v="118021.6"/>
    <n v="193406.8"/>
    <n v="311428.40000000002"/>
    <n v="51520.9"/>
    <n v="16659.099999999999"/>
    <n v="68180"/>
    <n v="36.94"/>
    <n v="1.6"/>
    <n v="16597.5"/>
    <n v="68118.399999999994"/>
    <n v="605.20000000000005"/>
    <n v="2399"/>
    <n v="379546.8"/>
    <n v="36.950000000000003"/>
  </r>
  <r>
    <s v="8000_0.3_0.5_1000_3.0_order_1"/>
    <x v="2"/>
    <n v="0.3"/>
    <n v="0.5"/>
    <n v="1000"/>
    <n v="3"/>
    <n v="1"/>
    <x v="1"/>
    <n v="601966.4"/>
    <n v="222890"/>
    <n v="379076.4"/>
    <n v="2400"/>
    <n v="600"/>
    <n v="118611.3"/>
    <n v="193833.5"/>
    <n v="312444.79999999999"/>
    <n v="53198.1"/>
    <n v="20157.7"/>
    <n v="73355.8"/>
    <n v="35.909999999999997"/>
    <n v="1.18"/>
    <n v="19071.400000000001"/>
    <n v="72269.5"/>
    <n v="601.19000000000005"/>
    <n v="2400"/>
    <n v="384714.3"/>
    <n v="36.090000000000003"/>
  </r>
  <r>
    <s v="8000_0.3_0.5_1000_3.0_order_1"/>
    <x v="2"/>
    <n v="0.3"/>
    <n v="0.5"/>
    <n v="1000"/>
    <n v="3"/>
    <n v="1"/>
    <x v="2"/>
    <n v="601966.4"/>
    <n v="222890"/>
    <n v="379076.4"/>
    <n v="2400"/>
    <n v="600.34"/>
    <n v="122023.3"/>
    <n v="199270.9"/>
    <n v="321294.2"/>
    <n v="44840.5"/>
    <n v="23846.400000000001"/>
    <n v="68686.899999999994"/>
    <n v="35.22"/>
    <n v="5.41"/>
    <n v="22150.3"/>
    <n v="66990.8"/>
    <n v="605.75"/>
    <n v="2399"/>
    <n v="388285"/>
    <n v="35.5"/>
  </r>
  <r>
    <s v="8000_0.3_0.5_1000_3.0_order_1"/>
    <x v="2"/>
    <n v="0.3"/>
    <n v="0.5"/>
    <n v="1000"/>
    <n v="3"/>
    <n v="1"/>
    <x v="3"/>
    <n v="601966.4"/>
    <n v="222890"/>
    <n v="379076.4"/>
    <n v="2400"/>
    <n v="600.04"/>
    <n v="119396.6"/>
    <n v="190041.5"/>
    <n v="309438.09999999998"/>
    <n v="54586.5"/>
    <n v="17759.599999999999"/>
    <n v="72346.100000000006"/>
    <n v="36.58"/>
    <n v="0.86"/>
    <n v="17013.8"/>
    <n v="71600.3"/>
    <n v="600.9"/>
    <n v="2399"/>
    <n v="381038.4"/>
    <n v="36.700000000000003"/>
  </r>
  <r>
    <s v="8000_0.3_0.5_1000_3.0_order_2"/>
    <x v="2"/>
    <n v="0.3"/>
    <n v="0.5"/>
    <n v="1000"/>
    <n v="3"/>
    <n v="2"/>
    <x v="0"/>
    <n v="565282.6"/>
    <n v="215214.2"/>
    <n v="350068.4"/>
    <n v="2400"/>
    <n v="603.83000000000004"/>
    <n v="117604.8"/>
    <n v="181910.8"/>
    <n v="299515.59999999998"/>
    <n v="49310.5"/>
    <n v="15534.9"/>
    <n v="64845.4"/>
    <n v="35.54"/>
    <n v="1.6"/>
    <n v="15440.7"/>
    <n v="64751.199999999997"/>
    <n v="605.42999999999995"/>
    <n v="2398"/>
    <n v="364266.8"/>
    <n v="35.56"/>
  </r>
  <r>
    <s v="8000_0.3_0.5_1000_3.0_order_2"/>
    <x v="2"/>
    <n v="0.3"/>
    <n v="0.5"/>
    <n v="1000"/>
    <n v="3"/>
    <n v="2"/>
    <x v="1"/>
    <n v="565282.6"/>
    <n v="215214.2"/>
    <n v="350068.4"/>
    <n v="2400"/>
    <n v="600"/>
    <n v="117479.6"/>
    <n v="180798.4"/>
    <n v="298278"/>
    <n v="51854.7"/>
    <n v="19232.3"/>
    <n v="71087"/>
    <n v="34.659999999999997"/>
    <n v="1.45"/>
    <n v="18173.599999999999"/>
    <n v="70028.3"/>
    <n v="601.46"/>
    <n v="2400"/>
    <n v="368306.3"/>
    <n v="34.85"/>
  </r>
  <r>
    <s v="8000_0.3_0.5_1000_3.0_order_2"/>
    <x v="2"/>
    <n v="0.3"/>
    <n v="0.5"/>
    <n v="1000"/>
    <n v="3"/>
    <n v="2"/>
    <x v="2"/>
    <n v="565282.6"/>
    <n v="215214.2"/>
    <n v="350068.4"/>
    <n v="2400"/>
    <n v="600.83000000000004"/>
    <n v="118963.6"/>
    <n v="186074.7"/>
    <n v="305038.3"/>
    <n v="44450.5"/>
    <n v="23449.8"/>
    <n v="67900.3"/>
    <n v="34.03"/>
    <n v="6.62"/>
    <n v="21543"/>
    <n v="65993.5"/>
    <n v="607.45000000000005"/>
    <n v="2399"/>
    <n v="371031.8"/>
    <n v="34.36"/>
  </r>
  <r>
    <s v="8000_0.3_0.5_1000_3.0_order_2"/>
    <x v="2"/>
    <n v="0.3"/>
    <n v="0.5"/>
    <n v="1000"/>
    <n v="3"/>
    <n v="2"/>
    <x v="3"/>
    <n v="565282.6"/>
    <n v="215214.2"/>
    <n v="350068.4"/>
    <n v="2400"/>
    <n v="600.44000000000005"/>
    <n v="117473"/>
    <n v="180289.4"/>
    <n v="297762.40000000002"/>
    <n v="53501.9"/>
    <n v="16214.5"/>
    <n v="69716.399999999994"/>
    <n v="34.99"/>
    <n v="0.93"/>
    <n v="15468.9"/>
    <n v="68970.8"/>
    <n v="601.37"/>
    <n v="2397"/>
    <n v="366733.2"/>
    <n v="35.119999999999997"/>
  </r>
  <r>
    <s v="8000_0.3_0.5_1000_3.0_order_3"/>
    <x v="2"/>
    <n v="0.3"/>
    <n v="0.5"/>
    <n v="1000"/>
    <n v="3"/>
    <n v="3"/>
    <x v="0"/>
    <n v="586619.6"/>
    <n v="224384.6"/>
    <n v="362235"/>
    <n v="2400"/>
    <n v="603.27"/>
    <n v="121300.5"/>
    <n v="185305.3"/>
    <n v="306605.8"/>
    <n v="49613.8"/>
    <n v="14638"/>
    <n v="64251.8"/>
    <n v="36.78"/>
    <n v="1.41"/>
    <n v="14550.8"/>
    <n v="64164.6"/>
    <n v="604.66999999999996"/>
    <n v="2396"/>
    <n v="370770.4"/>
    <n v="36.799999999999997"/>
  </r>
  <r>
    <s v="8000_0.3_0.5_1000_3.0_order_3"/>
    <x v="2"/>
    <n v="0.3"/>
    <n v="0.5"/>
    <n v="1000"/>
    <n v="3"/>
    <n v="3"/>
    <x v="1"/>
    <n v="586619.6"/>
    <n v="224384.6"/>
    <n v="362235"/>
    <n v="2400"/>
    <n v="600.02"/>
    <n v="121221.7"/>
    <n v="183945.4"/>
    <n v="305167.09999999998"/>
    <n v="52629.2"/>
    <n v="18517.3"/>
    <n v="71146.5"/>
    <n v="35.85"/>
    <n v="1.28"/>
    <n v="17651.599999999999"/>
    <n v="70280.800000000003"/>
    <n v="601.29999999999995"/>
    <n v="2400"/>
    <n v="375447.9"/>
    <n v="36"/>
  </r>
  <r>
    <s v="8000_0.3_0.5_1000_3.0_order_3"/>
    <x v="2"/>
    <n v="0.3"/>
    <n v="0.5"/>
    <n v="1000"/>
    <n v="3"/>
    <n v="3"/>
    <x v="2"/>
    <n v="586619.6"/>
    <n v="224384.6"/>
    <n v="362235"/>
    <n v="2400"/>
    <n v="600.35"/>
    <n v="122485.1"/>
    <n v="188127.2"/>
    <n v="310612.3"/>
    <n v="44507.1"/>
    <n v="23763.1"/>
    <n v="68270.2"/>
    <n v="35.409999999999997"/>
    <n v="6.57"/>
    <n v="21810.799999999999"/>
    <n v="66317.899999999994"/>
    <n v="606.91999999999996"/>
    <n v="2400"/>
    <n v="376930.2"/>
    <n v="35.75"/>
  </r>
  <r>
    <s v="8000_0.3_0.5_1000_3.0_order_3"/>
    <x v="2"/>
    <n v="0.3"/>
    <n v="0.5"/>
    <n v="1000"/>
    <n v="3"/>
    <n v="3"/>
    <x v="3"/>
    <n v="586619.6"/>
    <n v="224384.6"/>
    <n v="362235"/>
    <n v="2400"/>
    <n v="600.72"/>
    <n v="121585.5"/>
    <n v="184656.2"/>
    <n v="306241.7"/>
    <n v="53718.5"/>
    <n v="16068.7"/>
    <n v="69787.199999999997"/>
    <n v="35.9"/>
    <n v="0.9"/>
    <n v="15403.1"/>
    <n v="69121.600000000006"/>
    <n v="601.62"/>
    <n v="2400"/>
    <n v="375363.3"/>
    <n v="36.01"/>
  </r>
  <r>
    <s v="8000_0.3_0.5_1000_3.0_order_4"/>
    <x v="2"/>
    <n v="0.3"/>
    <n v="0.5"/>
    <n v="1000"/>
    <n v="3"/>
    <n v="4"/>
    <x v="0"/>
    <n v="588648.9"/>
    <n v="222740.3"/>
    <n v="365908.6"/>
    <n v="2400"/>
    <n v="601.75"/>
    <n v="119209.8"/>
    <n v="193566.6"/>
    <n v="312776.40000000002"/>
    <n v="49395.6"/>
    <n v="15602.4"/>
    <n v="64998"/>
    <n v="35.82"/>
    <n v="1.41"/>
    <n v="15507"/>
    <n v="64902.6"/>
    <n v="603.16999999999996"/>
    <n v="2395"/>
    <n v="377679"/>
    <n v="35.840000000000003"/>
  </r>
  <r>
    <s v="8000_0.3_0.5_1000_3.0_order_4"/>
    <x v="2"/>
    <n v="0.3"/>
    <n v="0.5"/>
    <n v="1000"/>
    <n v="3"/>
    <n v="4"/>
    <x v="1"/>
    <n v="588648.9"/>
    <n v="222740.3"/>
    <n v="365908.6"/>
    <n v="2400"/>
    <n v="600.05999999999995"/>
    <n v="120982.9"/>
    <n v="190932.4"/>
    <n v="311915.3"/>
    <n v="51462.5"/>
    <n v="19854.3"/>
    <n v="71316.800000000003"/>
    <n v="34.9"/>
    <n v="1.53"/>
    <n v="18620.900000000001"/>
    <n v="70083.399999999994"/>
    <n v="601.59"/>
    <n v="2400"/>
    <n v="381998.7"/>
    <n v="35.11"/>
  </r>
  <r>
    <s v="8000_0.3_0.5_1000_3.0_order_4"/>
    <x v="2"/>
    <n v="0.3"/>
    <n v="0.5"/>
    <n v="1000"/>
    <n v="3"/>
    <n v="4"/>
    <x v="2"/>
    <n v="588648.9"/>
    <n v="222740.3"/>
    <n v="365908.6"/>
    <n v="2400"/>
    <n v="600.71"/>
    <n v="121733.3"/>
    <n v="197946.5"/>
    <n v="319679.8"/>
    <n v="44052"/>
    <n v="23633.3"/>
    <n v="67685.3"/>
    <n v="34.19"/>
    <n v="6.76"/>
    <n v="21742.1"/>
    <n v="65794.100000000006"/>
    <n v="607.47"/>
    <n v="2399"/>
    <n v="385473.9"/>
    <n v="34.520000000000003"/>
  </r>
  <r>
    <s v="8000_0.3_0.5_1000_3.0_order_4"/>
    <x v="2"/>
    <n v="0.3"/>
    <n v="0.5"/>
    <n v="1000"/>
    <n v="3"/>
    <n v="4"/>
    <x v="3"/>
    <n v="588648.9"/>
    <n v="222740.3"/>
    <n v="365908.6"/>
    <n v="2400"/>
    <n v="600.01"/>
    <n v="121472.4"/>
    <n v="195476.9"/>
    <n v="316949.3"/>
    <n v="52662.9"/>
    <n v="16149.5"/>
    <n v="68812.399999999994"/>
    <n v="34.47"/>
    <n v="0.92"/>
    <n v="15395.5"/>
    <n v="68058.399999999994"/>
    <n v="600.92999999999995"/>
    <n v="2400"/>
    <n v="385007.7"/>
    <n v="34.590000000000003"/>
  </r>
  <r>
    <s v="8000_0.3_0.5_1000_3.0_order_5"/>
    <x v="2"/>
    <n v="0.3"/>
    <n v="0.5"/>
    <n v="1000"/>
    <n v="3"/>
    <n v="5"/>
    <x v="0"/>
    <n v="594008.5"/>
    <n v="227482.3"/>
    <n v="366526.2"/>
    <n v="2400"/>
    <n v="603.14"/>
    <n v="123518.3"/>
    <n v="190296.4"/>
    <n v="313814.7"/>
    <n v="49350.400000000001"/>
    <n v="15803.8"/>
    <n v="65154.2"/>
    <n v="36.200000000000003"/>
    <n v="1.33"/>
    <n v="15693.3"/>
    <n v="65043.7"/>
    <n v="604.47"/>
    <n v="2203"/>
    <n v="378858.4"/>
    <n v="36.22"/>
  </r>
  <r>
    <s v="8000_0.3_0.5_1000_3.0_order_5"/>
    <x v="2"/>
    <n v="0.3"/>
    <n v="0.5"/>
    <n v="1000"/>
    <n v="3"/>
    <n v="5"/>
    <x v="1"/>
    <n v="594008.5"/>
    <n v="227482.3"/>
    <n v="366526.2"/>
    <n v="2400"/>
    <n v="600.03"/>
    <n v="123307"/>
    <n v="187477.7"/>
    <n v="310784.7"/>
    <n v="53152.4"/>
    <n v="19418.8"/>
    <n v="72571.199999999997"/>
    <n v="35.46"/>
    <n v="1.3"/>
    <n v="18476.8"/>
    <n v="71629.2"/>
    <n v="601.33000000000004"/>
    <n v="2400"/>
    <n v="382413.9"/>
    <n v="35.619999999999997"/>
  </r>
  <r>
    <s v="8000_0.3_0.5_1000_3.0_order_5"/>
    <x v="2"/>
    <n v="0.3"/>
    <n v="0.5"/>
    <n v="1000"/>
    <n v="3"/>
    <n v="5"/>
    <x v="2"/>
    <n v="594008.5"/>
    <n v="227482.3"/>
    <n v="366526.2"/>
    <n v="2400"/>
    <n v="600.01"/>
    <n v="125263.3"/>
    <n v="194178.2"/>
    <n v="319441.5"/>
    <n v="44857.8"/>
    <n v="24471.7"/>
    <n v="69329.5"/>
    <n v="34.549999999999997"/>
    <n v="5.56"/>
    <n v="22285.8"/>
    <n v="67143.600000000006"/>
    <n v="605.57000000000005"/>
    <n v="2399"/>
    <n v="386585.1"/>
    <n v="34.92"/>
  </r>
  <r>
    <s v="8000_0.3_0.5_1000_3.0_order_5"/>
    <x v="2"/>
    <n v="0.3"/>
    <n v="0.5"/>
    <n v="1000"/>
    <n v="3"/>
    <n v="5"/>
    <x v="3"/>
    <n v="594008.5"/>
    <n v="227482.3"/>
    <n v="366526.2"/>
    <n v="2400"/>
    <n v="600.38"/>
    <n v="123070.5"/>
    <n v="185994.9"/>
    <n v="309065.40000000002"/>
    <n v="55121.1"/>
    <n v="16722.5"/>
    <n v="71843.600000000006"/>
    <n v="35.869999999999997"/>
    <n v="0.77"/>
    <n v="15965.1"/>
    <n v="71086.2"/>
    <n v="601.15"/>
    <n v="2398"/>
    <n v="380151.6"/>
    <n v="36"/>
  </r>
  <r>
    <s v="8000_0.4_0.5_1000_1.0_order_1"/>
    <x v="2"/>
    <n v="0.4"/>
    <n v="0.5"/>
    <n v="1000"/>
    <n v="1"/>
    <n v="1"/>
    <x v="0"/>
    <n v="278509.5"/>
    <n v="112049.60000000001"/>
    <n v="166459.9"/>
    <n v="2400"/>
    <n v="602.94000000000005"/>
    <n v="60462.400000000001"/>
    <n v="86836.2"/>
    <n v="147298.6"/>
    <n v="39711"/>
    <n v="10442.4"/>
    <n v="50153.4"/>
    <n v="29.1"/>
    <n v="1.57"/>
    <n v="10432.6"/>
    <n v="50143.6"/>
    <n v="604.51"/>
    <n v="2136"/>
    <n v="197442.2"/>
    <n v="29.11"/>
  </r>
  <r>
    <s v="8000_0.4_0.5_1000_1.0_order_1"/>
    <x v="2"/>
    <n v="0.4"/>
    <n v="0.5"/>
    <n v="1000"/>
    <n v="1"/>
    <n v="1"/>
    <x v="1"/>
    <n v="278509.5"/>
    <n v="112049.60000000001"/>
    <n v="166459.9"/>
    <n v="2400"/>
    <n v="600.03"/>
    <n v="66589.8"/>
    <n v="89655.5"/>
    <n v="156245.29999999999"/>
    <n v="35343"/>
    <n v="12427.5"/>
    <n v="47770.5"/>
    <n v="26.75"/>
    <n v="1.1100000000000001"/>
    <n v="12099.7"/>
    <n v="47442.7"/>
    <n v="601.14"/>
    <n v="2138"/>
    <n v="203688"/>
    <n v="26.86"/>
  </r>
  <r>
    <s v="8000_0.4_0.5_1000_1.0_order_1"/>
    <x v="2"/>
    <n v="0.4"/>
    <n v="0.5"/>
    <n v="1000"/>
    <n v="1"/>
    <n v="1"/>
    <x v="2"/>
    <n v="278509.5"/>
    <n v="112049.60000000001"/>
    <n v="166459.9"/>
    <n v="2400"/>
    <n v="600.01"/>
    <n v="60536.2"/>
    <n v="85303.7"/>
    <n v="145839.9"/>
    <n v="37211.1"/>
    <n v="17081.2"/>
    <n v="54292.3"/>
    <n v="28.14"/>
    <n v="6.55"/>
    <n v="16089"/>
    <n v="53300.1"/>
    <n v="606.55999999999995"/>
    <n v="2102"/>
    <n v="199140"/>
    <n v="28.5"/>
  </r>
  <r>
    <s v="8000_0.4_0.5_1000_1.0_order_1"/>
    <x v="2"/>
    <n v="0.4"/>
    <n v="0.5"/>
    <n v="1000"/>
    <n v="1"/>
    <n v="1"/>
    <x v="3"/>
    <n v="278509.5"/>
    <n v="112049.60000000001"/>
    <n v="166459.9"/>
    <n v="2400"/>
    <n v="600.54"/>
    <n v="61798.8"/>
    <n v="85717.9"/>
    <n v="147516.70000000001"/>
    <n v="43230"/>
    <n v="10268.6"/>
    <n v="53498.6"/>
    <n v="27.82"/>
    <n v="0.69"/>
    <n v="9979.7999999999993"/>
    <n v="53209.8"/>
    <n v="601.23"/>
    <n v="2399"/>
    <n v="200726.5"/>
    <n v="27.93"/>
  </r>
  <r>
    <s v="8000_0.4_0.5_1000_1.0_order_2"/>
    <x v="2"/>
    <n v="0.4"/>
    <n v="0.5"/>
    <n v="1000"/>
    <n v="1"/>
    <n v="2"/>
    <x v="0"/>
    <n v="283492.90000000002"/>
    <n v="109140.8"/>
    <n v="174352.1"/>
    <n v="2400"/>
    <n v="600.01"/>
    <n v="60420"/>
    <n v="92057.2"/>
    <n v="152477.20000000001"/>
    <n v="38765.800000000003"/>
    <n v="10392.299999999999"/>
    <n v="49158.1"/>
    <n v="28.87"/>
    <n v="1.46"/>
    <n v="10369.299999999999"/>
    <n v="49135.1"/>
    <n v="601.47"/>
    <n v="2050"/>
    <n v="201612.3"/>
    <n v="28.88"/>
  </r>
  <r>
    <s v="8000_0.4_0.5_1000_1.0_order_2"/>
    <x v="2"/>
    <n v="0.4"/>
    <n v="0.5"/>
    <n v="1000"/>
    <n v="1"/>
    <n v="2"/>
    <x v="1"/>
    <n v="283492.90000000002"/>
    <n v="109140.8"/>
    <n v="174352.1"/>
    <n v="2400"/>
    <n v="600.02"/>
    <n v="63296.1"/>
    <n v="93603.8"/>
    <n v="156899.9"/>
    <n v="36825.699999999997"/>
    <n v="12371.1"/>
    <n v="49196.800000000003"/>
    <n v="27.3"/>
    <n v="1.3"/>
    <n v="12061.7"/>
    <n v="48887.4"/>
    <n v="601.32000000000005"/>
    <n v="2234"/>
    <n v="205787.3"/>
    <n v="27.41"/>
  </r>
  <r>
    <s v="8000_0.4_0.5_1000_1.0_order_2"/>
    <x v="2"/>
    <n v="0.4"/>
    <n v="0.5"/>
    <n v="1000"/>
    <n v="1"/>
    <n v="2"/>
    <x v="2"/>
    <n v="283492.90000000002"/>
    <n v="109140.8"/>
    <n v="174352.1"/>
    <n v="2400"/>
    <n v="600.02"/>
    <n v="59469"/>
    <n v="88974.6"/>
    <n v="148443.6"/>
    <n v="37809.800000000003"/>
    <n v="17747.7"/>
    <n v="55557.5"/>
    <n v="28.04"/>
    <n v="6.54"/>
    <n v="16762.599999999999"/>
    <n v="54572.4"/>
    <n v="606.55999999999995"/>
    <n v="2129"/>
    <n v="203016"/>
    <n v="28.39"/>
  </r>
  <r>
    <s v="8000_0.4_0.5_1000_1.0_order_2"/>
    <x v="2"/>
    <n v="0.4"/>
    <n v="0.5"/>
    <n v="1000"/>
    <n v="1"/>
    <n v="2"/>
    <x v="3"/>
    <n v="283492.90000000002"/>
    <n v="109140.8"/>
    <n v="174352.1"/>
    <n v="2400"/>
    <n v="600.32000000000005"/>
    <n v="60319.8"/>
    <n v="89034.6"/>
    <n v="149354.4"/>
    <n v="43607.6"/>
    <n v="10462.9"/>
    <n v="54070.5"/>
    <n v="28.24"/>
    <n v="0.79"/>
    <n v="10157.299999999999"/>
    <n v="53764.9"/>
    <n v="601.1"/>
    <n v="2399"/>
    <n v="203119.3"/>
    <n v="28.35"/>
  </r>
  <r>
    <s v="8000_0.4_0.5_1000_1.0_order_3"/>
    <x v="2"/>
    <n v="0.4"/>
    <n v="0.5"/>
    <n v="1000"/>
    <n v="1"/>
    <n v="3"/>
    <x v="0"/>
    <n v="288322.90000000002"/>
    <n v="112088.6"/>
    <n v="176234.3"/>
    <n v="2400"/>
    <n v="602.67999999999995"/>
    <n v="62267.6"/>
    <n v="91114"/>
    <n v="153381.6"/>
    <n v="39713.300000000003"/>
    <n v="10430.700000000001"/>
    <n v="50144"/>
    <n v="29.41"/>
    <n v="1.53"/>
    <n v="10414.6"/>
    <n v="50127.9"/>
    <n v="604.21"/>
    <n v="2037"/>
    <n v="203509.5"/>
    <n v="29.42"/>
  </r>
  <r>
    <s v="8000_0.4_0.5_1000_1.0_order_3"/>
    <x v="2"/>
    <n v="0.4"/>
    <n v="0.5"/>
    <n v="1000"/>
    <n v="1"/>
    <n v="3"/>
    <x v="1"/>
    <n v="288322.90000000002"/>
    <n v="112088.6"/>
    <n v="176234.3"/>
    <n v="2400"/>
    <n v="600.04"/>
    <n v="64021.8"/>
    <n v="90410.4"/>
    <n v="154432.20000000001"/>
    <n v="38381.699999999997"/>
    <n v="13674.2"/>
    <n v="52055.9"/>
    <n v="28.38"/>
    <n v="1.42"/>
    <n v="13258.1"/>
    <n v="51639.8"/>
    <n v="601.46"/>
    <n v="2400"/>
    <n v="206072"/>
    <n v="28.53"/>
  </r>
  <r>
    <s v="8000_0.4_0.5_1000_1.0_order_3"/>
    <x v="2"/>
    <n v="0.4"/>
    <n v="0.5"/>
    <n v="1000"/>
    <n v="1"/>
    <n v="3"/>
    <x v="2"/>
    <n v="288322.90000000002"/>
    <n v="112088.6"/>
    <n v="176234.3"/>
    <n v="2400"/>
    <n v="600.76"/>
    <n v="60406"/>
    <n v="87859.199999999997"/>
    <n v="148265.20000000001"/>
    <n v="38905.5"/>
    <n v="17666.2"/>
    <n v="56571.7"/>
    <n v="28.96"/>
    <n v="5.97"/>
    <n v="16637.900000000001"/>
    <n v="55543.4"/>
    <n v="606.73"/>
    <n v="2193"/>
    <n v="203808.6"/>
    <n v="29.31"/>
  </r>
  <r>
    <s v="8000_0.4_0.5_1000_1.0_order_3"/>
    <x v="2"/>
    <n v="0.4"/>
    <n v="0.5"/>
    <n v="1000"/>
    <n v="1"/>
    <n v="3"/>
    <x v="3"/>
    <n v="288322.90000000002"/>
    <n v="112088.6"/>
    <n v="176234.3"/>
    <n v="2400"/>
    <n v="600.37"/>
    <n v="63653.2"/>
    <n v="89904.7"/>
    <n v="153557.9"/>
    <n v="42309.7"/>
    <n v="10631.3"/>
    <n v="52941"/>
    <n v="28.38"/>
    <n v="0.93"/>
    <n v="10321"/>
    <n v="52630.7"/>
    <n v="601.29999999999995"/>
    <n v="2399"/>
    <n v="206188.6"/>
    <n v="28.49"/>
  </r>
  <r>
    <s v="8000_0.4_0.5_1000_1.0_order_4"/>
    <x v="2"/>
    <n v="0.4"/>
    <n v="0.5"/>
    <n v="1000"/>
    <n v="1"/>
    <n v="4"/>
    <x v="0"/>
    <n v="273858.09999999998"/>
    <n v="109017.3"/>
    <n v="164840.79999999999"/>
    <n v="2400"/>
    <n v="601.89"/>
    <n v="61460.9"/>
    <n v="86648.9"/>
    <n v="148109.79999999999"/>
    <n v="39292.5"/>
    <n v="10499.6"/>
    <n v="49792.1"/>
    <n v="27.74"/>
    <n v="1.63"/>
    <n v="10468.6"/>
    <n v="49761.1"/>
    <n v="603.52"/>
    <n v="2094"/>
    <n v="197870.9"/>
    <n v="27.75"/>
  </r>
  <r>
    <s v="8000_0.4_0.5_1000_1.0_order_4"/>
    <x v="2"/>
    <n v="0.4"/>
    <n v="0.5"/>
    <n v="1000"/>
    <n v="1"/>
    <n v="4"/>
    <x v="1"/>
    <n v="273858.09999999998"/>
    <n v="109017.3"/>
    <n v="164840.79999999999"/>
    <n v="2400"/>
    <n v="600"/>
    <n v="66004.7"/>
    <n v="91066.9"/>
    <n v="157071.6"/>
    <n v="33860.400000000001"/>
    <n v="12230.7"/>
    <n v="46091.1"/>
    <n v="25.81"/>
    <n v="1.29"/>
    <n v="11880.5"/>
    <n v="45740.9"/>
    <n v="601.29"/>
    <n v="2136"/>
    <n v="202812.5"/>
    <n v="25.94"/>
  </r>
  <r>
    <s v="8000_0.4_0.5_1000_1.0_order_4"/>
    <x v="2"/>
    <n v="0.4"/>
    <n v="0.5"/>
    <n v="1000"/>
    <n v="1"/>
    <n v="4"/>
    <x v="2"/>
    <n v="273858.09999999998"/>
    <n v="109017.3"/>
    <n v="164840.79999999999"/>
    <n v="2400"/>
    <n v="600.01"/>
    <n v="61095"/>
    <n v="86533.5"/>
    <n v="147628.5"/>
    <n v="36640.699999999997"/>
    <n v="17066.900000000001"/>
    <n v="53707.6"/>
    <n v="26.48"/>
    <n v="5.92"/>
    <n v="16117.5"/>
    <n v="52758.2"/>
    <n v="605.94000000000005"/>
    <n v="2114"/>
    <n v="200386.7"/>
    <n v="26.83"/>
  </r>
  <r>
    <s v="8000_0.4_0.5_1000_1.0_order_4"/>
    <x v="2"/>
    <n v="0.4"/>
    <n v="0.5"/>
    <n v="1000"/>
    <n v="1"/>
    <n v="4"/>
    <x v="3"/>
    <n v="273858.09999999998"/>
    <n v="109017.3"/>
    <n v="164840.79999999999"/>
    <n v="2400"/>
    <n v="600.1"/>
    <n v="62076.2"/>
    <n v="86072.2"/>
    <n v="148148.4"/>
    <n v="43195"/>
    <n v="9773.2999999999993"/>
    <n v="52968.3"/>
    <n v="26.56"/>
    <n v="0.73"/>
    <n v="9535"/>
    <n v="52730"/>
    <n v="600.83000000000004"/>
    <n v="2368"/>
    <n v="200878.4"/>
    <n v="26.65"/>
  </r>
  <r>
    <s v="8000_0.4_0.5_1000_1.0_order_5"/>
    <x v="2"/>
    <n v="0.4"/>
    <n v="0.5"/>
    <n v="1000"/>
    <n v="1"/>
    <n v="5"/>
    <x v="0"/>
    <n v="283949.09999999998"/>
    <n v="113617.60000000001"/>
    <n v="170331.5"/>
    <n v="2400"/>
    <n v="602.70000000000005"/>
    <n v="64372"/>
    <n v="90275"/>
    <n v="154647"/>
    <n v="38230.1"/>
    <n v="10795.7"/>
    <n v="49025.8"/>
    <n v="28.27"/>
    <n v="1.53"/>
    <n v="10766.5"/>
    <n v="48996.6"/>
    <n v="604.23"/>
    <n v="2076"/>
    <n v="203643.6"/>
    <n v="28.28"/>
  </r>
  <r>
    <s v="8000_0.4_0.5_1000_1.0_order_5"/>
    <x v="2"/>
    <n v="0.4"/>
    <n v="0.5"/>
    <n v="1000"/>
    <n v="1"/>
    <n v="5"/>
    <x v="1"/>
    <n v="283949.09999999998"/>
    <n v="113617.60000000001"/>
    <n v="170331.5"/>
    <n v="2400"/>
    <n v="600"/>
    <n v="67747.7"/>
    <n v="92472.9"/>
    <n v="160220.6"/>
    <n v="35769.1"/>
    <n v="12281.4"/>
    <n v="48050.5"/>
    <n v="26.65"/>
    <n v="1.3"/>
    <n v="11862.9"/>
    <n v="47632"/>
    <n v="601.29999999999995"/>
    <n v="2324"/>
    <n v="207852.6"/>
    <n v="26.8"/>
  </r>
  <r>
    <s v="8000_0.4_0.5_1000_1.0_order_5"/>
    <x v="2"/>
    <n v="0.4"/>
    <n v="0.5"/>
    <n v="1000"/>
    <n v="1"/>
    <n v="5"/>
    <x v="2"/>
    <n v="283949.09999999998"/>
    <n v="113617.60000000001"/>
    <n v="170331.5"/>
    <n v="2400"/>
    <n v="600.14"/>
    <n v="64511.3"/>
    <n v="88602.1"/>
    <n v="153113.4"/>
    <n v="36128.400000000001"/>
    <n v="16357.7"/>
    <n v="52486.1"/>
    <n v="27.59"/>
    <n v="6.99"/>
    <n v="15353.7"/>
    <n v="51482.1"/>
    <n v="607.13"/>
    <n v="2097"/>
    <n v="204595.5"/>
    <n v="27.95"/>
  </r>
  <r>
    <s v="8000_0.4_0.5_1000_1.0_order_5"/>
    <x v="2"/>
    <n v="0.4"/>
    <n v="0.5"/>
    <n v="1000"/>
    <n v="1"/>
    <n v="5"/>
    <x v="3"/>
    <n v="283949.09999999998"/>
    <n v="113617.60000000001"/>
    <n v="170331.5"/>
    <n v="2400"/>
    <n v="600.53"/>
    <n v="65796.2"/>
    <n v="90961.600000000006"/>
    <n v="156757.79999999999"/>
    <n v="40168.5"/>
    <n v="9571.6"/>
    <n v="49740.1"/>
    <n v="27.28"/>
    <n v="0.79"/>
    <n v="9314.7999999999993"/>
    <n v="49483.3"/>
    <n v="601.32000000000005"/>
    <n v="2399"/>
    <n v="206241.1"/>
    <n v="27.37"/>
  </r>
  <r>
    <s v="8000_0.4_0.5_1000_2.0_order_1"/>
    <x v="2"/>
    <n v="0.4"/>
    <n v="0.5"/>
    <n v="1000"/>
    <n v="2"/>
    <n v="1"/>
    <x v="0"/>
    <n v="435805.3"/>
    <n v="168093.4"/>
    <n v="267711.90000000002"/>
    <n v="2400"/>
    <n v="604.46"/>
    <n v="90238.3"/>
    <n v="132292.9"/>
    <n v="222531.20000000001"/>
    <n v="44177.2"/>
    <n v="13971.5"/>
    <n v="58148.7"/>
    <n v="35.6"/>
    <n v="2.63"/>
    <n v="13935.5"/>
    <n v="58112.7"/>
    <n v="607.09"/>
    <n v="2400"/>
    <n v="280643.90000000002"/>
    <n v="35.6"/>
  </r>
  <r>
    <s v="8000_0.4_0.5_1000_2.0_order_1"/>
    <x v="2"/>
    <n v="0.4"/>
    <n v="0.5"/>
    <n v="1000"/>
    <n v="2"/>
    <n v="1"/>
    <x v="1"/>
    <n v="435805.3"/>
    <n v="168093.4"/>
    <n v="267711.90000000002"/>
    <n v="2400"/>
    <n v="600.03"/>
    <n v="88618.9"/>
    <n v="125812.5"/>
    <n v="214431.4"/>
    <n v="45803.5"/>
    <n v="19489"/>
    <n v="65292.5"/>
    <n v="35.81"/>
    <n v="2.09"/>
    <n v="18331"/>
    <n v="64134.5"/>
    <n v="602.12"/>
    <n v="2400"/>
    <n v="278565.90000000002"/>
    <n v="36.08"/>
  </r>
  <r>
    <s v="8000_0.4_0.5_1000_2.0_order_1"/>
    <x v="2"/>
    <n v="0.4"/>
    <n v="0.5"/>
    <n v="1000"/>
    <n v="2"/>
    <n v="1"/>
    <x v="2"/>
    <n v="435805.3"/>
    <n v="168093.4"/>
    <n v="267711.90000000002"/>
    <n v="2400"/>
    <n v="600.70000000000005"/>
    <n v="89565.5"/>
    <n v="129813.6"/>
    <n v="219379.1"/>
    <n v="41157.4"/>
    <n v="22727.200000000001"/>
    <n v="63884.6"/>
    <n v="35"/>
    <n v="6.88"/>
    <n v="20774.5"/>
    <n v="61931.9"/>
    <n v="607.57000000000005"/>
    <n v="2400"/>
    <n v="281311"/>
    <n v="35.450000000000003"/>
  </r>
  <r>
    <s v="8000_0.4_0.5_1000_2.0_order_1"/>
    <x v="2"/>
    <n v="0.4"/>
    <n v="0.5"/>
    <n v="1000"/>
    <n v="2"/>
    <n v="1"/>
    <x v="3"/>
    <n v="435805.3"/>
    <n v="168093.4"/>
    <n v="267711.90000000002"/>
    <n v="2400"/>
    <n v="600.92999999999995"/>
    <n v="87863.6"/>
    <n v="124560.9"/>
    <n v="212424.5"/>
    <n v="48594.6"/>
    <n v="16244.6"/>
    <n v="64839.199999999997"/>
    <n v="36.380000000000003"/>
    <n v="1.17"/>
    <n v="15196.1"/>
    <n v="63790.7"/>
    <n v="602.1"/>
    <n v="2394"/>
    <n v="276215.2"/>
    <n v="36.619999999999997"/>
  </r>
  <r>
    <s v="8000_0.4_0.5_1000_2.0_order_2"/>
    <x v="2"/>
    <n v="0.4"/>
    <n v="0.5"/>
    <n v="1000"/>
    <n v="2"/>
    <n v="2"/>
    <x v="0"/>
    <n v="442496.5"/>
    <n v="166733.79999999999"/>
    <n v="275762.7"/>
    <n v="2400"/>
    <n v="600.07000000000005"/>
    <n v="89421.6"/>
    <n v="134964.5"/>
    <n v="224386.1"/>
    <n v="45513.5"/>
    <n v="14469.8"/>
    <n v="59983.3"/>
    <n v="35.74"/>
    <n v="2.44"/>
    <n v="14424"/>
    <n v="59937.5"/>
    <n v="602.51"/>
    <n v="2355"/>
    <n v="284323.59999999998"/>
    <n v="35.75"/>
  </r>
  <r>
    <s v="8000_0.4_0.5_1000_2.0_order_2"/>
    <x v="2"/>
    <n v="0.4"/>
    <n v="0.5"/>
    <n v="1000"/>
    <n v="2"/>
    <n v="2"/>
    <x v="1"/>
    <n v="442496.5"/>
    <n v="166733.79999999999"/>
    <n v="275762.7"/>
    <n v="2400"/>
    <n v="600.03"/>
    <n v="88827.3"/>
    <n v="128692.1"/>
    <n v="217519.4"/>
    <n v="46931.8"/>
    <n v="18806.400000000001"/>
    <n v="65738.2"/>
    <n v="35.99"/>
    <n v="1.69"/>
    <n v="17627.400000000001"/>
    <n v="64559.199999999997"/>
    <n v="601.72"/>
    <n v="2400"/>
    <n v="282078.59999999998"/>
    <n v="36.25"/>
  </r>
  <r>
    <s v="8000_0.4_0.5_1000_2.0_order_2"/>
    <x v="2"/>
    <n v="0.4"/>
    <n v="0.5"/>
    <n v="1000"/>
    <n v="2"/>
    <n v="2"/>
    <x v="2"/>
    <n v="442496.5"/>
    <n v="166733.79999999999"/>
    <n v="275762.7"/>
    <n v="2400"/>
    <n v="600.94000000000005"/>
    <n v="88705.600000000006"/>
    <n v="134132.70000000001"/>
    <n v="222838.3"/>
    <n v="42240.3"/>
    <n v="23092.400000000001"/>
    <n v="65332.7"/>
    <n v="34.880000000000003"/>
    <n v="8.2100000000000009"/>
    <n v="20904.2"/>
    <n v="63144.5"/>
    <n v="609.14"/>
    <n v="2400"/>
    <n v="285982.8"/>
    <n v="35.369999999999997"/>
  </r>
  <r>
    <s v="8000_0.4_0.5_1000_2.0_order_2"/>
    <x v="2"/>
    <n v="0.4"/>
    <n v="0.5"/>
    <n v="1000"/>
    <n v="2"/>
    <n v="2"/>
    <x v="3"/>
    <n v="442496.5"/>
    <n v="166733.79999999999"/>
    <n v="275762.7"/>
    <n v="2400"/>
    <n v="600.53"/>
    <n v="87722.4"/>
    <n v="127919.7"/>
    <n v="215642.1"/>
    <n v="48042"/>
    <n v="16163.7"/>
    <n v="64205.7"/>
    <n v="36.76"/>
    <n v="1.18"/>
    <n v="15374.4"/>
    <n v="63416.4"/>
    <n v="601.71"/>
    <n v="2393"/>
    <n v="279058.5"/>
    <n v="36.94"/>
  </r>
  <r>
    <s v="8000_0.4_0.5_1000_2.0_order_3"/>
    <x v="2"/>
    <n v="0.4"/>
    <n v="0.5"/>
    <n v="1000"/>
    <n v="2"/>
    <n v="3"/>
    <x v="0"/>
    <n v="452037.4"/>
    <n v="182112.7"/>
    <n v="269924.7"/>
    <n v="2400"/>
    <n v="600.16"/>
    <n v="96501.9"/>
    <n v="130726.6"/>
    <n v="227228.5"/>
    <n v="44676.6"/>
    <n v="14409.3"/>
    <n v="59085.9"/>
    <n v="36.659999999999997"/>
    <n v="2.41"/>
    <n v="14367.3"/>
    <n v="59043.9"/>
    <n v="602.57000000000005"/>
    <n v="2311"/>
    <n v="286272.40000000002"/>
    <n v="36.67"/>
  </r>
  <r>
    <s v="8000_0.4_0.5_1000_2.0_order_3"/>
    <x v="2"/>
    <n v="0.4"/>
    <n v="0.5"/>
    <n v="1000"/>
    <n v="2"/>
    <n v="3"/>
    <x v="1"/>
    <n v="452037.4"/>
    <n v="182112.7"/>
    <n v="269924.7"/>
    <n v="2400"/>
    <n v="600.01"/>
    <n v="93593.7"/>
    <n v="123423.4"/>
    <n v="217017.1"/>
    <n v="46743.8"/>
    <n v="20016.3"/>
    <n v="66760.100000000006"/>
    <n v="37.22"/>
    <n v="1.96"/>
    <n v="18850.599999999999"/>
    <n v="65594.399999999994"/>
    <n v="601.97"/>
    <n v="2400"/>
    <n v="282611.5"/>
    <n v="37.479999999999997"/>
  </r>
  <r>
    <s v="8000_0.4_0.5_1000_2.0_order_3"/>
    <x v="2"/>
    <n v="0.4"/>
    <n v="0.5"/>
    <n v="1000"/>
    <n v="2"/>
    <n v="3"/>
    <x v="2"/>
    <n v="452037.4"/>
    <n v="182112.7"/>
    <n v="269924.7"/>
    <n v="2400"/>
    <n v="600.6"/>
    <n v="95903.7"/>
    <n v="127621.7"/>
    <n v="223525.4"/>
    <n v="42147.9"/>
    <n v="23442.7"/>
    <n v="65590.600000000006"/>
    <n v="36.04"/>
    <n v="7.09"/>
    <n v="21668"/>
    <n v="63815.9"/>
    <n v="607.69000000000005"/>
    <n v="2400"/>
    <n v="287341.3"/>
    <n v="36.43"/>
  </r>
  <r>
    <s v="8000_0.4_0.5_1000_2.0_order_3"/>
    <x v="2"/>
    <n v="0.4"/>
    <n v="0.5"/>
    <n v="1000"/>
    <n v="2"/>
    <n v="3"/>
    <x v="3"/>
    <n v="452037.4"/>
    <n v="182112.7"/>
    <n v="269924.7"/>
    <n v="2400"/>
    <n v="600.9"/>
    <n v="91930"/>
    <n v="123681.2"/>
    <n v="215611.2"/>
    <n v="50117.4"/>
    <n v="16869.7"/>
    <n v="66987.100000000006"/>
    <n v="37.479999999999997"/>
    <n v="1.18"/>
    <n v="15831.4"/>
    <n v="65948.800000000003"/>
    <n v="602.08000000000004"/>
    <n v="2398"/>
    <n v="281560"/>
    <n v="37.71"/>
  </r>
  <r>
    <s v="8000_0.4_0.5_1000_2.0_order_4"/>
    <x v="2"/>
    <n v="0.4"/>
    <n v="0.5"/>
    <n v="1000"/>
    <n v="2"/>
    <n v="4"/>
    <x v="0"/>
    <n v="441614.5"/>
    <n v="169950.8"/>
    <n v="271663.7"/>
    <n v="2400"/>
    <n v="604.25"/>
    <n v="92604.3"/>
    <n v="133187.29999999999"/>
    <n v="225791.6"/>
    <n v="43160.5"/>
    <n v="14251.2"/>
    <n v="57411.7"/>
    <n v="35.869999999999997"/>
    <n v="2.0699999999999998"/>
    <n v="14182"/>
    <n v="57342.5"/>
    <n v="606.32000000000005"/>
    <n v="2232"/>
    <n v="283134.09999999998"/>
    <n v="35.89"/>
  </r>
  <r>
    <s v="8000_0.4_0.5_1000_2.0_order_4"/>
    <x v="2"/>
    <n v="0.4"/>
    <n v="0.5"/>
    <n v="1000"/>
    <n v="2"/>
    <n v="4"/>
    <x v="1"/>
    <n v="441614.5"/>
    <n v="169950.8"/>
    <n v="271663.7"/>
    <n v="2400"/>
    <n v="600.02"/>
    <n v="89187.1"/>
    <n v="126918.5"/>
    <n v="216105.60000000001"/>
    <n v="47219.4"/>
    <n v="19421.400000000001"/>
    <n v="66640.800000000003"/>
    <n v="35.97"/>
    <n v="1.88"/>
    <n v="18249.7"/>
    <n v="65469.1"/>
    <n v="601.9"/>
    <n v="2400"/>
    <n v="281574.7"/>
    <n v="36.24"/>
  </r>
  <r>
    <s v="8000_0.4_0.5_1000_2.0_order_4"/>
    <x v="2"/>
    <n v="0.4"/>
    <n v="0.5"/>
    <n v="1000"/>
    <n v="2"/>
    <n v="4"/>
    <x v="2"/>
    <n v="441614.5"/>
    <n v="169950.8"/>
    <n v="271663.7"/>
    <n v="2400"/>
    <n v="600.01"/>
    <n v="90790.399999999994"/>
    <n v="131874.70000000001"/>
    <n v="222665.1"/>
    <n v="41473.199999999997"/>
    <n v="23187.3"/>
    <n v="64660.5"/>
    <n v="34.94"/>
    <n v="7.65"/>
    <n v="21328"/>
    <n v="62801.2"/>
    <n v="607.66"/>
    <n v="2400"/>
    <n v="285466.3"/>
    <n v="35.36"/>
  </r>
  <r>
    <s v="8000_0.4_0.5_1000_2.0_order_4"/>
    <x v="2"/>
    <n v="0.4"/>
    <n v="0.5"/>
    <n v="1000"/>
    <n v="2"/>
    <n v="4"/>
    <x v="3"/>
    <n v="441614.5"/>
    <n v="169950.8"/>
    <n v="271663.7"/>
    <n v="2400"/>
    <n v="600.04"/>
    <n v="88206.3"/>
    <n v="126225.7"/>
    <n v="214432"/>
    <n v="47923.6"/>
    <n v="17076.400000000001"/>
    <n v="65000"/>
    <n v="36.72"/>
    <n v="1.56"/>
    <n v="16113.4"/>
    <n v="64037"/>
    <n v="601.6"/>
    <n v="2399"/>
    <n v="278469"/>
    <n v="36.94"/>
  </r>
  <r>
    <s v="8000_0.4_0.5_1000_2.0_order_5"/>
    <x v="2"/>
    <n v="0.4"/>
    <n v="0.5"/>
    <n v="1000"/>
    <n v="2"/>
    <n v="5"/>
    <x v="0"/>
    <n v="456297.9"/>
    <n v="162777.9"/>
    <n v="293520"/>
    <n v="2400"/>
    <n v="604.59"/>
    <n v="88264.4"/>
    <n v="140976.70000000001"/>
    <n v="229241.1"/>
    <n v="46026.9"/>
    <n v="15567.8"/>
    <n v="61594.7"/>
    <n v="36.26"/>
    <n v="2.79"/>
    <n v="15528.4"/>
    <n v="61555.3"/>
    <n v="607.38"/>
    <n v="2393"/>
    <n v="290796.40000000002"/>
    <n v="36.270000000000003"/>
  </r>
  <r>
    <s v="8000_0.4_0.5_1000_2.0_order_5"/>
    <x v="2"/>
    <n v="0.4"/>
    <n v="0.5"/>
    <n v="1000"/>
    <n v="2"/>
    <n v="5"/>
    <x v="1"/>
    <n v="456297.9"/>
    <n v="162777.9"/>
    <n v="293520"/>
    <n v="2400"/>
    <n v="600.01"/>
    <n v="85721.8"/>
    <n v="136485.79999999999"/>
    <n v="222207.6"/>
    <n v="48323.4"/>
    <n v="20250.3"/>
    <n v="68573.7"/>
    <n v="36.270000000000003"/>
    <n v="1.5"/>
    <n v="19216.400000000001"/>
    <n v="67539.8"/>
    <n v="601.51"/>
    <n v="2400"/>
    <n v="289747.40000000002"/>
    <n v="36.5"/>
  </r>
  <r>
    <s v="8000_0.4_0.5_1000_2.0_order_5"/>
    <x v="2"/>
    <n v="0.4"/>
    <n v="0.5"/>
    <n v="1000"/>
    <n v="2"/>
    <n v="5"/>
    <x v="2"/>
    <n v="456297.9"/>
    <n v="162777.9"/>
    <n v="293520"/>
    <n v="2400"/>
    <n v="600.01"/>
    <n v="87425.8"/>
    <n v="140495.29999999999"/>
    <n v="227921.1"/>
    <n v="42718.400000000001"/>
    <n v="23059.599999999999"/>
    <n v="65778"/>
    <n v="35.630000000000003"/>
    <n v="6.94"/>
    <n v="20813.599999999999"/>
    <n v="63532"/>
    <n v="606.94000000000005"/>
    <n v="2400"/>
    <n v="291453.09999999998"/>
    <n v="36.130000000000003"/>
  </r>
  <r>
    <s v="8000_0.4_0.5_1000_2.0_order_5"/>
    <x v="2"/>
    <n v="0.4"/>
    <n v="0.5"/>
    <n v="1000"/>
    <n v="2"/>
    <n v="5"/>
    <x v="3"/>
    <n v="456297.9"/>
    <n v="162777.9"/>
    <n v="293520"/>
    <n v="2400"/>
    <n v="600.36"/>
    <n v="86163.3"/>
    <n v="136601.4"/>
    <n v="222764.7"/>
    <n v="48571.7"/>
    <n v="17530"/>
    <n v="66101.7"/>
    <n v="36.69"/>
    <n v="1.65"/>
    <n v="16375.8"/>
    <n v="64947.5"/>
    <n v="602.01"/>
    <n v="2399"/>
    <n v="287712.2"/>
    <n v="36.950000000000003"/>
  </r>
  <r>
    <s v="8000_0.4_0.5_1000_3.0_order_1"/>
    <x v="2"/>
    <n v="0.4"/>
    <n v="0.5"/>
    <n v="1000"/>
    <n v="3"/>
    <n v="1"/>
    <x v="0"/>
    <n v="557435.6"/>
    <n v="222718.9"/>
    <n v="334716.7"/>
    <n v="2400"/>
    <n v="604.51"/>
    <n v="112912.9"/>
    <n v="163870.9"/>
    <n v="276783.8"/>
    <n v="46655.9"/>
    <n v="18715.2"/>
    <n v="65371.1"/>
    <n v="38.619999999999997"/>
    <n v="2.86"/>
    <n v="18652.7"/>
    <n v="65308.6"/>
    <n v="607.37"/>
    <n v="2363"/>
    <n v="342092.4"/>
    <n v="38.630000000000003"/>
  </r>
  <r>
    <s v="8000_0.4_0.5_1000_3.0_order_1"/>
    <x v="2"/>
    <n v="0.4"/>
    <n v="0.5"/>
    <n v="1000"/>
    <n v="3"/>
    <n v="1"/>
    <x v="1"/>
    <n v="557435.6"/>
    <n v="222718.9"/>
    <n v="334716.7"/>
    <n v="2400"/>
    <n v="600.03"/>
    <n v="111265.2"/>
    <n v="159622.1"/>
    <n v="270887.3"/>
    <n v="50498.8"/>
    <n v="22264.799999999999"/>
    <n v="72763.600000000006"/>
    <n v="38.35"/>
    <n v="2.38"/>
    <n v="20755.900000000001"/>
    <n v="71254.7"/>
    <n v="602.41999999999996"/>
    <n v="2400"/>
    <n v="342142"/>
    <n v="38.619999999999997"/>
  </r>
  <r>
    <s v="8000_0.4_0.5_1000_3.0_order_1"/>
    <x v="2"/>
    <n v="0.4"/>
    <n v="0.5"/>
    <n v="1000"/>
    <n v="3"/>
    <n v="1"/>
    <x v="2"/>
    <n v="557435.6"/>
    <n v="222718.9"/>
    <n v="334716.7"/>
    <n v="2400"/>
    <n v="600.92999999999995"/>
    <n v="113941.2"/>
    <n v="163843.1"/>
    <n v="277784.3"/>
    <n v="45189.2"/>
    <n v="27385.4"/>
    <n v="72574.600000000006"/>
    <n v="37.15"/>
    <n v="6.89"/>
    <n v="24905.599999999999"/>
    <n v="70094.8"/>
    <n v="607.82000000000005"/>
    <n v="2399"/>
    <n v="347879.1"/>
    <n v="37.590000000000003"/>
  </r>
  <r>
    <s v="8000_0.4_0.5_1000_3.0_order_1"/>
    <x v="2"/>
    <n v="0.4"/>
    <n v="0.5"/>
    <n v="1000"/>
    <n v="3"/>
    <n v="1"/>
    <x v="3"/>
    <n v="557435.6"/>
    <n v="222718.9"/>
    <n v="334716.7"/>
    <n v="2400"/>
    <n v="600.01"/>
    <n v="111208.7"/>
    <n v="157208.70000000001"/>
    <n v="268417.40000000002"/>
    <n v="52091.6"/>
    <n v="21109.8"/>
    <n v="73201.399999999994"/>
    <n v="38.72"/>
    <n v="1.47"/>
    <n v="19972.2"/>
    <n v="72063.8"/>
    <n v="601.48"/>
    <n v="2394"/>
    <n v="340481.2"/>
    <n v="38.92"/>
  </r>
  <r>
    <s v="8000_0.4_0.5_1000_3.0_order_2"/>
    <x v="2"/>
    <n v="0.4"/>
    <n v="0.5"/>
    <n v="1000"/>
    <n v="3"/>
    <n v="2"/>
    <x v="0"/>
    <n v="581757.6"/>
    <n v="227255.3"/>
    <n v="354502.3"/>
    <n v="2400"/>
    <n v="604.6"/>
    <n v="117469.8"/>
    <n v="172246.9"/>
    <n v="289716.7"/>
    <n v="46130.8"/>
    <n v="19464.400000000001"/>
    <n v="65595.199999999997"/>
    <n v="38.92"/>
    <n v="3.14"/>
    <n v="19372.2"/>
    <n v="65503"/>
    <n v="607.74"/>
    <n v="2330"/>
    <n v="355219.7"/>
    <n v="38.94"/>
  </r>
  <r>
    <s v="8000_0.4_0.5_1000_3.0_order_2"/>
    <x v="2"/>
    <n v="0.4"/>
    <n v="0.5"/>
    <n v="1000"/>
    <n v="3"/>
    <n v="2"/>
    <x v="1"/>
    <n v="581757.6"/>
    <n v="227255.3"/>
    <n v="354502.3"/>
    <n v="2400"/>
    <n v="600.03"/>
    <n v="116471.9"/>
    <n v="171386.4"/>
    <n v="287858.3"/>
    <n v="50704.6"/>
    <n v="23686.9"/>
    <n v="74391.5"/>
    <n v="37.729999999999997"/>
    <n v="2.59"/>
    <n v="22211.200000000001"/>
    <n v="72915.8"/>
    <n v="602.62"/>
    <n v="2400"/>
    <n v="360774.1"/>
    <n v="37.99"/>
  </r>
  <r>
    <s v="8000_0.4_0.5_1000_3.0_order_2"/>
    <x v="2"/>
    <n v="0.4"/>
    <n v="0.5"/>
    <n v="1000"/>
    <n v="3"/>
    <n v="2"/>
    <x v="2"/>
    <n v="581757.6"/>
    <n v="227255.3"/>
    <n v="354502.3"/>
    <n v="2400"/>
    <n v="600.32000000000005"/>
    <n v="117384.7"/>
    <n v="171842.5"/>
    <n v="289227.2"/>
    <n v="45045.3"/>
    <n v="27925.9"/>
    <n v="72971.199999999997"/>
    <n v="37.74"/>
    <n v="6.78"/>
    <n v="25595.1"/>
    <n v="70640.399999999994"/>
    <n v="607.11"/>
    <n v="2400"/>
    <n v="359867.6"/>
    <n v="38.14"/>
  </r>
  <r>
    <s v="8000_0.4_0.5_1000_3.0_order_2"/>
    <x v="2"/>
    <n v="0.4"/>
    <n v="0.5"/>
    <n v="1000"/>
    <n v="3"/>
    <n v="2"/>
    <x v="3"/>
    <n v="581757.6"/>
    <n v="227255.3"/>
    <n v="354502.3"/>
    <n v="2400"/>
    <n v="600.59"/>
    <n v="115158.7"/>
    <n v="166530.9"/>
    <n v="281689.59999999998"/>
    <n v="52259.4"/>
    <n v="22193.3"/>
    <n v="74452.7"/>
    <n v="38.78"/>
    <n v="1.27"/>
    <n v="21236.1"/>
    <n v="73495.5"/>
    <n v="601.85"/>
    <n v="2400"/>
    <n v="355185.1"/>
    <n v="38.950000000000003"/>
  </r>
  <r>
    <s v="8000_0.4_0.5_1000_3.0_order_3"/>
    <x v="2"/>
    <n v="0.4"/>
    <n v="0.5"/>
    <n v="1000"/>
    <n v="3"/>
    <n v="3"/>
    <x v="0"/>
    <n v="567769.5"/>
    <n v="226650.8"/>
    <n v="341118.7"/>
    <n v="2400"/>
    <n v="603.65"/>
    <n v="117640.6"/>
    <n v="168522.2"/>
    <n v="286162.8"/>
    <n v="44630.5"/>
    <n v="18183.900000000001"/>
    <n v="62814.400000000001"/>
    <n v="38.54"/>
    <n v="1.78"/>
    <n v="18103.2"/>
    <n v="62733.7"/>
    <n v="605.42999999999995"/>
    <n v="2043"/>
    <n v="348896.5"/>
    <n v="38.549999999999997"/>
  </r>
  <r>
    <s v="8000_0.4_0.5_1000_3.0_order_3"/>
    <x v="2"/>
    <n v="0.4"/>
    <n v="0.5"/>
    <n v="1000"/>
    <n v="3"/>
    <n v="3"/>
    <x v="1"/>
    <n v="567769.5"/>
    <n v="226650.8"/>
    <n v="341118.7"/>
    <n v="2400"/>
    <n v="600.04999999999995"/>
    <n v="113523.2"/>
    <n v="161152"/>
    <n v="274675.20000000001"/>
    <n v="52314.8"/>
    <n v="23489.9"/>
    <n v="75804.7"/>
    <n v="38.270000000000003"/>
    <n v="2.2000000000000002"/>
    <n v="21990.1"/>
    <n v="74304.899999999994"/>
    <n v="602.25"/>
    <n v="2400"/>
    <n v="348980.1"/>
    <n v="38.53"/>
  </r>
  <r>
    <s v="8000_0.4_0.5_1000_3.0_order_3"/>
    <x v="2"/>
    <n v="0.4"/>
    <n v="0.5"/>
    <n v="1000"/>
    <n v="3"/>
    <n v="3"/>
    <x v="2"/>
    <n v="567769.5"/>
    <n v="226650.8"/>
    <n v="341118.7"/>
    <n v="2400"/>
    <n v="600.28"/>
    <n v="114461.4"/>
    <n v="165055"/>
    <n v="279516.40000000002"/>
    <n v="45139.4"/>
    <n v="27438"/>
    <n v="72577.399999999994"/>
    <n v="37.99"/>
    <n v="6.21"/>
    <n v="25015.9"/>
    <n v="70155.3"/>
    <n v="606.49"/>
    <n v="2399"/>
    <n v="349671.7"/>
    <n v="38.409999999999997"/>
  </r>
  <r>
    <s v="8000_0.4_0.5_1000_3.0_order_3"/>
    <x v="2"/>
    <n v="0.4"/>
    <n v="0.5"/>
    <n v="1000"/>
    <n v="3"/>
    <n v="3"/>
    <x v="3"/>
    <n v="567769.5"/>
    <n v="226650.8"/>
    <n v="341118.7"/>
    <n v="2400"/>
    <n v="600"/>
    <n v="111517.4"/>
    <n v="158943.9"/>
    <n v="270461.3"/>
    <n v="52719.6"/>
    <n v="21216.400000000001"/>
    <n v="73936"/>
    <n v="39.340000000000003"/>
    <n v="1.5"/>
    <n v="20039.599999999999"/>
    <n v="72759.199999999997"/>
    <n v="601.51"/>
    <n v="2396"/>
    <n v="343220.5"/>
    <n v="39.549999999999997"/>
  </r>
  <r>
    <s v="8000_0.4_0.5_1000_3.0_order_4"/>
    <x v="2"/>
    <n v="0.4"/>
    <n v="0.5"/>
    <n v="1000"/>
    <n v="3"/>
    <n v="4"/>
    <x v="0"/>
    <n v="578695.1"/>
    <n v="220248.4"/>
    <n v="358446.7"/>
    <n v="2400"/>
    <n v="600.01"/>
    <n v="115728"/>
    <n v="179154.1"/>
    <n v="294882.09999999998"/>
    <n v="46526.400000000001"/>
    <n v="18330.8"/>
    <n v="64857.2"/>
    <n v="37.840000000000003"/>
    <n v="2.44"/>
    <n v="18257.3"/>
    <n v="64783.7"/>
    <n v="602.45000000000005"/>
    <n v="2234"/>
    <n v="359665.8"/>
    <n v="37.85"/>
  </r>
  <r>
    <s v="8000_0.4_0.5_1000_3.0_order_4"/>
    <x v="2"/>
    <n v="0.4"/>
    <n v="0.5"/>
    <n v="1000"/>
    <n v="3"/>
    <n v="4"/>
    <x v="1"/>
    <n v="578695.1"/>
    <n v="220248.4"/>
    <n v="358446.7"/>
    <n v="2400"/>
    <n v="600.01"/>
    <n v="111255.9"/>
    <n v="171994.6"/>
    <n v="283250.5"/>
    <n v="52208.5"/>
    <n v="23739.4"/>
    <n v="75947.899999999994"/>
    <n v="37.93"/>
    <n v="2.12"/>
    <n v="22348.799999999999"/>
    <n v="74557.3"/>
    <n v="602.13"/>
    <n v="2400"/>
    <n v="357807.8"/>
    <n v="38.17"/>
  </r>
  <r>
    <s v="8000_0.4_0.5_1000_3.0_order_4"/>
    <x v="2"/>
    <n v="0.4"/>
    <n v="0.5"/>
    <n v="1000"/>
    <n v="3"/>
    <n v="4"/>
    <x v="2"/>
    <n v="578695.1"/>
    <n v="220248.4"/>
    <n v="358446.7"/>
    <n v="2400"/>
    <n v="600.54"/>
    <n v="114061.8"/>
    <n v="175446.6"/>
    <n v="289508.40000000002"/>
    <n v="45783.3"/>
    <n v="27686.9"/>
    <n v="73470.2"/>
    <n v="37.28"/>
    <n v="7.63"/>
    <n v="25547.3"/>
    <n v="71330.600000000006"/>
    <n v="608.16999999999996"/>
    <n v="2400"/>
    <n v="360839"/>
    <n v="37.65"/>
  </r>
  <r>
    <s v="8000_0.4_0.5_1000_3.0_order_4"/>
    <x v="2"/>
    <n v="0.4"/>
    <n v="0.5"/>
    <n v="1000"/>
    <n v="3"/>
    <n v="4"/>
    <x v="3"/>
    <n v="578695.1"/>
    <n v="220248.4"/>
    <n v="358446.7"/>
    <n v="2400"/>
    <n v="600.03"/>
    <n v="110424.5"/>
    <n v="168840.1"/>
    <n v="279264.59999999998"/>
    <n v="53559.9"/>
    <n v="21551.7"/>
    <n v="75111.600000000006"/>
    <n v="38.76"/>
    <n v="1.75"/>
    <n v="20486.7"/>
    <n v="74046.600000000006"/>
    <n v="601.78"/>
    <n v="2400"/>
    <n v="353311.2"/>
    <n v="38.950000000000003"/>
  </r>
  <r>
    <s v="8000_0.4_0.5_1000_3.0_order_5"/>
    <x v="2"/>
    <n v="0.4"/>
    <n v="0.5"/>
    <n v="1000"/>
    <n v="3"/>
    <n v="5"/>
    <x v="0"/>
    <n v="590660.69999999995"/>
    <n v="215654.3"/>
    <n v="375006.4"/>
    <n v="2400"/>
    <n v="600.03"/>
    <n v="113303.8"/>
    <n v="184668.7"/>
    <n v="297972.5"/>
    <n v="48210.9"/>
    <n v="19249.3"/>
    <n v="67460.2"/>
    <n v="38.130000000000003"/>
    <n v="2.68"/>
    <n v="19163"/>
    <n v="67373.899999999994"/>
    <n v="602.71"/>
    <n v="2312"/>
    <n v="365346.4"/>
    <n v="38.15"/>
  </r>
  <r>
    <s v="8000_0.4_0.5_1000_3.0_order_5"/>
    <x v="2"/>
    <n v="0.4"/>
    <n v="0.5"/>
    <n v="1000"/>
    <n v="3"/>
    <n v="5"/>
    <x v="1"/>
    <n v="590660.69999999995"/>
    <n v="215654.3"/>
    <n v="375006.4"/>
    <n v="2400"/>
    <n v="600.04999999999995"/>
    <n v="111821"/>
    <n v="178324.7"/>
    <n v="290145.7"/>
    <n v="53056.2"/>
    <n v="25420.1"/>
    <n v="78476.3"/>
    <n v="37.590000000000003"/>
    <n v="2.33"/>
    <n v="24009.5"/>
    <n v="77065.7"/>
    <n v="602.39"/>
    <n v="2399"/>
    <n v="367211.4"/>
    <n v="37.83"/>
  </r>
  <r>
    <s v="8000_0.4_0.5_1000_3.0_order_5"/>
    <x v="2"/>
    <n v="0.4"/>
    <n v="0.5"/>
    <n v="1000"/>
    <n v="3"/>
    <n v="5"/>
    <x v="2"/>
    <n v="590660.69999999995"/>
    <n v="215654.3"/>
    <n v="375006.4"/>
    <n v="2400"/>
    <n v="600.01"/>
    <n v="112163.2"/>
    <n v="183302.9"/>
    <n v="295466.09999999998"/>
    <n v="45694"/>
    <n v="27801.599999999999"/>
    <n v="73495.600000000006"/>
    <n v="37.53"/>
    <n v="6.28"/>
    <n v="25920.400000000001"/>
    <n v="71614.399999999994"/>
    <n v="606.29"/>
    <n v="2400"/>
    <n v="367080.5"/>
    <n v="37.85"/>
  </r>
  <r>
    <s v="8000_0.4_0.5_1000_3.0_order_5"/>
    <x v="2"/>
    <n v="0.4"/>
    <n v="0.5"/>
    <n v="1000"/>
    <n v="3"/>
    <n v="5"/>
    <x v="3"/>
    <n v="590660.69999999995"/>
    <n v="215654.3"/>
    <n v="375006.4"/>
    <n v="2400"/>
    <n v="600.62"/>
    <n v="108391.5"/>
    <n v="175252.6"/>
    <n v="283644.09999999998"/>
    <n v="54364.4"/>
    <n v="23559.3"/>
    <n v="77923.7"/>
    <n v="38.79"/>
    <n v="1.26"/>
    <n v="22189.4"/>
    <n v="76553.8"/>
    <n v="601.88"/>
    <n v="2400"/>
    <n v="360197.9"/>
    <n v="39.020000000000003"/>
  </r>
  <r>
    <m/>
    <x v="3"/>
    <m/>
    <m/>
    <m/>
    <m/>
    <m/>
    <x v="4"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1">
  <r>
    <s v="2000_0.2_0.5_1000_1.0_order_1"/>
    <x v="0"/>
    <n v="0.2"/>
    <n v="0.5"/>
    <n v="1000"/>
    <n v="1"/>
    <n v="1"/>
    <x v="0"/>
    <n v="143148.20000000001"/>
    <n v="59273.2"/>
    <n v="83875"/>
    <n v="600"/>
    <n v="600"/>
    <n v="36746.400000000001"/>
    <n v="52650.8"/>
    <n v="89397.2"/>
    <n v="14300.9"/>
    <n v="4118.8"/>
    <n v="18419.7"/>
    <n v="24.68"/>
    <n v="0.05"/>
    <n v="3990.7"/>
    <n v="18291.599999999999"/>
    <n v="600.04999999999995"/>
    <n v="600"/>
    <n v="107688.8"/>
    <n v="24.77"/>
    <n v="2000"/>
  </r>
  <r>
    <s v="2000_0.2_0.5_1000_1.0_order_2"/>
    <x v="0"/>
    <n v="0.2"/>
    <n v="0.5"/>
    <n v="1000"/>
    <n v="1"/>
    <n v="2"/>
    <x v="0"/>
    <n v="146066.9"/>
    <n v="58967.199999999997"/>
    <n v="87099.7"/>
    <n v="600"/>
    <n v="600.01"/>
    <n v="37771.599999999999"/>
    <n v="54570.7"/>
    <n v="92342.3"/>
    <n v="14266.1"/>
    <n v="4011.8"/>
    <n v="18277.900000000001"/>
    <n v="24.27"/>
    <n v="0.06"/>
    <n v="3910"/>
    <n v="18176.099999999999"/>
    <n v="600.07000000000005"/>
    <n v="600"/>
    <n v="110518.39999999999"/>
    <n v="24.34"/>
    <n v="2000"/>
  </r>
  <r>
    <s v="2000_0.2_0.5_1000_1.0_order_3"/>
    <x v="0"/>
    <n v="0.2"/>
    <n v="0.5"/>
    <n v="1000"/>
    <n v="1"/>
    <n v="3"/>
    <x v="0"/>
    <n v="149207.6"/>
    <n v="59172.800000000003"/>
    <n v="90034.8"/>
    <n v="600"/>
    <n v="600.01"/>
    <n v="36838.6"/>
    <n v="55284.5"/>
    <n v="92123.1"/>
    <n v="14327.3"/>
    <n v="3832.5"/>
    <n v="18159.8"/>
    <n v="26.09"/>
    <n v="0.06"/>
    <n v="3802.3"/>
    <n v="18129.599999999999"/>
    <n v="600.07000000000005"/>
    <n v="600"/>
    <n v="110252.7"/>
    <n v="26.11"/>
    <n v="2000"/>
  </r>
  <r>
    <s v="2000_0.2_0.5_1000_1.0_order_4"/>
    <x v="0"/>
    <n v="0.2"/>
    <n v="0.5"/>
    <n v="1000"/>
    <n v="1"/>
    <n v="4"/>
    <x v="0"/>
    <n v="153789.20000000001"/>
    <n v="63196.800000000003"/>
    <n v="90592.4"/>
    <n v="600"/>
    <n v="600"/>
    <n v="38402.400000000001"/>
    <n v="54923.9"/>
    <n v="93326.3"/>
    <n v="14732.7"/>
    <n v="4026.2"/>
    <n v="18758.900000000001"/>
    <n v="27.12"/>
    <n v="0.06"/>
    <n v="3964.8"/>
    <n v="18697.5"/>
    <n v="600.05999999999995"/>
    <n v="600"/>
    <n v="112023.8"/>
    <n v="27.16"/>
    <n v="2000"/>
  </r>
  <r>
    <s v="2000_0.2_0.5_1000_1.0_order_5"/>
    <x v="0"/>
    <n v="0.2"/>
    <n v="0.5"/>
    <n v="1000"/>
    <n v="1"/>
    <n v="5"/>
    <x v="0"/>
    <n v="148706.20000000001"/>
    <n v="59702"/>
    <n v="89004.2"/>
    <n v="600"/>
    <n v="600.01"/>
    <n v="36629.699999999997"/>
    <n v="56158.5"/>
    <n v="92788.2"/>
    <n v="14458.9"/>
    <n v="4013.3"/>
    <n v="18472.2"/>
    <n v="25.18"/>
    <n v="0.04"/>
    <n v="3971.7"/>
    <n v="18430.599999999999"/>
    <n v="600.04999999999995"/>
    <n v="600"/>
    <n v="111218.8"/>
    <n v="25.21"/>
    <n v="2000"/>
  </r>
  <r>
    <s v="2000_0.2_0.5_1000_2.0_order_1"/>
    <x v="0"/>
    <n v="0.2"/>
    <n v="0.5"/>
    <n v="1000"/>
    <n v="2"/>
    <n v="1"/>
    <x v="0"/>
    <n v="224341"/>
    <n v="90336.7"/>
    <n v="134004.29999999999"/>
    <n v="600"/>
    <n v="600"/>
    <n v="59825.599999999999"/>
    <n v="89225.7"/>
    <n v="149051.29999999999"/>
    <n v="13786"/>
    <n v="3723.7"/>
    <n v="17509.7"/>
    <n v="25.76"/>
    <n v="7.0000000000000007E-2"/>
    <n v="3635.9"/>
    <n v="17421.900000000001"/>
    <n v="600.07000000000005"/>
    <n v="600"/>
    <n v="166473.20000000001"/>
    <n v="25.79"/>
    <n v="2000"/>
  </r>
  <r>
    <s v="2000_0.2_0.5_1000_2.0_order_2"/>
    <x v="0"/>
    <n v="0.2"/>
    <n v="0.5"/>
    <n v="1000"/>
    <n v="2"/>
    <n v="2"/>
    <x v="0"/>
    <n v="220474.4"/>
    <n v="85625.4"/>
    <n v="134849"/>
    <n v="600"/>
    <n v="600.01"/>
    <n v="55973.3"/>
    <n v="88522.5"/>
    <n v="144495.79999999999"/>
    <n v="13496"/>
    <n v="3531.8"/>
    <n v="17027.8"/>
    <n v="26.74"/>
    <n v="0.08"/>
    <n v="3388.9"/>
    <n v="16884.900000000001"/>
    <n v="600.08000000000004"/>
    <n v="600"/>
    <n v="161380.70000000001"/>
    <n v="26.8"/>
    <n v="2000"/>
  </r>
  <r>
    <s v="2000_0.2_0.5_1000_2.0_order_3"/>
    <x v="0"/>
    <n v="0.2"/>
    <n v="0.5"/>
    <n v="1000"/>
    <n v="2"/>
    <n v="3"/>
    <x v="0"/>
    <n v="220428.7"/>
    <n v="86108.800000000003"/>
    <n v="134319.9"/>
    <n v="600"/>
    <n v="600.01"/>
    <n v="57094.400000000001"/>
    <n v="90284.3"/>
    <n v="147378.70000000001"/>
    <n v="13176.1"/>
    <n v="3795.8"/>
    <n v="16971.900000000001"/>
    <n v="25.44"/>
    <n v="7.0000000000000007E-2"/>
    <n v="3651"/>
    <n v="16827.099999999999"/>
    <n v="600.08000000000004"/>
    <n v="600"/>
    <n v="164205.79999999999"/>
    <n v="25.51"/>
    <n v="2000"/>
  </r>
  <r>
    <s v="2000_0.2_0.5_1000_2.0_order_4"/>
    <x v="0"/>
    <n v="0.2"/>
    <n v="0.5"/>
    <n v="1000"/>
    <n v="2"/>
    <n v="4"/>
    <x v="0"/>
    <n v="210055.4"/>
    <n v="82377.100000000006"/>
    <n v="127678.3"/>
    <n v="600"/>
    <n v="600"/>
    <n v="55056.1"/>
    <n v="85413.8"/>
    <n v="140469.9"/>
    <n v="13697.3"/>
    <n v="3743.3"/>
    <n v="17440.599999999999"/>
    <n v="24.82"/>
    <n v="0.08"/>
    <n v="3563.2"/>
    <n v="17260.5"/>
    <n v="600.08000000000004"/>
    <n v="600"/>
    <n v="157730.4"/>
    <n v="24.91"/>
    <n v="2000"/>
  </r>
  <r>
    <s v="2000_0.2_0.5_1000_2.0_order_5"/>
    <x v="0"/>
    <n v="0.2"/>
    <n v="0.5"/>
    <n v="1000"/>
    <n v="2"/>
    <n v="5"/>
    <x v="0"/>
    <n v="223013.3"/>
    <n v="88414.3"/>
    <n v="134599"/>
    <n v="600"/>
    <n v="600"/>
    <n v="59154.400000000001"/>
    <n v="89690"/>
    <n v="148844.4"/>
    <n v="13597.5"/>
    <n v="3751.1"/>
    <n v="17348.599999999999"/>
    <n v="25.48"/>
    <n v="7.0000000000000007E-2"/>
    <n v="3561.7"/>
    <n v="17159.2"/>
    <n v="600.08000000000004"/>
    <n v="600"/>
    <n v="166003.6"/>
    <n v="25.56"/>
    <n v="2000"/>
  </r>
  <r>
    <s v="2000_0.2_0.5_1000_3.0_order_1"/>
    <x v="0"/>
    <n v="0.2"/>
    <n v="0.5"/>
    <n v="1000"/>
    <n v="3"/>
    <n v="1"/>
    <x v="0"/>
    <n v="283040.5"/>
    <n v="115997.2"/>
    <n v="167043.29999999999"/>
    <n v="600"/>
    <n v="600.01"/>
    <n v="78916.800000000003"/>
    <n v="117962.3"/>
    <n v="196879.1"/>
    <n v="13031.2"/>
    <n v="3337.6"/>
    <n v="16368.8"/>
    <n v="24.66"/>
    <n v="0.1"/>
    <n v="3183.5"/>
    <n v="16214.7"/>
    <n v="600.11"/>
    <n v="600"/>
    <n v="213093.8"/>
    <n v="24.71"/>
    <n v="2000"/>
  </r>
  <r>
    <s v="2000_0.2_0.5_1000_3.0_order_2"/>
    <x v="0"/>
    <n v="0.2"/>
    <n v="0.5"/>
    <n v="1000"/>
    <n v="3"/>
    <n v="2"/>
    <x v="0"/>
    <n v="287067.8"/>
    <n v="115740.2"/>
    <n v="171327.6"/>
    <n v="600"/>
    <n v="600.01"/>
    <n v="78899.399999999994"/>
    <n v="117883.4"/>
    <n v="196782.8"/>
    <n v="13203.9"/>
    <n v="3458.2"/>
    <n v="16662.099999999999"/>
    <n v="25.65"/>
    <n v="7.0000000000000007E-2"/>
    <n v="3194"/>
    <n v="16397.900000000001"/>
    <n v="600.09"/>
    <n v="600"/>
    <n v="213180.7"/>
    <n v="25.74"/>
    <n v="2000"/>
  </r>
  <r>
    <s v="2000_0.2_0.5_1000_3.0_order_3"/>
    <x v="0"/>
    <n v="0.2"/>
    <n v="0.5"/>
    <n v="1000"/>
    <n v="3"/>
    <n v="3"/>
    <x v="0"/>
    <n v="275704.5"/>
    <n v="112434.7"/>
    <n v="163269.79999999999"/>
    <n v="600"/>
    <n v="600.01"/>
    <n v="75368.899999999994"/>
    <n v="114043.6"/>
    <n v="189412.5"/>
    <n v="13285.1"/>
    <n v="3639.8"/>
    <n v="16924.900000000001"/>
    <n v="25.16"/>
    <n v="7.0000000000000007E-2"/>
    <n v="3390.8"/>
    <n v="16675.900000000001"/>
    <n v="600.08000000000004"/>
    <n v="600"/>
    <n v="206088.4"/>
    <n v="25.25"/>
    <n v="2000"/>
  </r>
  <r>
    <s v="2000_0.2_0.5_1000_3.0_order_4"/>
    <x v="0"/>
    <n v="0.2"/>
    <n v="0.5"/>
    <n v="1000"/>
    <n v="3"/>
    <n v="4"/>
    <x v="0"/>
    <n v="282330.5"/>
    <n v="110718.7"/>
    <n v="171611.8"/>
    <n v="600"/>
    <n v="600.01"/>
    <n v="74794.7"/>
    <n v="119697.5"/>
    <n v="194492.2"/>
    <n v="12953.4"/>
    <n v="3575"/>
    <n v="16528.400000000001"/>
    <n v="25.26"/>
    <n v="0.1"/>
    <n v="3403.4"/>
    <n v="16356.8"/>
    <n v="600.11"/>
    <n v="600"/>
    <n v="210849"/>
    <n v="25.32"/>
    <n v="2000"/>
  </r>
  <r>
    <s v="2000_0.2_0.5_1000_3.0_order_5"/>
    <x v="0"/>
    <n v="0.2"/>
    <n v="0.5"/>
    <n v="1000"/>
    <n v="3"/>
    <n v="5"/>
    <x v="0"/>
    <n v="283217.40000000002"/>
    <n v="112913.8"/>
    <n v="170303.6"/>
    <n v="600"/>
    <n v="600.01"/>
    <n v="75583.5"/>
    <n v="116803.9"/>
    <n v="192387.4"/>
    <n v="12950.1"/>
    <n v="3390.1"/>
    <n v="16340.2"/>
    <n v="26.3"/>
    <n v="0.09"/>
    <n v="3230.2"/>
    <n v="16180.3"/>
    <n v="600.1"/>
    <n v="600"/>
    <n v="208567.7"/>
    <n v="26.36"/>
    <n v="2000"/>
  </r>
  <r>
    <s v="2000_0.2_0.5_2000_1.0_order_1"/>
    <x v="0"/>
    <n v="0.2"/>
    <n v="0.5"/>
    <n v="2000"/>
    <n v="1"/>
    <n v="1"/>
    <x v="0"/>
    <n v="294766.8"/>
    <n v="117148.4"/>
    <n v="177618.4"/>
    <n v="600"/>
    <n v="600.01"/>
    <n v="78774"/>
    <n v="118472.2"/>
    <n v="197246.2"/>
    <n v="14497.8"/>
    <n v="4530.6000000000004"/>
    <n v="19028.400000000001"/>
    <n v="26.63"/>
    <n v="0.06"/>
    <n v="4403"/>
    <n v="18900.8"/>
    <n v="600.07000000000005"/>
    <n v="600"/>
    <n v="216147"/>
    <n v="26.67"/>
    <n v="2000"/>
  </r>
  <r>
    <s v="2000_0.2_0.5_2000_1.0_order_2"/>
    <x v="0"/>
    <n v="0.2"/>
    <n v="0.5"/>
    <n v="2000"/>
    <n v="1"/>
    <n v="2"/>
    <x v="0"/>
    <n v="298715.5"/>
    <n v="118446.39999999999"/>
    <n v="180269.1"/>
    <n v="600"/>
    <n v="600"/>
    <n v="78295.100000000006"/>
    <n v="118162.5"/>
    <n v="196457.60000000001"/>
    <n v="14768.6"/>
    <n v="4541.8999999999996"/>
    <n v="19310.5"/>
    <n v="27.77"/>
    <n v="7.0000000000000007E-2"/>
    <n v="4415.7"/>
    <n v="19184.3"/>
    <n v="600.07000000000005"/>
    <n v="600"/>
    <n v="215641.9"/>
    <n v="27.81"/>
    <n v="2000"/>
  </r>
  <r>
    <s v="2000_0.2_0.5_2000_1.0_order_3"/>
    <x v="0"/>
    <n v="0.2"/>
    <n v="0.5"/>
    <n v="2000"/>
    <n v="1"/>
    <n v="3"/>
    <x v="0"/>
    <n v="291372.59999999998"/>
    <n v="115923.7"/>
    <n v="175448.9"/>
    <n v="600"/>
    <n v="600.01"/>
    <n v="77797.399999999994"/>
    <n v="118615.1"/>
    <n v="196412.5"/>
    <n v="14333.9"/>
    <n v="4653.6000000000004"/>
    <n v="18987.5"/>
    <n v="26.07"/>
    <n v="0.06"/>
    <n v="4576.3"/>
    <n v="18910.2"/>
    <n v="600.07000000000005"/>
    <n v="600"/>
    <n v="215322.7"/>
    <n v="26.1"/>
    <n v="2000"/>
  </r>
  <r>
    <s v="2000_0.2_0.5_2000_1.0_order_4"/>
    <x v="0"/>
    <n v="0.2"/>
    <n v="0.5"/>
    <n v="2000"/>
    <n v="1"/>
    <n v="4"/>
    <x v="0"/>
    <n v="294821.8"/>
    <n v="116489.4"/>
    <n v="178332.4"/>
    <n v="600"/>
    <n v="600.01"/>
    <n v="79156"/>
    <n v="121471.7"/>
    <n v="200627.7"/>
    <n v="14498.4"/>
    <n v="4659.3999999999996"/>
    <n v="19157.8"/>
    <n v="25.45"/>
    <n v="0.08"/>
    <n v="4577.8999999999996"/>
    <n v="19076.3"/>
    <n v="600.09"/>
    <n v="600"/>
    <n v="219704"/>
    <n v="25.48"/>
    <n v="2000"/>
  </r>
  <r>
    <s v="2000_0.2_0.5_2000_1.0_order_5"/>
    <x v="0"/>
    <n v="0.2"/>
    <n v="0.5"/>
    <n v="2000"/>
    <n v="1"/>
    <n v="5"/>
    <x v="0"/>
    <n v="290639.59999999998"/>
    <n v="114516.4"/>
    <n v="176123.2"/>
    <n v="600"/>
    <n v="600.01"/>
    <n v="76220.2"/>
    <n v="118529.2"/>
    <n v="194749.4"/>
    <n v="14423.1"/>
    <n v="4410.2"/>
    <n v="18833.3"/>
    <n v="26.51"/>
    <n v="7.0000000000000007E-2"/>
    <n v="4369"/>
    <n v="18792.099999999999"/>
    <n v="600.08000000000004"/>
    <n v="600"/>
    <n v="213541.5"/>
    <n v="26.53"/>
    <n v="2000"/>
  </r>
  <r>
    <s v="2000_0.2_0.5_2000_2.0_order_1"/>
    <x v="0"/>
    <n v="0.2"/>
    <n v="0.5"/>
    <n v="2000"/>
    <n v="2"/>
    <n v="1"/>
    <x v="0"/>
    <n v="429372.1"/>
    <n v="169836.6"/>
    <n v="259535.5"/>
    <n v="600"/>
    <n v="600.01"/>
    <n v="120534.5"/>
    <n v="183434.8"/>
    <n v="303969.3"/>
    <n v="13454.5"/>
    <n v="4248.8"/>
    <n v="17703.3"/>
    <n v="25.08"/>
    <n v="0.09"/>
    <n v="4094.9"/>
    <n v="17549.400000000001"/>
    <n v="600.1"/>
    <n v="600"/>
    <n v="321518.7"/>
    <n v="25.12"/>
    <n v="2000"/>
  </r>
  <r>
    <s v="2000_0.2_0.5_2000_2.0_order_2"/>
    <x v="0"/>
    <n v="0.2"/>
    <n v="0.5"/>
    <n v="2000"/>
    <n v="2"/>
    <n v="2"/>
    <x v="0"/>
    <n v="449279.9"/>
    <n v="176283.8"/>
    <n v="272996.09999999998"/>
    <n v="600"/>
    <n v="600.02"/>
    <n v="120139.8"/>
    <n v="188884.8"/>
    <n v="309024.59999999998"/>
    <n v="13835.7"/>
    <n v="4547.3999999999996"/>
    <n v="18383.099999999999"/>
    <n v="27.13"/>
    <n v="7.0000000000000007E-2"/>
    <n v="4494.8"/>
    <n v="18330.5"/>
    <n v="600.09"/>
    <n v="600"/>
    <n v="327355.09999999998"/>
    <n v="27.14"/>
    <n v="2000"/>
  </r>
  <r>
    <s v="2000_0.2_0.5_2000_2.0_order_3"/>
    <x v="0"/>
    <n v="0.2"/>
    <n v="0.5"/>
    <n v="2000"/>
    <n v="2"/>
    <n v="3"/>
    <x v="0"/>
    <n v="434628.2"/>
    <n v="169462.1"/>
    <n v="265166.09999999998"/>
    <n v="600"/>
    <n v="600.01"/>
    <n v="116438.2"/>
    <n v="184990.8"/>
    <n v="301429"/>
    <n v="13592.1"/>
    <n v="4617.1000000000004"/>
    <n v="18209.2"/>
    <n v="26.46"/>
    <n v="0.08"/>
    <n v="4558.2"/>
    <n v="18150.3"/>
    <n v="600.09"/>
    <n v="600"/>
    <n v="319579.3"/>
    <n v="26.47"/>
    <n v="2000"/>
  </r>
  <r>
    <s v="2000_0.2_0.5_2000_2.0_order_4"/>
    <x v="0"/>
    <n v="0.2"/>
    <n v="0.5"/>
    <n v="2000"/>
    <n v="2"/>
    <n v="4"/>
    <x v="0"/>
    <n v="434426.7"/>
    <n v="171944.5"/>
    <n v="262482.2"/>
    <n v="600"/>
    <n v="600.01"/>
    <n v="118234.4"/>
    <n v="184532.5"/>
    <n v="302766.90000000002"/>
    <n v="13764.9"/>
    <n v="5034.8999999999996"/>
    <n v="18799.8"/>
    <n v="25.98"/>
    <n v="0.09"/>
    <n v="4865.2"/>
    <n v="18630.099999999999"/>
    <n v="600.1"/>
    <n v="600"/>
    <n v="321397"/>
    <n v="26.02"/>
    <n v="2000"/>
  </r>
  <r>
    <s v="2000_0.2_0.5_2000_2.0_order_5"/>
    <x v="0"/>
    <n v="0.2"/>
    <n v="0.5"/>
    <n v="2000"/>
    <n v="2"/>
    <n v="5"/>
    <x v="0"/>
    <n v="445237.3"/>
    <n v="173515.2"/>
    <n v="271722.09999999998"/>
    <n v="600"/>
    <n v="600.01"/>
    <n v="120095.5"/>
    <n v="189059"/>
    <n v="309154.5"/>
    <n v="13764.4"/>
    <n v="4592.6000000000004"/>
    <n v="18357"/>
    <n v="26.44"/>
    <n v="0.09"/>
    <n v="4411.7"/>
    <n v="18176.099999999999"/>
    <n v="600.1"/>
    <n v="600"/>
    <n v="327330.59999999998"/>
    <n v="26.48"/>
    <n v="2000"/>
  </r>
  <r>
    <s v="2000_0.2_0.5_2000_3.0_order_1"/>
    <x v="0"/>
    <n v="0.2"/>
    <n v="0.5"/>
    <n v="2000"/>
    <n v="3"/>
    <n v="1"/>
    <x v="0"/>
    <n v="567589.1"/>
    <n v="227659.9"/>
    <n v="339929.2"/>
    <n v="600"/>
    <n v="600"/>
    <n v="162893.29999999999"/>
    <n v="246055.5"/>
    <n v="408948.8"/>
    <n v="12766"/>
    <n v="3652.2"/>
    <n v="16418.2"/>
    <n v="25.06"/>
    <n v="0.1"/>
    <n v="3366.1"/>
    <n v="16132.1"/>
    <n v="600.11"/>
    <n v="600"/>
    <n v="425080.9"/>
    <n v="25.11"/>
    <n v="2000"/>
  </r>
  <r>
    <s v="2000_0.2_0.5_2000_3.0_order_2"/>
    <x v="0"/>
    <n v="0.2"/>
    <n v="0.5"/>
    <n v="2000"/>
    <n v="3"/>
    <n v="2"/>
    <x v="0"/>
    <n v="574652.6"/>
    <n v="228791.7"/>
    <n v="345860.9"/>
    <n v="600"/>
    <n v="600.02"/>
    <n v="162390.5"/>
    <n v="252710.9"/>
    <n v="415101.4"/>
    <n v="13242.3"/>
    <n v="3888.1"/>
    <n v="17130.400000000001"/>
    <n v="24.78"/>
    <n v="0.11"/>
    <n v="3672.4"/>
    <n v="16914.7"/>
    <n v="600.12"/>
    <n v="600"/>
    <n v="432016.1"/>
    <n v="24.82"/>
    <n v="2000"/>
  </r>
  <r>
    <s v="2000_0.2_0.5_2000_3.0_order_3"/>
    <x v="0"/>
    <n v="0.2"/>
    <n v="0.5"/>
    <n v="2000"/>
    <n v="3"/>
    <n v="3"/>
    <x v="0"/>
    <n v="569085.69999999995"/>
    <n v="222208.8"/>
    <n v="346876.9"/>
    <n v="600"/>
    <n v="600.03"/>
    <n v="156554.79999999999"/>
    <n v="244915.4"/>
    <n v="401470.2"/>
    <n v="13187.7"/>
    <n v="4163.1000000000004"/>
    <n v="17350.8"/>
    <n v="26.4"/>
    <n v="0.1"/>
    <n v="3920.2"/>
    <n v="17107.900000000001"/>
    <n v="600.13"/>
    <n v="600"/>
    <n v="418578.1"/>
    <n v="26.45"/>
    <n v="2000"/>
  </r>
  <r>
    <s v="2000_0.2_0.5_2000_3.0_order_4"/>
    <x v="0"/>
    <n v="0.2"/>
    <n v="0.5"/>
    <n v="2000"/>
    <n v="3"/>
    <n v="4"/>
    <x v="0"/>
    <n v="568129.1"/>
    <n v="230045.8"/>
    <n v="338083.3"/>
    <n v="600"/>
    <n v="600.02"/>
    <n v="164258.20000000001"/>
    <n v="245472.8"/>
    <n v="409731"/>
    <n v="13234.4"/>
    <n v="4035.9"/>
    <n v="17270.3"/>
    <n v="24.84"/>
    <n v="0.08"/>
    <n v="3855.6"/>
    <n v="17090"/>
    <n v="600.1"/>
    <n v="600"/>
    <n v="426821"/>
    <n v="24.87"/>
    <n v="2000"/>
  </r>
  <r>
    <s v="2000_0.2_0.5_2000_3.0_order_5"/>
    <x v="0"/>
    <n v="0.2"/>
    <n v="0.5"/>
    <n v="2000"/>
    <n v="3"/>
    <n v="5"/>
    <x v="0"/>
    <n v="568907.69999999995"/>
    <n v="232908.3"/>
    <n v="335999.4"/>
    <n v="600"/>
    <n v="600.01"/>
    <n v="165329.60000000001"/>
    <n v="240434.9"/>
    <n v="405764.5"/>
    <n v="12925"/>
    <n v="3648.3"/>
    <n v="16573.3"/>
    <n v="25.76"/>
    <n v="7.0000000000000007E-2"/>
    <n v="3368"/>
    <n v="16293"/>
    <n v="600.08000000000004"/>
    <n v="600"/>
    <n v="422057.5"/>
    <n v="25.81"/>
    <n v="2000"/>
  </r>
  <r>
    <s v="2000_0.2_0.5_500_1.0_order_1"/>
    <x v="0"/>
    <n v="0.2"/>
    <n v="0.5"/>
    <n v="500"/>
    <n v="1"/>
    <n v="1"/>
    <x v="0"/>
    <n v="72828.100000000006"/>
    <n v="30131.8"/>
    <n v="42696.3"/>
    <n v="600"/>
    <n v="600"/>
    <n v="15894.1"/>
    <n v="24355.5"/>
    <n v="40249.599999999999"/>
    <n v="13786.1"/>
    <n v="2506.9"/>
    <n v="16293"/>
    <n v="22.36"/>
    <n v="0.02"/>
    <n v="2473.9"/>
    <n v="16260"/>
    <n v="600.03"/>
    <n v="600"/>
    <n v="56509.599999999999"/>
    <n v="22.41"/>
    <n v="2000"/>
  </r>
  <r>
    <s v="2000_0.2_0.5_500_1.0_order_2"/>
    <x v="0"/>
    <n v="0.2"/>
    <n v="0.5"/>
    <n v="500"/>
    <n v="1"/>
    <n v="2"/>
    <x v="0"/>
    <n v="73709.399999999994"/>
    <n v="30448"/>
    <n v="43261.4"/>
    <n v="600"/>
    <n v="600.01"/>
    <n v="16688.8"/>
    <n v="24364.7"/>
    <n v="41053.5"/>
    <n v="13249.9"/>
    <n v="2677.1"/>
    <n v="15927"/>
    <n v="22.7"/>
    <n v="0.03"/>
    <n v="2601.1"/>
    <n v="15851"/>
    <n v="600.04"/>
    <n v="600"/>
    <n v="56904.5"/>
    <n v="22.8"/>
    <n v="2000"/>
  </r>
  <r>
    <s v="2000_0.2_0.5_500_1.0_order_3"/>
    <x v="0"/>
    <n v="0.2"/>
    <n v="0.5"/>
    <n v="500"/>
    <n v="1"/>
    <n v="3"/>
    <x v="0"/>
    <n v="73291.199999999997"/>
    <n v="29361"/>
    <n v="43930.2"/>
    <n v="600"/>
    <n v="600"/>
    <n v="16833.599999999999"/>
    <n v="24117"/>
    <n v="40950.6"/>
    <n v="14025.1"/>
    <n v="2877.3"/>
    <n v="16902.400000000001"/>
    <n v="21.06"/>
    <n v="0.03"/>
    <n v="2837.1"/>
    <n v="16862.2"/>
    <n v="600.04"/>
    <n v="600"/>
    <n v="57812.800000000003"/>
    <n v="21.12"/>
    <n v="2000"/>
  </r>
  <r>
    <s v="2000_0.2_0.5_500_1.0_order_4"/>
    <x v="0"/>
    <n v="0.2"/>
    <n v="0.5"/>
    <n v="500"/>
    <n v="1"/>
    <n v="4"/>
    <x v="0"/>
    <n v="70840.800000000003"/>
    <n v="28183.5"/>
    <n v="42657.3"/>
    <n v="600"/>
    <n v="600"/>
    <n v="15395.6"/>
    <n v="24070.799999999999"/>
    <n v="39466.400000000001"/>
    <n v="13173.2"/>
    <n v="2850.9"/>
    <n v="16024.1"/>
    <n v="21.67"/>
    <n v="0.04"/>
    <n v="2796.3"/>
    <n v="15969.5"/>
    <n v="600.04"/>
    <n v="600"/>
    <n v="55435.9"/>
    <n v="21.75"/>
    <n v="2000"/>
  </r>
  <r>
    <s v="2000_0.2_0.5_500_1.0_order_5"/>
    <x v="0"/>
    <n v="0.2"/>
    <n v="0.5"/>
    <n v="500"/>
    <n v="1"/>
    <n v="5"/>
    <x v="0"/>
    <n v="71315"/>
    <n v="28392.400000000001"/>
    <n v="42922.6"/>
    <n v="600"/>
    <n v="600"/>
    <n v="15317.6"/>
    <n v="24176.400000000001"/>
    <n v="39494"/>
    <n v="13308.7"/>
    <n v="2681.1"/>
    <n v="15989.8"/>
    <n v="22.2"/>
    <n v="0.03"/>
    <n v="2625.1"/>
    <n v="15933.8"/>
    <n v="600.04"/>
    <n v="600"/>
    <n v="55427.8"/>
    <n v="22.28"/>
    <n v="2000"/>
  </r>
  <r>
    <s v="2000_0.2_0.5_500_2.0_order_1"/>
    <x v="0"/>
    <n v="0.2"/>
    <n v="0.5"/>
    <n v="500"/>
    <n v="2"/>
    <n v="1"/>
    <x v="0"/>
    <n v="109987.8"/>
    <n v="45375.9"/>
    <n v="64611.9"/>
    <n v="600"/>
    <n v="600"/>
    <n v="27777.200000000001"/>
    <n v="37927.9"/>
    <n v="65705.100000000006"/>
    <n v="13177.4"/>
    <n v="3042.8"/>
    <n v="16220.2"/>
    <n v="25.51"/>
    <n v="0.05"/>
    <n v="2940.5"/>
    <n v="16117.9"/>
    <n v="600.05999999999995"/>
    <n v="600"/>
    <n v="81823"/>
    <n v="25.61"/>
    <n v="2000"/>
  </r>
  <r>
    <s v="2000_0.2_0.5_500_2.0_order_2"/>
    <x v="0"/>
    <n v="0.2"/>
    <n v="0.5"/>
    <n v="500"/>
    <n v="2"/>
    <n v="2"/>
    <x v="0"/>
    <n v="111693.6"/>
    <n v="43333.7"/>
    <n v="68359.899999999994"/>
    <n v="600"/>
    <n v="600"/>
    <n v="25936"/>
    <n v="40957.5"/>
    <n v="66893.5"/>
    <n v="13397.1"/>
    <n v="3270.9"/>
    <n v="16668"/>
    <n v="25.19"/>
    <n v="0.05"/>
    <n v="3134.4"/>
    <n v="16531.5"/>
    <n v="600.04999999999995"/>
    <n v="600"/>
    <n v="83425"/>
    <n v="25.31"/>
    <n v="2000"/>
  </r>
  <r>
    <s v="2000_0.2_0.5_500_2.0_order_3"/>
    <x v="0"/>
    <n v="0.2"/>
    <n v="0.5"/>
    <n v="500"/>
    <n v="2"/>
    <n v="3"/>
    <x v="0"/>
    <n v="105271.7"/>
    <n v="43538.6"/>
    <n v="61733.1"/>
    <n v="600"/>
    <n v="600.01"/>
    <n v="25396"/>
    <n v="37037.599999999999"/>
    <n v="62433.599999999999"/>
    <n v="13151.7"/>
    <n v="3157.8"/>
    <n v="16309.5"/>
    <n v="25.2"/>
    <n v="0.05"/>
    <n v="3069.5"/>
    <n v="16221.2"/>
    <n v="600.04999999999995"/>
    <n v="600"/>
    <n v="78654.8"/>
    <n v="25.28"/>
    <n v="2000"/>
  </r>
  <r>
    <s v="2000_0.2_0.5_500_2.0_order_4"/>
    <x v="0"/>
    <n v="0.2"/>
    <n v="0.5"/>
    <n v="500"/>
    <n v="2"/>
    <n v="4"/>
    <x v="0"/>
    <n v="114285.5"/>
    <n v="42781.8"/>
    <n v="71503.7"/>
    <n v="600"/>
    <n v="600.01"/>
    <n v="26686.5"/>
    <n v="43264.6"/>
    <n v="69951.100000000006"/>
    <n v="12686.3"/>
    <n v="2743.4"/>
    <n v="15429.7"/>
    <n v="25.29"/>
    <n v="0.05"/>
    <n v="2639.4"/>
    <n v="15325.7"/>
    <n v="600.04999999999995"/>
    <n v="600"/>
    <n v="85276.800000000003"/>
    <n v="25.38"/>
    <n v="2000"/>
  </r>
  <r>
    <s v="2000_0.2_0.5_500_2.0_order_5"/>
    <x v="0"/>
    <n v="0.2"/>
    <n v="0.5"/>
    <n v="500"/>
    <n v="2"/>
    <n v="5"/>
    <x v="0"/>
    <n v="111707.3"/>
    <n v="45068.7"/>
    <n v="66638.600000000006"/>
    <n v="600"/>
    <n v="600"/>
    <n v="27001.599999999999"/>
    <n v="40725.199999999997"/>
    <n v="67726.8"/>
    <n v="13282.9"/>
    <n v="3251.1"/>
    <n v="16534"/>
    <n v="24.57"/>
    <n v="0.06"/>
    <n v="3162.4"/>
    <n v="16445.3"/>
    <n v="600.05999999999995"/>
    <n v="600"/>
    <n v="84172.1"/>
    <n v="24.65"/>
    <n v="2000"/>
  </r>
  <r>
    <s v="2000_0.2_0.5_500_3.0_order_1"/>
    <x v="0"/>
    <n v="0.2"/>
    <n v="0.5"/>
    <n v="500"/>
    <n v="3"/>
    <n v="1"/>
    <x v="0"/>
    <n v="138293.29999999999"/>
    <n v="53910.1"/>
    <n v="84383.2"/>
    <n v="600"/>
    <n v="600.01"/>
    <n v="33391.199999999997"/>
    <n v="54685.9"/>
    <n v="88077.1"/>
    <n v="13174.7"/>
    <n v="3035.2"/>
    <n v="16209.9"/>
    <n v="24.59"/>
    <n v="0.08"/>
    <n v="2816.1"/>
    <n v="15990.8"/>
    <n v="600.09"/>
    <n v="600"/>
    <n v="104067.9"/>
    <n v="24.75"/>
    <n v="2000"/>
  </r>
  <r>
    <s v="2000_0.2_0.5_500_3.0_order_2"/>
    <x v="0"/>
    <n v="0.2"/>
    <n v="0.5"/>
    <n v="500"/>
    <n v="3"/>
    <n v="2"/>
    <x v="0"/>
    <n v="139556.20000000001"/>
    <n v="57942.1"/>
    <n v="81614.100000000006"/>
    <n v="600"/>
    <n v="600"/>
    <n v="36299.9"/>
    <n v="51790.9"/>
    <n v="88090.8"/>
    <n v="13190.3"/>
    <n v="2987"/>
    <n v="16177.3"/>
    <n v="25.29"/>
    <n v="0.06"/>
    <n v="2843.1"/>
    <n v="16033.4"/>
    <n v="600.05999999999995"/>
    <n v="600"/>
    <n v="104124.2"/>
    <n v="25.39"/>
    <n v="2000"/>
  </r>
  <r>
    <s v="2000_0.2_0.5_500_3.0_order_3"/>
    <x v="0"/>
    <n v="0.2"/>
    <n v="0.5"/>
    <n v="500"/>
    <n v="3"/>
    <n v="3"/>
    <x v="0"/>
    <n v="140624"/>
    <n v="57347.7"/>
    <n v="83276.3"/>
    <n v="600"/>
    <n v="600.01"/>
    <n v="37280.300000000003"/>
    <n v="54535.5"/>
    <n v="91815.8"/>
    <n v="12295.9"/>
    <n v="2961.4"/>
    <n v="15257.3"/>
    <n v="23.86"/>
    <n v="0.08"/>
    <n v="2829.3"/>
    <n v="15125.2"/>
    <n v="600.09"/>
    <n v="600"/>
    <n v="106941"/>
    <n v="23.95"/>
    <n v="2000"/>
  </r>
  <r>
    <s v="2000_0.2_0.5_500_3.0_order_4"/>
    <x v="0"/>
    <n v="0.2"/>
    <n v="0.5"/>
    <n v="500"/>
    <n v="3"/>
    <n v="4"/>
    <x v="0"/>
    <n v="139265.5"/>
    <n v="58904"/>
    <n v="80361.5"/>
    <n v="600"/>
    <n v="600"/>
    <n v="37764.199999999997"/>
    <n v="52358.5"/>
    <n v="90122.7"/>
    <n v="12792.6"/>
    <n v="2920"/>
    <n v="15712.6"/>
    <n v="24"/>
    <n v="0.08"/>
    <n v="2748.4"/>
    <n v="15541"/>
    <n v="600.08000000000004"/>
    <n v="600"/>
    <n v="105663.7"/>
    <n v="24.13"/>
    <n v="2000"/>
  </r>
  <r>
    <s v="2000_0.2_0.5_500_3.0_order_5"/>
    <x v="0"/>
    <n v="0.2"/>
    <n v="0.5"/>
    <n v="500"/>
    <n v="3"/>
    <n v="5"/>
    <x v="0"/>
    <n v="150784.5"/>
    <n v="62011.8"/>
    <n v="88772.7"/>
    <n v="600"/>
    <n v="600"/>
    <n v="38663.5"/>
    <n v="58586.1"/>
    <n v="97249.600000000006"/>
    <n v="13151.1"/>
    <n v="3117.8"/>
    <n v="16268.9"/>
    <n v="24.71"/>
    <n v="0.08"/>
    <n v="2928.2"/>
    <n v="16079.3"/>
    <n v="600.08000000000004"/>
    <n v="600"/>
    <n v="113328.9"/>
    <n v="24.84"/>
    <n v="2000"/>
  </r>
  <r>
    <s v="2000_0.3_0.5_1000_1.0_order_1"/>
    <x v="0"/>
    <n v="0.3"/>
    <n v="0.5"/>
    <n v="1000"/>
    <n v="1"/>
    <n v="1"/>
    <x v="0"/>
    <n v="143469.20000000001"/>
    <n v="56871.8"/>
    <n v="86597.4"/>
    <n v="600"/>
    <n v="600.01"/>
    <n v="33342.1"/>
    <n v="49910.1"/>
    <n v="83252.2"/>
    <n v="14547.8"/>
    <n v="5707.8"/>
    <n v="20255.599999999999"/>
    <n v="27.85"/>
    <n v="0.13"/>
    <n v="5623"/>
    <n v="20170.8"/>
    <n v="600.14"/>
    <n v="600"/>
    <n v="103423"/>
    <n v="27.91"/>
    <n v="2000"/>
  </r>
  <r>
    <s v="2000_0.3_0.5_1000_1.0_order_2"/>
    <x v="0"/>
    <n v="0.3"/>
    <n v="0.5"/>
    <n v="1000"/>
    <n v="1"/>
    <n v="2"/>
    <x v="0"/>
    <n v="151717.5"/>
    <n v="60829.1"/>
    <n v="90888.4"/>
    <n v="600"/>
    <n v="600"/>
    <n v="34479.800000000003"/>
    <n v="51679.1"/>
    <n v="86158.9"/>
    <n v="14880.9"/>
    <n v="5609.1"/>
    <n v="20490"/>
    <n v="29.71"/>
    <n v="0.11"/>
    <n v="5499.2"/>
    <n v="20380.099999999999"/>
    <n v="600.11"/>
    <n v="600"/>
    <n v="106539"/>
    <n v="29.78"/>
    <n v="2000"/>
  </r>
  <r>
    <s v="2000_0.3_0.5_1000_1.0_order_3"/>
    <x v="0"/>
    <n v="0.3"/>
    <n v="0.5"/>
    <n v="1000"/>
    <n v="1"/>
    <n v="3"/>
    <x v="0"/>
    <n v="147202.29999999999"/>
    <n v="59853.2"/>
    <n v="87349.1"/>
    <n v="600"/>
    <n v="600"/>
    <n v="34386.9"/>
    <n v="49017.1"/>
    <n v="83404"/>
    <n v="14863.3"/>
    <n v="5544.1"/>
    <n v="20407.400000000001"/>
    <n v="29.48"/>
    <n v="0.13"/>
    <n v="5471.5"/>
    <n v="20334.8"/>
    <n v="600.13"/>
    <n v="600"/>
    <n v="103738.8"/>
    <n v="29.53"/>
    <n v="2000"/>
  </r>
  <r>
    <s v="2000_0.3_0.5_1000_1.0_order_4"/>
    <x v="0"/>
    <n v="0.3"/>
    <n v="0.5"/>
    <n v="1000"/>
    <n v="1"/>
    <n v="4"/>
    <x v="0"/>
    <n v="144352.9"/>
    <n v="59480.4"/>
    <n v="84872.5"/>
    <n v="600"/>
    <n v="600.01"/>
    <n v="33925.5"/>
    <n v="48690.7"/>
    <n v="82616.2"/>
    <n v="14800.4"/>
    <n v="5542.6"/>
    <n v="20343"/>
    <n v="28.68"/>
    <n v="0.08"/>
    <n v="5474.8"/>
    <n v="20275.2"/>
    <n v="600.09"/>
    <n v="600"/>
    <n v="102891.4"/>
    <n v="28.72"/>
    <n v="2000"/>
  </r>
  <r>
    <s v="2000_0.3_0.5_1000_1.0_order_5"/>
    <x v="0"/>
    <n v="0.3"/>
    <n v="0.5"/>
    <n v="1000"/>
    <n v="1"/>
    <n v="5"/>
    <x v="0"/>
    <n v="148278.39999999999"/>
    <n v="59478.6"/>
    <n v="88799.8"/>
    <n v="600"/>
    <n v="600"/>
    <n v="34105"/>
    <n v="50366.8"/>
    <n v="84471.8"/>
    <n v="14615.9"/>
    <n v="5751.9"/>
    <n v="20367.8"/>
    <n v="29.3"/>
    <n v="0.1"/>
    <n v="5641.7"/>
    <n v="20257.599999999999"/>
    <n v="600.1"/>
    <n v="600"/>
    <n v="104729.4"/>
    <n v="29.37"/>
    <n v="2000"/>
  </r>
  <r>
    <s v="2000_0.3_0.5_1000_2.0_order_1"/>
    <x v="0"/>
    <n v="0.3"/>
    <n v="0.5"/>
    <n v="1000"/>
    <n v="2"/>
    <n v="1"/>
    <x v="0"/>
    <n v="226019.20000000001"/>
    <n v="89595.9"/>
    <n v="136423.29999999999"/>
    <n v="600"/>
    <n v="600.01"/>
    <n v="54377"/>
    <n v="82992.100000000006"/>
    <n v="137369.1"/>
    <n v="14445.4"/>
    <n v="6048.9"/>
    <n v="20494.3"/>
    <n v="30.15"/>
    <n v="0.16"/>
    <n v="5942.3"/>
    <n v="20387.7"/>
    <n v="600.16999999999996"/>
    <n v="600"/>
    <n v="157756.79999999999"/>
    <n v="30.2"/>
    <n v="2000"/>
  </r>
  <r>
    <s v="2000_0.3_0.5_1000_2.0_order_2"/>
    <x v="0"/>
    <n v="0.3"/>
    <n v="0.5"/>
    <n v="1000"/>
    <n v="2"/>
    <n v="2"/>
    <x v="0"/>
    <n v="220764"/>
    <n v="89826.2"/>
    <n v="130937.8"/>
    <n v="600"/>
    <n v="600.01"/>
    <n v="54060.5"/>
    <n v="79856.5"/>
    <n v="133917"/>
    <n v="14052.5"/>
    <n v="5169.8"/>
    <n v="19222.3"/>
    <n v="30.63"/>
    <n v="0.16"/>
    <n v="4998.1000000000004"/>
    <n v="19050.599999999999"/>
    <n v="600.17999999999995"/>
    <n v="600"/>
    <n v="152967.6"/>
    <n v="30.71"/>
    <n v="2000"/>
  </r>
  <r>
    <s v="2000_0.3_0.5_1000_2.0_order_3"/>
    <x v="0"/>
    <n v="0.3"/>
    <n v="0.5"/>
    <n v="1000"/>
    <n v="2"/>
    <n v="3"/>
    <x v="0"/>
    <n v="224411.9"/>
    <n v="89500.3"/>
    <n v="134911.6"/>
    <n v="600"/>
    <n v="600"/>
    <n v="55123"/>
    <n v="83509.3"/>
    <n v="138632.29999999999"/>
    <n v="14169.7"/>
    <n v="5368.2"/>
    <n v="19537.900000000001"/>
    <n v="29.52"/>
    <n v="0.19"/>
    <n v="5115.8999999999996"/>
    <n v="19285.599999999999"/>
    <n v="600.19000000000005"/>
    <n v="600"/>
    <n v="157917.9"/>
    <n v="29.63"/>
    <n v="2000"/>
  </r>
  <r>
    <s v="2000_0.3_0.5_1000_2.0_order_4"/>
    <x v="0"/>
    <n v="0.3"/>
    <n v="0.5"/>
    <n v="1000"/>
    <n v="2"/>
    <n v="4"/>
    <x v="0"/>
    <n v="226364.1"/>
    <n v="92915.3"/>
    <n v="133448.79999999999"/>
    <n v="600"/>
    <n v="600"/>
    <n v="56998.6"/>
    <n v="83446.8"/>
    <n v="140445.4"/>
    <n v="13387.9"/>
    <n v="4918.8"/>
    <n v="18306.7"/>
    <n v="29.87"/>
    <n v="0.12"/>
    <n v="4702.8"/>
    <n v="18090.7"/>
    <n v="600.13"/>
    <n v="600"/>
    <n v="158536.1"/>
    <n v="29.96"/>
    <n v="2000"/>
  </r>
  <r>
    <s v="2000_0.3_0.5_1000_2.0_order_5"/>
    <x v="0"/>
    <n v="0.3"/>
    <n v="0.5"/>
    <n v="1000"/>
    <n v="2"/>
    <n v="5"/>
    <x v="0"/>
    <n v="223723.8"/>
    <n v="88167.2"/>
    <n v="135556.6"/>
    <n v="600"/>
    <n v="600"/>
    <n v="53469.1"/>
    <n v="82824"/>
    <n v="136293.1"/>
    <n v="14097.4"/>
    <n v="5784.7"/>
    <n v="19882.099999999999"/>
    <n v="30.19"/>
    <n v="0.15"/>
    <n v="5628.9"/>
    <n v="19726.3"/>
    <n v="600.16"/>
    <n v="600"/>
    <n v="156019.4"/>
    <n v="30.26"/>
    <n v="2000"/>
  </r>
  <r>
    <s v="2000_0.3_0.5_1000_3.0_order_1"/>
    <x v="0"/>
    <n v="0.3"/>
    <n v="0.5"/>
    <n v="1000"/>
    <n v="3"/>
    <n v="1"/>
    <x v="0"/>
    <n v="288442.5"/>
    <n v="113101.1"/>
    <n v="175341.4"/>
    <n v="600"/>
    <n v="600.02"/>
    <n v="72204.3"/>
    <n v="113194.8"/>
    <n v="185399.1"/>
    <n v="13187.6"/>
    <n v="4582.3"/>
    <n v="17769.900000000001"/>
    <n v="29.56"/>
    <n v="0.19"/>
    <n v="4367.1000000000004"/>
    <n v="17554.7"/>
    <n v="600.21"/>
    <n v="600"/>
    <n v="202953.8"/>
    <n v="29.64"/>
    <n v="2000"/>
  </r>
  <r>
    <s v="2000_0.3_0.5_1000_3.0_order_2"/>
    <x v="0"/>
    <n v="0.3"/>
    <n v="0.5"/>
    <n v="1000"/>
    <n v="3"/>
    <n v="2"/>
    <x v="0"/>
    <n v="287701.09999999998"/>
    <n v="113553.1"/>
    <n v="174148"/>
    <n v="600"/>
    <n v="600"/>
    <n v="71194.7"/>
    <n v="111645.7"/>
    <n v="182840.4"/>
    <n v="13327.7"/>
    <n v="5081.7"/>
    <n v="18409.400000000001"/>
    <n v="30.05"/>
    <n v="0.17"/>
    <n v="4753"/>
    <n v="18080.7"/>
    <n v="600.16999999999996"/>
    <n v="600"/>
    <n v="200921.1"/>
    <n v="30.16"/>
    <n v="2000"/>
  </r>
  <r>
    <s v="2000_0.3_0.5_1000_3.0_order_3"/>
    <x v="0"/>
    <n v="0.3"/>
    <n v="0.5"/>
    <n v="1000"/>
    <n v="3"/>
    <n v="3"/>
    <x v="0"/>
    <n v="274857.09999999998"/>
    <n v="108945.7"/>
    <n v="165911.4"/>
    <n v="600"/>
    <n v="600"/>
    <n v="68926.899999999994"/>
    <n v="109462.8"/>
    <n v="178389.7"/>
    <n v="13493.7"/>
    <n v="4698.3"/>
    <n v="18192"/>
    <n v="28.48"/>
    <n v="0.23"/>
    <n v="4454.8999999999996"/>
    <n v="17948.599999999999"/>
    <n v="600.23"/>
    <n v="600"/>
    <n v="196338.3"/>
    <n v="28.57"/>
    <n v="2000"/>
  </r>
  <r>
    <s v="2000_0.3_0.5_1000_3.0_order_4"/>
    <x v="0"/>
    <n v="0.3"/>
    <n v="0.5"/>
    <n v="1000"/>
    <n v="3"/>
    <n v="4"/>
    <x v="0"/>
    <n v="292725.7"/>
    <n v="118548.5"/>
    <n v="174177.2"/>
    <n v="600"/>
    <n v="600.01"/>
    <n v="75401.100000000006"/>
    <n v="113080.9"/>
    <n v="188482"/>
    <n v="13797.7"/>
    <n v="4811.2"/>
    <n v="18608.900000000001"/>
    <n v="29.25"/>
    <n v="0.16"/>
    <n v="4555.2"/>
    <n v="18352.900000000001"/>
    <n v="600.16999999999996"/>
    <n v="600"/>
    <n v="206834.9"/>
    <n v="29.34"/>
    <n v="2000"/>
  </r>
  <r>
    <s v="2000_0.3_0.5_1000_3.0_order_5"/>
    <x v="0"/>
    <n v="0.3"/>
    <n v="0.5"/>
    <n v="1000"/>
    <n v="3"/>
    <n v="5"/>
    <x v="0"/>
    <n v="279635.3"/>
    <n v="110407.9"/>
    <n v="169227.4"/>
    <n v="600"/>
    <n v="600.02"/>
    <n v="70224.100000000006"/>
    <n v="109024.4"/>
    <n v="179248.5"/>
    <n v="13198.2"/>
    <n v="4897.1000000000004"/>
    <n v="18095.3"/>
    <n v="29.43"/>
    <n v="0.18"/>
    <n v="4661.3"/>
    <n v="17859.5"/>
    <n v="600.21"/>
    <n v="600"/>
    <n v="197108"/>
    <n v="29.51"/>
    <n v="2000"/>
  </r>
  <r>
    <s v="2000_0.3_0.5_2000_1.0_order_1"/>
    <x v="0"/>
    <n v="0.3"/>
    <n v="0.5"/>
    <n v="2000"/>
    <n v="1"/>
    <n v="1"/>
    <x v="0"/>
    <n v="289583.90000000002"/>
    <n v="121580.7"/>
    <n v="168003.20000000001"/>
    <n v="600"/>
    <n v="600.01"/>
    <n v="75128.100000000006"/>
    <n v="103222.2"/>
    <n v="178350.3"/>
    <n v="14880.7"/>
    <n v="6729.4"/>
    <n v="21610.1"/>
    <n v="30.95"/>
    <n v="0.11"/>
    <n v="6516.8"/>
    <n v="21397.5"/>
    <n v="600.12"/>
    <n v="600"/>
    <n v="199747.8"/>
    <n v="31.02"/>
    <n v="2000"/>
  </r>
  <r>
    <s v="2000_0.3_0.5_2000_1.0_order_2"/>
    <x v="0"/>
    <n v="0.3"/>
    <n v="0.5"/>
    <n v="2000"/>
    <n v="1"/>
    <n v="2"/>
    <x v="0"/>
    <n v="300140.09999999998"/>
    <n v="119249.7"/>
    <n v="180890.4"/>
    <n v="600"/>
    <n v="600"/>
    <n v="73385.2"/>
    <n v="110139"/>
    <n v="183524.2"/>
    <n v="14798.4"/>
    <n v="6735.9"/>
    <n v="21534.3"/>
    <n v="31.68"/>
    <n v="0.13"/>
    <n v="6527.4"/>
    <n v="21325.8"/>
    <n v="600.13"/>
    <n v="600"/>
    <n v="204850"/>
    <n v="31.75"/>
    <n v="2000"/>
  </r>
  <r>
    <s v="2000_0.3_0.5_2000_1.0_order_3"/>
    <x v="0"/>
    <n v="0.3"/>
    <n v="0.5"/>
    <n v="2000"/>
    <n v="1"/>
    <n v="3"/>
    <x v="0"/>
    <n v="290338.59999999998"/>
    <n v="115863.1"/>
    <n v="174475.5"/>
    <n v="600"/>
    <n v="600"/>
    <n v="73859.8"/>
    <n v="110225.4"/>
    <n v="184085.2"/>
    <n v="14438.8"/>
    <n v="6344.6"/>
    <n v="20783.400000000001"/>
    <n v="29.44"/>
    <n v="0.13"/>
    <n v="6268.1"/>
    <n v="20706.900000000001"/>
    <n v="600.14"/>
    <n v="600"/>
    <n v="204792.1"/>
    <n v="29.46"/>
    <n v="2000"/>
  </r>
  <r>
    <s v="2000_0.3_0.5_2000_1.0_order_4"/>
    <x v="0"/>
    <n v="0.3"/>
    <n v="0.5"/>
    <n v="2000"/>
    <n v="1"/>
    <n v="4"/>
    <x v="0"/>
    <n v="295767.40000000002"/>
    <n v="117585.9"/>
    <n v="178181.5"/>
    <n v="600"/>
    <n v="600"/>
    <n v="72720.2"/>
    <n v="109324.2"/>
    <n v="182044.4"/>
    <n v="14763.3"/>
    <n v="6478.1"/>
    <n v="21241.4"/>
    <n v="31.27"/>
    <n v="0.12"/>
    <n v="6277.7"/>
    <n v="21041"/>
    <n v="600.12"/>
    <n v="600"/>
    <n v="203085.4"/>
    <n v="31.34"/>
    <n v="2000"/>
  </r>
  <r>
    <s v="2000_0.3_0.5_2000_1.0_order_5"/>
    <x v="0"/>
    <n v="0.3"/>
    <n v="0.5"/>
    <n v="2000"/>
    <n v="1"/>
    <n v="5"/>
    <x v="0"/>
    <n v="304712"/>
    <n v="117046.9"/>
    <n v="187665.1"/>
    <n v="600"/>
    <n v="600"/>
    <n v="71806.8"/>
    <n v="116779.9"/>
    <n v="188586.7"/>
    <n v="14538"/>
    <n v="6869.4"/>
    <n v="21407.4"/>
    <n v="31.08"/>
    <n v="0.15"/>
    <n v="6705.1"/>
    <n v="21243.1"/>
    <n v="600.15"/>
    <n v="600"/>
    <n v="209829.8"/>
    <n v="31.14"/>
    <n v="2000"/>
  </r>
  <r>
    <s v="2000_0.3_0.5_2000_2.0_order_1"/>
    <x v="0"/>
    <n v="0.3"/>
    <n v="0.5"/>
    <n v="2000"/>
    <n v="2"/>
    <n v="1"/>
    <x v="0"/>
    <n v="439539.6"/>
    <n v="174410.9"/>
    <n v="265128.7"/>
    <n v="600"/>
    <n v="600.01"/>
    <n v="109802.6"/>
    <n v="168382.7"/>
    <n v="278185.3"/>
    <n v="14092.1"/>
    <n v="6613"/>
    <n v="20705.099999999999"/>
    <n v="32"/>
    <n v="0.17"/>
    <n v="6347.9"/>
    <n v="20440"/>
    <n v="600.17999999999995"/>
    <n v="600"/>
    <n v="298625.3"/>
    <n v="32.06"/>
    <n v="2000"/>
  </r>
  <r>
    <s v="2000_0.3_0.5_2000_2.0_order_2"/>
    <x v="0"/>
    <n v="0.3"/>
    <n v="0.5"/>
    <n v="2000"/>
    <n v="2"/>
    <n v="2"/>
    <x v="0"/>
    <n v="439572.5"/>
    <n v="169352"/>
    <n v="270220.5"/>
    <n v="600"/>
    <n v="600"/>
    <n v="108813.4"/>
    <n v="176206.2"/>
    <n v="285019.59999999998"/>
    <n v="14597.2"/>
    <n v="6413.6"/>
    <n v="21010.799999999999"/>
    <n v="30.38"/>
    <n v="0.15"/>
    <n v="6218.3"/>
    <n v="20815.5"/>
    <n v="600.15"/>
    <n v="600"/>
    <n v="305835.09999999998"/>
    <n v="30.42"/>
    <n v="2000"/>
  </r>
  <r>
    <s v="2000_0.3_0.5_2000_2.0_order_3"/>
    <x v="0"/>
    <n v="0.3"/>
    <n v="0.5"/>
    <n v="2000"/>
    <n v="2"/>
    <n v="3"/>
    <x v="0"/>
    <n v="444091.5"/>
    <n v="175675.5"/>
    <n v="268416"/>
    <n v="600"/>
    <n v="600.02"/>
    <n v="113514.2"/>
    <n v="172565.3"/>
    <n v="286079.5"/>
    <n v="13734.1"/>
    <n v="5577.6"/>
    <n v="19311.7"/>
    <n v="31.23"/>
    <n v="0.17"/>
    <n v="5234.8"/>
    <n v="18968.900000000001"/>
    <n v="600.19000000000005"/>
    <n v="600"/>
    <n v="305048.40000000002"/>
    <n v="31.31"/>
    <n v="2000"/>
  </r>
  <r>
    <s v="2000_0.3_0.5_2000_2.0_order_4"/>
    <x v="0"/>
    <n v="0.3"/>
    <n v="0.5"/>
    <n v="2000"/>
    <n v="2"/>
    <n v="4"/>
    <x v="0"/>
    <n v="443193.7"/>
    <n v="177975.9"/>
    <n v="265217.8"/>
    <n v="600"/>
    <n v="600"/>
    <n v="114850.5"/>
    <n v="169360.9"/>
    <n v="284211.40000000002"/>
    <n v="14031.1"/>
    <n v="6580.2"/>
    <n v="20611.3"/>
    <n v="31.22"/>
    <n v="0.16"/>
    <n v="6350.1"/>
    <n v="20381.2"/>
    <n v="600.16"/>
    <n v="600"/>
    <n v="304592.59999999998"/>
    <n v="31.27"/>
    <n v="2000"/>
  </r>
  <r>
    <s v="2000_0.3_0.5_2000_2.0_order_5"/>
    <x v="0"/>
    <n v="0.3"/>
    <n v="0.5"/>
    <n v="2000"/>
    <n v="2"/>
    <n v="5"/>
    <x v="0"/>
    <n v="463838.9"/>
    <n v="182621.5"/>
    <n v="281217.40000000002"/>
    <n v="600"/>
    <n v="600.02"/>
    <n v="114349.2"/>
    <n v="181006"/>
    <n v="295355.2"/>
    <n v="13683.2"/>
    <n v="5840.5"/>
    <n v="19523.7"/>
    <n v="32.11"/>
    <n v="0.18"/>
    <n v="5495.3"/>
    <n v="19178.5"/>
    <n v="600.20000000000005"/>
    <n v="600"/>
    <n v="314533.7"/>
    <n v="32.19"/>
    <n v="2000"/>
  </r>
  <r>
    <s v="2000_0.3_0.5_2000_3.0_order_1"/>
    <x v="0"/>
    <n v="0.3"/>
    <n v="0.5"/>
    <n v="2000"/>
    <n v="3"/>
    <n v="1"/>
    <x v="0"/>
    <n v="556141.4"/>
    <n v="221894.1"/>
    <n v="334247.3"/>
    <n v="600"/>
    <n v="600.03"/>
    <n v="145692.70000000001"/>
    <n v="221957.5"/>
    <n v="367650.2"/>
    <n v="13564"/>
    <n v="5709.8"/>
    <n v="19273.8"/>
    <n v="30.43"/>
    <n v="0.28000000000000003"/>
    <n v="5450"/>
    <n v="19014"/>
    <n v="600.30999999999995"/>
    <n v="600"/>
    <n v="386664.2"/>
    <n v="30.47"/>
    <n v="2000"/>
  </r>
  <r>
    <s v="2000_0.3_0.5_2000_3.0_order_2"/>
    <x v="0"/>
    <n v="0.3"/>
    <n v="0.5"/>
    <n v="2000"/>
    <n v="3"/>
    <n v="2"/>
    <x v="0"/>
    <n v="560257"/>
    <n v="221512.4"/>
    <n v="338744.6"/>
    <n v="600"/>
    <n v="600.01"/>
    <n v="148479.4"/>
    <n v="226825.9"/>
    <n v="375305.3"/>
    <n v="13224.8"/>
    <n v="5379.9"/>
    <n v="18604.7"/>
    <n v="29.69"/>
    <n v="0.26"/>
    <n v="5085.6000000000004"/>
    <n v="18310.400000000001"/>
    <n v="600.27"/>
    <n v="600"/>
    <n v="393615.7"/>
    <n v="29.74"/>
    <n v="2000"/>
  </r>
  <r>
    <s v="2000_0.3_0.5_2000_3.0_order_3"/>
    <x v="0"/>
    <n v="0.3"/>
    <n v="0.5"/>
    <n v="2000"/>
    <n v="3"/>
    <n v="3"/>
    <x v="0"/>
    <n v="568524.9"/>
    <n v="227982.2"/>
    <n v="340542.7"/>
    <n v="600"/>
    <n v="600"/>
    <n v="150885.6"/>
    <n v="230225.7"/>
    <n v="381111.3"/>
    <n v="13153.7"/>
    <n v="4845"/>
    <n v="17998.7"/>
    <n v="29.8"/>
    <n v="0.18"/>
    <n v="4577.8"/>
    <n v="17731.5"/>
    <n v="600.17999999999995"/>
    <n v="600"/>
    <n v="398842.8"/>
    <n v="29.85"/>
    <n v="2000"/>
  </r>
  <r>
    <s v="2000_0.3_0.5_2000_3.0_order_4"/>
    <x v="0"/>
    <n v="0.3"/>
    <n v="0.5"/>
    <n v="2000"/>
    <n v="3"/>
    <n v="4"/>
    <x v="0"/>
    <n v="572096.9"/>
    <n v="227950.6"/>
    <n v="344146.3"/>
    <n v="600"/>
    <n v="600.01"/>
    <n v="152743.9"/>
    <n v="234664.6"/>
    <n v="387408.5"/>
    <n v="13158.3"/>
    <n v="5119.3999999999996"/>
    <n v="18277.7"/>
    <n v="29.09"/>
    <n v="0.19"/>
    <n v="4847.6000000000004"/>
    <n v="18005.900000000001"/>
    <n v="600.19000000000005"/>
    <n v="600"/>
    <n v="405414.40000000002"/>
    <n v="29.14"/>
    <n v="2000"/>
  </r>
  <r>
    <s v="2000_0.3_0.5_2000_3.0_order_5"/>
    <x v="0"/>
    <n v="0.3"/>
    <n v="0.5"/>
    <n v="2000"/>
    <n v="3"/>
    <n v="5"/>
    <x v="0"/>
    <n v="563961.5"/>
    <n v="224204.2"/>
    <n v="339757.3"/>
    <n v="600"/>
    <n v="600.01"/>
    <n v="147503.9"/>
    <n v="225585.6"/>
    <n v="373089.5"/>
    <n v="13087.6"/>
    <n v="5487.8"/>
    <n v="18575.400000000001"/>
    <n v="30.55"/>
    <n v="0.22"/>
    <n v="5269.8"/>
    <n v="18357.400000000001"/>
    <n v="600.23"/>
    <n v="600"/>
    <n v="391446.9"/>
    <n v="30.59"/>
    <n v="2000"/>
  </r>
  <r>
    <s v="2000_0.3_0.5_500_1.0_order_1"/>
    <x v="0"/>
    <n v="0.3"/>
    <n v="0.5"/>
    <n v="500"/>
    <n v="1"/>
    <n v="1"/>
    <x v="0"/>
    <n v="74756.5"/>
    <n v="30616.9"/>
    <n v="44139.6"/>
    <n v="600"/>
    <n v="600"/>
    <n v="15672"/>
    <n v="23317.3"/>
    <n v="38989.300000000003"/>
    <n v="13195.6"/>
    <n v="3772.2"/>
    <n v="16967.8"/>
    <n v="25.15"/>
    <n v="0.08"/>
    <n v="3700.3"/>
    <n v="16895.900000000001"/>
    <n v="600.09"/>
    <n v="600"/>
    <n v="55885.2"/>
    <n v="25.24"/>
    <n v="2000"/>
  </r>
  <r>
    <s v="2000_0.3_0.5_500_1.0_order_2"/>
    <x v="0"/>
    <n v="0.3"/>
    <n v="0.5"/>
    <n v="500"/>
    <n v="1"/>
    <n v="2"/>
    <x v="0"/>
    <n v="70154.3"/>
    <n v="27368.3"/>
    <n v="42786"/>
    <n v="600"/>
    <n v="600.01"/>
    <n v="15025.8"/>
    <n v="22993"/>
    <n v="38018.800000000003"/>
    <n v="13229.7"/>
    <n v="3907.6"/>
    <n v="17137.3"/>
    <n v="21.38"/>
    <n v="0.05"/>
    <n v="3871.3"/>
    <n v="17101"/>
    <n v="600.05999999999995"/>
    <n v="600"/>
    <n v="55119.8"/>
    <n v="21.43"/>
    <n v="2000"/>
  </r>
  <r>
    <s v="2000_0.3_0.5_500_1.0_order_3"/>
    <x v="0"/>
    <n v="0.3"/>
    <n v="0.5"/>
    <n v="500"/>
    <n v="1"/>
    <n v="3"/>
    <x v="0"/>
    <n v="75606.899999999994"/>
    <n v="30252.1"/>
    <n v="45354.8"/>
    <n v="600"/>
    <n v="600"/>
    <n v="15984"/>
    <n v="24449.9"/>
    <n v="40433.9"/>
    <n v="13477.8"/>
    <n v="3842"/>
    <n v="17319.8"/>
    <n v="23.61"/>
    <n v="0.08"/>
    <n v="3762.8"/>
    <n v="17240.599999999999"/>
    <n v="600.08000000000004"/>
    <n v="600"/>
    <n v="57674.5"/>
    <n v="23.72"/>
    <n v="2000"/>
  </r>
  <r>
    <s v="2000_0.3_0.5_500_1.0_order_4"/>
    <x v="0"/>
    <n v="0.3"/>
    <n v="0.5"/>
    <n v="500"/>
    <n v="1"/>
    <n v="4"/>
    <x v="0"/>
    <n v="75315.199999999997"/>
    <n v="30632"/>
    <n v="44683.199999999997"/>
    <n v="600"/>
    <n v="600"/>
    <n v="16139.7"/>
    <n v="23613.599999999999"/>
    <n v="39753.300000000003"/>
    <n v="13687.3"/>
    <n v="3777.9"/>
    <n v="17465.2"/>
    <n v="24.03"/>
    <n v="0.06"/>
    <n v="3727.2"/>
    <n v="17414.5"/>
    <n v="600.05999999999995"/>
    <n v="600"/>
    <n v="57167.8"/>
    <n v="24.1"/>
    <n v="2000"/>
  </r>
  <r>
    <s v="2000_0.3_0.5_500_1.0_order_5"/>
    <x v="0"/>
    <n v="0.3"/>
    <n v="0.5"/>
    <n v="500"/>
    <n v="1"/>
    <n v="5"/>
    <x v="0"/>
    <n v="73279.899999999994"/>
    <n v="27895.1"/>
    <n v="45384.800000000003"/>
    <n v="600"/>
    <n v="600"/>
    <n v="15256.4"/>
    <n v="23590.9"/>
    <n v="38847.300000000003"/>
    <n v="13496"/>
    <n v="3656"/>
    <n v="17152"/>
    <n v="23.58"/>
    <n v="0.09"/>
    <n v="3564.2"/>
    <n v="17060.2"/>
    <n v="600.09"/>
    <n v="600"/>
    <n v="55907.5"/>
    <n v="23.71"/>
    <n v="2000"/>
  </r>
  <r>
    <s v="2000_0.3_0.5_500_2.0_order_1"/>
    <x v="0"/>
    <n v="0.3"/>
    <n v="0.5"/>
    <n v="500"/>
    <n v="2"/>
    <n v="1"/>
    <x v="0"/>
    <n v="110472.8"/>
    <n v="42931.8"/>
    <n v="67541"/>
    <n v="600"/>
    <n v="600"/>
    <n v="23271.8"/>
    <n v="38634.1"/>
    <n v="61905.9"/>
    <n v="13519.5"/>
    <n v="4732.3"/>
    <n v="18251.8"/>
    <n v="27.44"/>
    <n v="0.12"/>
    <n v="4604.8999999999996"/>
    <n v="18124.400000000001"/>
    <n v="600.12"/>
    <n v="600"/>
    <n v="80030.3"/>
    <n v="27.56"/>
    <n v="2000"/>
  </r>
  <r>
    <s v="2000_0.3_0.5_500_2.0_order_2"/>
    <x v="0"/>
    <n v="0.3"/>
    <n v="0.5"/>
    <n v="500"/>
    <n v="2"/>
    <n v="2"/>
    <x v="0"/>
    <n v="106280.6"/>
    <n v="42654.400000000001"/>
    <n v="63626.2"/>
    <n v="600"/>
    <n v="600"/>
    <n v="24262.799999999999"/>
    <n v="36280.6"/>
    <n v="60543.4"/>
    <n v="13140.5"/>
    <n v="3984.4"/>
    <n v="17124.900000000001"/>
    <n v="26.92"/>
    <n v="0.12"/>
    <n v="3812.3"/>
    <n v="16952.8"/>
    <n v="600.12"/>
    <n v="600"/>
    <n v="77496.2"/>
    <n v="27.08"/>
    <n v="2000"/>
  </r>
  <r>
    <s v="2000_0.3_0.5_500_2.0_order_3"/>
    <x v="0"/>
    <n v="0.3"/>
    <n v="0.5"/>
    <n v="500"/>
    <n v="2"/>
    <n v="3"/>
    <x v="0"/>
    <n v="107447.3"/>
    <n v="42720.6"/>
    <n v="64726.7"/>
    <n v="600"/>
    <n v="600"/>
    <n v="23556.9"/>
    <n v="36822.699999999997"/>
    <n v="60379.6"/>
    <n v="13079.9"/>
    <n v="4073.1"/>
    <n v="17153"/>
    <n v="27.84"/>
    <n v="0.14000000000000001"/>
    <n v="3886.7"/>
    <n v="16966.599999999999"/>
    <n v="600.14"/>
    <n v="600"/>
    <n v="77346.2"/>
    <n v="28.01"/>
    <n v="2000"/>
  </r>
  <r>
    <s v="2000_0.3_0.5_500_2.0_order_4"/>
    <x v="0"/>
    <n v="0.3"/>
    <n v="0.5"/>
    <n v="500"/>
    <n v="2"/>
    <n v="4"/>
    <x v="0"/>
    <n v="109197.5"/>
    <n v="44088"/>
    <n v="65109.5"/>
    <n v="600"/>
    <n v="600.01"/>
    <n v="24638.400000000001"/>
    <n v="36485.4"/>
    <n v="61123.8"/>
    <n v="13789.9"/>
    <n v="4772.7"/>
    <n v="18562.599999999999"/>
    <n v="27.03"/>
    <n v="0.16"/>
    <n v="4630.6000000000004"/>
    <n v="18420.5"/>
    <n v="600.16"/>
    <n v="600"/>
    <n v="79544.3"/>
    <n v="27.16"/>
    <n v="2000"/>
  </r>
  <r>
    <s v="2000_0.3_0.5_500_2.0_order_5"/>
    <x v="0"/>
    <n v="0.3"/>
    <n v="0.5"/>
    <n v="500"/>
    <n v="2"/>
    <n v="5"/>
    <x v="0"/>
    <n v="111481.7"/>
    <n v="43469.4"/>
    <n v="68012.3"/>
    <n v="600"/>
    <n v="600"/>
    <n v="24538.799999999999"/>
    <n v="38364.199999999997"/>
    <n v="62903"/>
    <n v="13181.8"/>
    <n v="4231.8"/>
    <n v="17413.599999999999"/>
    <n v="27.96"/>
    <n v="0.11"/>
    <n v="4021.7"/>
    <n v="17203.5"/>
    <n v="600.11"/>
    <n v="600"/>
    <n v="80106.5"/>
    <n v="28.14"/>
    <n v="2000"/>
  </r>
  <r>
    <s v="2000_0.3_0.5_500_3.0_order_1"/>
    <x v="0"/>
    <n v="0.3"/>
    <n v="0.5"/>
    <n v="500"/>
    <n v="3"/>
    <n v="1"/>
    <x v="0"/>
    <n v="143946.29999999999"/>
    <n v="57323.8"/>
    <n v="86622.5"/>
    <n v="600"/>
    <n v="600.02"/>
    <n v="34261.800000000003"/>
    <n v="52974.3"/>
    <n v="87236.1"/>
    <n v="12825.8"/>
    <n v="4060.6"/>
    <n v="16886.400000000001"/>
    <n v="27.67"/>
    <n v="0.15"/>
    <n v="3857.8"/>
    <n v="16683.599999999999"/>
    <n v="600.16999999999996"/>
    <n v="600"/>
    <n v="103919.7"/>
    <n v="27.81"/>
    <n v="2000"/>
  </r>
  <r>
    <s v="2000_0.3_0.5_500_3.0_order_2"/>
    <x v="0"/>
    <n v="0.3"/>
    <n v="0.5"/>
    <n v="500"/>
    <n v="3"/>
    <n v="2"/>
    <x v="0"/>
    <n v="137491.9"/>
    <n v="53804.5"/>
    <n v="83687.399999999994"/>
    <n v="600"/>
    <n v="600.01"/>
    <n v="31500.3"/>
    <n v="50493.2"/>
    <n v="81993.5"/>
    <n v="13135.6"/>
    <n v="4382.8"/>
    <n v="17518.400000000001"/>
    <n v="27.62"/>
    <n v="0.21"/>
    <n v="4099.7"/>
    <n v="17235.3"/>
    <n v="600.21"/>
    <n v="600"/>
    <n v="99228.800000000003"/>
    <n v="27.83"/>
    <n v="2000"/>
  </r>
  <r>
    <s v="2000_0.3_0.5_500_3.0_order_3"/>
    <x v="0"/>
    <n v="0.3"/>
    <n v="0.5"/>
    <n v="500"/>
    <n v="3"/>
    <n v="3"/>
    <x v="0"/>
    <n v="134184.20000000001"/>
    <n v="54224.9"/>
    <n v="79959.3"/>
    <n v="600"/>
    <n v="600"/>
    <n v="31666"/>
    <n v="48692.3"/>
    <n v="80358.3"/>
    <n v="12789.5"/>
    <n v="4056.6"/>
    <n v="16846.099999999999"/>
    <n v="27.56"/>
    <n v="0.18"/>
    <n v="3943.3"/>
    <n v="16732.8"/>
    <n v="600.17999999999995"/>
    <n v="600"/>
    <n v="97091.1"/>
    <n v="27.64"/>
    <n v="2000"/>
  </r>
  <r>
    <s v="2000_0.3_0.5_500_3.0_order_4"/>
    <x v="0"/>
    <n v="0.3"/>
    <n v="0.5"/>
    <n v="500"/>
    <n v="3"/>
    <n v="4"/>
    <x v="0"/>
    <n v="140703.4"/>
    <n v="54175.8"/>
    <n v="86527.6"/>
    <n v="600"/>
    <n v="600"/>
    <n v="33033.9"/>
    <n v="53585.1"/>
    <n v="86619"/>
    <n v="12896.4"/>
    <n v="3739.1"/>
    <n v="16635.5"/>
    <n v="26.62"/>
    <n v="0.16"/>
    <n v="3603"/>
    <n v="16499.400000000001"/>
    <n v="600.16999999999996"/>
    <n v="600"/>
    <n v="103118.39999999999"/>
    <n v="26.71"/>
    <n v="2000"/>
  </r>
  <r>
    <s v="2000_0.3_0.5_500_3.0_order_5"/>
    <x v="0"/>
    <n v="0.3"/>
    <n v="0.5"/>
    <n v="500"/>
    <n v="3"/>
    <n v="5"/>
    <x v="0"/>
    <n v="136155.6"/>
    <n v="51030.7"/>
    <n v="85124.9"/>
    <n v="600"/>
    <n v="600"/>
    <n v="30895.1"/>
    <n v="51056.9"/>
    <n v="81952"/>
    <n v="12747.5"/>
    <n v="4005.2"/>
    <n v="16752.7"/>
    <n v="27.51"/>
    <n v="0.12"/>
    <n v="3827.8"/>
    <n v="16575.3"/>
    <n v="600.13"/>
    <n v="600"/>
    <n v="98527.3"/>
    <n v="27.64"/>
    <n v="2000"/>
  </r>
  <r>
    <s v="2000_0.4_0.5_1000_1.0_order_1"/>
    <x v="0"/>
    <n v="0.4"/>
    <n v="0.5"/>
    <n v="1000"/>
    <n v="1"/>
    <n v="1"/>
    <x v="0"/>
    <n v="146743.6"/>
    <n v="58000.4"/>
    <n v="88743.2"/>
    <n v="600"/>
    <n v="600.01"/>
    <n v="30954.799999999999"/>
    <n v="48494.7"/>
    <n v="79449.5"/>
    <n v="14754.8"/>
    <n v="7261.5"/>
    <n v="22016.3"/>
    <n v="30.86"/>
    <n v="0.14000000000000001"/>
    <n v="7099.7"/>
    <n v="21854.5"/>
    <n v="600.14"/>
    <n v="600"/>
    <n v="101304"/>
    <n v="30.97"/>
    <n v="2000"/>
  </r>
  <r>
    <s v="2000_0.4_0.5_1000_1.0_order_2"/>
    <x v="0"/>
    <n v="0.4"/>
    <n v="0.5"/>
    <n v="1000"/>
    <n v="1"/>
    <n v="2"/>
    <x v="0"/>
    <n v="147538.70000000001"/>
    <n v="60411.8"/>
    <n v="87126.9"/>
    <n v="600"/>
    <n v="600"/>
    <n v="32658.3"/>
    <n v="47045.599999999999"/>
    <n v="79703.899999999994"/>
    <n v="15006.7"/>
    <n v="7012.1"/>
    <n v="22018.799999999999"/>
    <n v="31.05"/>
    <n v="0.14000000000000001"/>
    <n v="6856.1"/>
    <n v="21862.799999999999"/>
    <n v="600.14"/>
    <n v="600"/>
    <n v="101566.7"/>
    <n v="31.16"/>
    <n v="2000"/>
  </r>
  <r>
    <s v="2000_0.4_0.5_1000_1.0_order_3"/>
    <x v="0"/>
    <n v="0.4"/>
    <n v="0.5"/>
    <n v="1000"/>
    <n v="1"/>
    <n v="3"/>
    <x v="0"/>
    <n v="147212.4"/>
    <n v="60036.4"/>
    <n v="87176"/>
    <n v="600"/>
    <n v="600"/>
    <n v="31532.6"/>
    <n v="46959.9"/>
    <n v="78492.5"/>
    <n v="14571.5"/>
    <n v="7217.5"/>
    <n v="21789"/>
    <n v="31.88"/>
    <n v="0.15"/>
    <n v="7071.1"/>
    <n v="21642.6"/>
    <n v="600.15"/>
    <n v="600"/>
    <n v="100135.1"/>
    <n v="31.98"/>
    <n v="2000"/>
  </r>
  <r>
    <s v="2000_0.4_0.5_1000_1.0_order_4"/>
    <x v="0"/>
    <n v="0.4"/>
    <n v="0.5"/>
    <n v="1000"/>
    <n v="1"/>
    <n v="4"/>
    <x v="0"/>
    <n v="148707.4"/>
    <n v="61039"/>
    <n v="87668.4"/>
    <n v="600"/>
    <n v="600.01"/>
    <n v="31648.6"/>
    <n v="46360.3"/>
    <n v="78008.899999999994"/>
    <n v="15050.2"/>
    <n v="7326.7"/>
    <n v="22376.9"/>
    <n v="32.49"/>
    <n v="0.14000000000000001"/>
    <n v="7225.4"/>
    <n v="22275.599999999999"/>
    <n v="600.15"/>
    <n v="600"/>
    <n v="100284.5"/>
    <n v="32.56"/>
    <n v="2000"/>
  </r>
  <r>
    <s v="2000_0.4_0.5_1000_1.0_order_5"/>
    <x v="0"/>
    <n v="0.4"/>
    <n v="0.5"/>
    <n v="1000"/>
    <n v="1"/>
    <n v="5"/>
    <x v="0"/>
    <n v="148055.70000000001"/>
    <n v="57683"/>
    <n v="90372.7"/>
    <n v="600"/>
    <n v="600.01"/>
    <n v="31121.3"/>
    <n v="47946.1"/>
    <n v="79067.399999999994"/>
    <n v="14923.2"/>
    <n v="7203.5"/>
    <n v="22126.7"/>
    <n v="31.65"/>
    <n v="0.14000000000000001"/>
    <n v="7087"/>
    <n v="22010.2"/>
    <n v="600.15"/>
    <n v="600"/>
    <n v="101077.6"/>
    <n v="31.73"/>
    <n v="2000"/>
  </r>
  <r>
    <s v="2000_0.4_0.5_1000_2.0_order_1"/>
    <x v="0"/>
    <n v="0.4"/>
    <n v="0.5"/>
    <n v="1000"/>
    <n v="2"/>
    <n v="1"/>
    <x v="0"/>
    <n v="230670.1"/>
    <n v="90584.2"/>
    <n v="140085.9"/>
    <n v="600"/>
    <n v="600.01"/>
    <n v="52034.1"/>
    <n v="80177.100000000006"/>
    <n v="132211.20000000001"/>
    <n v="13511.1"/>
    <n v="6908.6"/>
    <n v="20419.7"/>
    <n v="33.83"/>
    <n v="0.26"/>
    <n v="6746.2"/>
    <n v="20257.3"/>
    <n v="600.27"/>
    <n v="600"/>
    <n v="152468.5"/>
    <n v="33.9"/>
    <n v="2000"/>
  </r>
  <r>
    <s v="2000_0.4_0.5_1000_2.0_order_2"/>
    <x v="0"/>
    <n v="0.4"/>
    <n v="0.5"/>
    <n v="1000"/>
    <n v="2"/>
    <n v="2"/>
    <x v="0"/>
    <n v="230566.8"/>
    <n v="88402.6"/>
    <n v="142164.20000000001"/>
    <n v="600"/>
    <n v="600.02"/>
    <n v="50883.3"/>
    <n v="81439.899999999994"/>
    <n v="132323.20000000001"/>
    <n v="13330.4"/>
    <n v="6248.3"/>
    <n v="19578.7"/>
    <n v="34.119999999999997"/>
    <n v="0.26"/>
    <n v="6072.6"/>
    <n v="19403"/>
    <n v="600.28"/>
    <n v="600"/>
    <n v="151726.20000000001"/>
    <n v="34.19"/>
    <n v="2000"/>
  </r>
  <r>
    <s v="2000_0.4_0.5_1000_2.0_order_3"/>
    <x v="0"/>
    <n v="0.4"/>
    <n v="0.5"/>
    <n v="1000"/>
    <n v="2"/>
    <n v="3"/>
    <x v="0"/>
    <n v="216725.7"/>
    <n v="84765.8"/>
    <n v="131959.9"/>
    <n v="600"/>
    <n v="600"/>
    <n v="48495.6"/>
    <n v="75681.399999999994"/>
    <n v="124177"/>
    <n v="13723"/>
    <n v="6508.1"/>
    <n v="20231.099999999999"/>
    <n v="33.369999999999997"/>
    <n v="0.26"/>
    <n v="6360.2"/>
    <n v="20083.2"/>
    <n v="600.27"/>
    <n v="600"/>
    <n v="144260.20000000001"/>
    <n v="33.44"/>
    <n v="2000"/>
  </r>
  <r>
    <s v="2000_0.4_0.5_1000_2.0_order_4"/>
    <x v="0"/>
    <n v="0.4"/>
    <n v="0.5"/>
    <n v="1000"/>
    <n v="2"/>
    <n v="4"/>
    <x v="0"/>
    <n v="228249.8"/>
    <n v="93670.2"/>
    <n v="134579.6"/>
    <n v="600"/>
    <n v="600.01"/>
    <n v="53066.9"/>
    <n v="76090.3"/>
    <n v="129157.2"/>
    <n v="13886.2"/>
    <n v="6532.7"/>
    <n v="20418.900000000001"/>
    <n v="34.47"/>
    <n v="0.23"/>
    <n v="6369.2"/>
    <n v="20255.400000000001"/>
    <n v="600.24"/>
    <n v="600"/>
    <n v="149412.6"/>
    <n v="34.54"/>
    <n v="2000"/>
  </r>
  <r>
    <s v="2000_0.4_0.5_1000_2.0_order_5"/>
    <x v="0"/>
    <n v="0.4"/>
    <n v="0.5"/>
    <n v="1000"/>
    <n v="2"/>
    <n v="5"/>
    <x v="0"/>
    <n v="216003.3"/>
    <n v="85862.7"/>
    <n v="130140.6"/>
    <n v="600"/>
    <n v="600.01"/>
    <n v="49877.2"/>
    <n v="74781.8"/>
    <n v="124659"/>
    <n v="13982.5"/>
    <n v="6740.4"/>
    <n v="20722.900000000001"/>
    <n v="32.69"/>
    <n v="0.21"/>
    <n v="6573.1"/>
    <n v="20555.599999999999"/>
    <n v="600.22"/>
    <n v="600"/>
    <n v="145214.6"/>
    <n v="32.770000000000003"/>
    <n v="2000"/>
  </r>
  <r>
    <s v="2000_0.4_0.5_1000_3.0_order_1"/>
    <x v="0"/>
    <n v="0.4"/>
    <n v="0.5"/>
    <n v="1000"/>
    <n v="3"/>
    <n v="1"/>
    <x v="0"/>
    <n v="276286"/>
    <n v="109961"/>
    <n v="166325"/>
    <n v="600"/>
    <n v="600.02"/>
    <n v="65874.899999999994"/>
    <n v="100089.9"/>
    <n v="165964.79999999999"/>
    <n v="12939"/>
    <n v="5395.9"/>
    <n v="18334.900000000001"/>
    <n v="33.29"/>
    <n v="0.34"/>
    <n v="5201.8999999999996"/>
    <n v="18140.900000000001"/>
    <n v="600.36"/>
    <n v="600"/>
    <n v="184105.7"/>
    <n v="33.36"/>
    <n v="2000"/>
  </r>
  <r>
    <s v="2000_0.4_0.5_1000_3.0_order_2"/>
    <x v="0"/>
    <n v="0.4"/>
    <n v="0.5"/>
    <n v="1000"/>
    <n v="3"/>
    <n v="2"/>
    <x v="0"/>
    <n v="279729.59999999998"/>
    <n v="113230.9"/>
    <n v="166498.70000000001"/>
    <n v="600"/>
    <n v="600.02"/>
    <n v="67011.7"/>
    <n v="97335.3"/>
    <n v="164347"/>
    <n v="13523.2"/>
    <n v="5764.7"/>
    <n v="19287.900000000001"/>
    <n v="34.35"/>
    <n v="0.28999999999999998"/>
    <n v="5481.7"/>
    <n v="19004.900000000001"/>
    <n v="600.29999999999995"/>
    <n v="600"/>
    <n v="183351.9"/>
    <n v="34.450000000000003"/>
    <n v="2000"/>
  </r>
  <r>
    <s v="2000_0.4_0.5_1000_3.0_order_3"/>
    <x v="0"/>
    <n v="0.4"/>
    <n v="0.5"/>
    <n v="1000"/>
    <n v="3"/>
    <n v="3"/>
    <x v="0"/>
    <n v="279169.2"/>
    <n v="112698.4"/>
    <n v="166470.79999999999"/>
    <n v="600"/>
    <n v="600.01"/>
    <n v="67661.3"/>
    <n v="99441.8"/>
    <n v="167103.1"/>
    <n v="12835.3"/>
    <n v="5486.7"/>
    <n v="18322"/>
    <n v="33.58"/>
    <n v="0.28000000000000003"/>
    <n v="5301"/>
    <n v="18136.3"/>
    <n v="600.29"/>
    <n v="600"/>
    <n v="185239.4"/>
    <n v="33.65"/>
    <n v="2000"/>
  </r>
  <r>
    <s v="2000_0.4_0.5_1000_3.0_order_4"/>
    <x v="0"/>
    <n v="0.4"/>
    <n v="0.5"/>
    <n v="1000"/>
    <n v="3"/>
    <n v="4"/>
    <x v="0"/>
    <n v="283603"/>
    <n v="106923.5"/>
    <n v="176679.5"/>
    <n v="600"/>
    <n v="600.01"/>
    <n v="62509.2"/>
    <n v="104720.7"/>
    <n v="167229.9"/>
    <n v="13300.1"/>
    <n v="5875"/>
    <n v="19175.099999999999"/>
    <n v="34.270000000000003"/>
    <n v="0.32"/>
    <n v="5644.8"/>
    <n v="18944.900000000001"/>
    <n v="600.33000000000004"/>
    <n v="600"/>
    <n v="186174.8"/>
    <n v="34.35"/>
    <n v="2000"/>
  </r>
  <r>
    <s v="2000_0.4_0.5_1000_3.0_order_5"/>
    <x v="0"/>
    <n v="0.4"/>
    <n v="0.5"/>
    <n v="1000"/>
    <n v="3"/>
    <n v="5"/>
    <x v="0"/>
    <n v="280909.3"/>
    <n v="115396.7"/>
    <n v="165512.6"/>
    <n v="600"/>
    <n v="600.01"/>
    <n v="68531.100000000006"/>
    <n v="97497.8"/>
    <n v="166028.9"/>
    <n v="13884.3"/>
    <n v="6530.2"/>
    <n v="20414.5"/>
    <n v="33.630000000000003"/>
    <n v="0.31"/>
    <n v="6259"/>
    <n v="20143.3"/>
    <n v="600.32000000000005"/>
    <n v="600"/>
    <n v="186172.2"/>
    <n v="33.729999999999997"/>
    <n v="2000"/>
  </r>
  <r>
    <s v="2000_0.4_0.5_2000_1.0_order_1"/>
    <x v="0"/>
    <n v="0.4"/>
    <n v="0.5"/>
    <n v="2000"/>
    <n v="1"/>
    <n v="1"/>
    <x v="0"/>
    <n v="295726.09999999998"/>
    <n v="118267.4"/>
    <n v="177458.7"/>
    <n v="600"/>
    <n v="600.01"/>
    <n v="67075.8"/>
    <n v="101333.7"/>
    <n v="168409.5"/>
    <n v="14317.7"/>
    <n v="8421.2999999999993"/>
    <n v="22739"/>
    <n v="35.36"/>
    <n v="0.14000000000000001"/>
    <n v="8360.4"/>
    <n v="22678.1"/>
    <n v="600.15"/>
    <n v="600"/>
    <n v="191087.6"/>
    <n v="35.380000000000003"/>
    <n v="2000"/>
  </r>
  <r>
    <s v="2000_0.4_0.5_2000_1.0_order_2"/>
    <x v="0"/>
    <n v="0.4"/>
    <n v="0.5"/>
    <n v="2000"/>
    <n v="1"/>
    <n v="2"/>
    <x v="0"/>
    <n v="298600.8"/>
    <n v="119219.5"/>
    <n v="179381.3"/>
    <n v="600"/>
    <n v="600.01"/>
    <n v="68374.399999999994"/>
    <n v="103882.8"/>
    <n v="172257.2"/>
    <n v="14660.9"/>
    <n v="8040.4"/>
    <n v="22701.3"/>
    <n v="34.71"/>
    <n v="0.13"/>
    <n v="7737.6"/>
    <n v="22398.5"/>
    <n v="600.14"/>
    <n v="600"/>
    <n v="194655.7"/>
    <n v="34.81"/>
    <n v="2000"/>
  </r>
  <r>
    <s v="2000_0.4_0.5_2000_1.0_order_3"/>
    <x v="0"/>
    <n v="0.4"/>
    <n v="0.5"/>
    <n v="2000"/>
    <n v="1"/>
    <n v="3"/>
    <x v="0"/>
    <n v="292993.3"/>
    <n v="117695.9"/>
    <n v="175297.4"/>
    <n v="600"/>
    <n v="600"/>
    <n v="68708.7"/>
    <n v="102666.3"/>
    <n v="171375"/>
    <n v="14698"/>
    <n v="8008.2"/>
    <n v="22706.2"/>
    <n v="33.76"/>
    <n v="0.2"/>
    <n v="7864.1"/>
    <n v="22562.1"/>
    <n v="600.20000000000005"/>
    <n v="600"/>
    <n v="193937.1"/>
    <n v="33.81"/>
    <n v="2000"/>
  </r>
  <r>
    <s v="2000_0.4_0.5_2000_1.0_order_4"/>
    <x v="0"/>
    <n v="0.4"/>
    <n v="0.5"/>
    <n v="2000"/>
    <n v="1"/>
    <n v="4"/>
    <x v="0"/>
    <n v="301400.5"/>
    <n v="122960.4"/>
    <n v="178440.1"/>
    <n v="600"/>
    <n v="600"/>
    <n v="69348.100000000006"/>
    <n v="99404.9"/>
    <n v="168753"/>
    <n v="14962.2"/>
    <n v="8099.3"/>
    <n v="23061.5"/>
    <n v="36.36"/>
    <n v="0.18"/>
    <n v="7959.5"/>
    <n v="22921.7"/>
    <n v="600.19000000000005"/>
    <n v="600"/>
    <n v="191674.7"/>
    <n v="36.409999999999997"/>
    <n v="2000"/>
  </r>
  <r>
    <s v="2000_0.4_0.5_2000_1.0_order_5"/>
    <x v="0"/>
    <n v="0.4"/>
    <n v="0.5"/>
    <n v="2000"/>
    <n v="1"/>
    <n v="5"/>
    <x v="0"/>
    <n v="299455.59999999998"/>
    <n v="121744.5"/>
    <n v="177711.1"/>
    <n v="600"/>
    <n v="600"/>
    <n v="68780.7"/>
    <n v="101419.2"/>
    <n v="170199.9"/>
    <n v="14926.5"/>
    <n v="8236.6"/>
    <n v="23163.1"/>
    <n v="35.43"/>
    <n v="0.18"/>
    <n v="7870"/>
    <n v="22796.5"/>
    <n v="600.17999999999995"/>
    <n v="600"/>
    <n v="192996.4"/>
    <n v="35.549999999999997"/>
    <n v="2000"/>
  </r>
  <r>
    <s v="2000_0.4_0.5_2000_2.0_order_1"/>
    <x v="0"/>
    <n v="0.4"/>
    <n v="0.5"/>
    <n v="2000"/>
    <n v="2"/>
    <n v="1"/>
    <x v="0"/>
    <n v="447962.7"/>
    <n v="187483.7"/>
    <n v="260479"/>
    <n v="600"/>
    <n v="600.02"/>
    <n v="112011.7"/>
    <n v="155013.79999999999"/>
    <n v="267025.5"/>
    <n v="13729.4"/>
    <n v="7509.6"/>
    <n v="21239"/>
    <n v="35.65"/>
    <n v="0.26"/>
    <n v="7288.2"/>
    <n v="21017.599999999999"/>
    <n v="600.28"/>
    <n v="600"/>
    <n v="288043.09999999998"/>
    <n v="35.700000000000003"/>
    <n v="2000"/>
  </r>
  <r>
    <s v="2000_0.4_0.5_2000_2.0_order_2"/>
    <x v="0"/>
    <n v="0.4"/>
    <n v="0.5"/>
    <n v="2000"/>
    <n v="2"/>
    <n v="2"/>
    <x v="0"/>
    <n v="453956.8"/>
    <n v="177453.1"/>
    <n v="276503.7"/>
    <n v="600"/>
    <n v="600.03"/>
    <n v="107327.2"/>
    <n v="164270.6"/>
    <n v="271597.8"/>
    <n v="13676.7"/>
    <n v="6972.2"/>
    <n v="20648.900000000001"/>
    <n v="35.619999999999997"/>
    <n v="0.23"/>
    <n v="6664.2"/>
    <n v="20340.900000000001"/>
    <n v="600.26"/>
    <n v="600"/>
    <n v="291938.7"/>
    <n v="35.69"/>
    <n v="2000"/>
  </r>
  <r>
    <s v="2000_0.4_0.5_2000_2.0_order_3"/>
    <x v="0"/>
    <n v="0.4"/>
    <n v="0.5"/>
    <n v="2000"/>
    <n v="2"/>
    <n v="3"/>
    <x v="0"/>
    <n v="446076.3"/>
    <n v="172106.3"/>
    <n v="273970"/>
    <n v="600"/>
    <n v="600.01"/>
    <n v="102898"/>
    <n v="161040"/>
    <n v="263938"/>
    <n v="13869.9"/>
    <n v="7551"/>
    <n v="21420.9"/>
    <n v="36.03"/>
    <n v="0.25"/>
    <n v="7410.1"/>
    <n v="21280"/>
    <n v="600.26"/>
    <n v="600"/>
    <n v="285218"/>
    <n v="36.06"/>
    <n v="2000"/>
  </r>
  <r>
    <s v="2000_0.4_0.5_2000_2.0_order_4"/>
    <x v="0"/>
    <n v="0.4"/>
    <n v="0.5"/>
    <n v="2000"/>
    <n v="2"/>
    <n v="4"/>
    <x v="0"/>
    <n v="439522.5"/>
    <n v="174035.5"/>
    <n v="265487"/>
    <n v="600"/>
    <n v="600.03"/>
    <n v="103913.4"/>
    <n v="157166.9"/>
    <n v="261080.3"/>
    <n v="13783.4"/>
    <n v="7353.2"/>
    <n v="21136.6"/>
    <n v="35.79"/>
    <n v="0.27"/>
    <n v="7084.4"/>
    <n v="20867.8"/>
    <n v="600.29999999999995"/>
    <n v="600"/>
    <n v="281948.09999999998"/>
    <n v="35.85"/>
    <n v="2000"/>
  </r>
  <r>
    <s v="2000_0.4_0.5_2000_2.0_order_5"/>
    <x v="0"/>
    <n v="0.4"/>
    <n v="0.5"/>
    <n v="2000"/>
    <n v="2"/>
    <n v="5"/>
    <x v="0"/>
    <n v="445828"/>
    <n v="180145.2"/>
    <n v="265682.8"/>
    <n v="600"/>
    <n v="600.03"/>
    <n v="102533"/>
    <n v="155505.29999999999"/>
    <n v="258038.3"/>
    <n v="14279.6"/>
    <n v="8281.9"/>
    <n v="22561.5"/>
    <n v="37.06"/>
    <n v="0.23"/>
    <n v="8026.8"/>
    <n v="22306.400000000001"/>
    <n v="600.26"/>
    <n v="600"/>
    <n v="280344.7"/>
    <n v="37.119999999999997"/>
    <n v="2000"/>
  </r>
  <r>
    <s v="2000_0.4_0.5_2000_3.0_order_1"/>
    <x v="0"/>
    <n v="0.4"/>
    <n v="0.5"/>
    <n v="2000"/>
    <n v="3"/>
    <n v="1"/>
    <x v="0"/>
    <n v="562335.69999999995"/>
    <n v="220931.3"/>
    <n v="341404.4"/>
    <n v="600"/>
    <n v="600.03"/>
    <n v="137213.29999999999"/>
    <n v="211566.6"/>
    <n v="348779.9"/>
    <n v="13404.9"/>
    <n v="5871.5"/>
    <n v="19276.400000000001"/>
    <n v="34.549999999999997"/>
    <n v="0.28000000000000003"/>
    <n v="5610.1"/>
    <n v="19015"/>
    <n v="600.30999999999995"/>
    <n v="600"/>
    <n v="367794.9"/>
    <n v="34.6"/>
    <n v="2000"/>
  </r>
  <r>
    <s v="2000_0.4_0.5_2000_3.0_order_2"/>
    <x v="0"/>
    <n v="0.4"/>
    <n v="0.5"/>
    <n v="2000"/>
    <n v="3"/>
    <n v="2"/>
    <x v="0"/>
    <n v="564231"/>
    <n v="222582"/>
    <n v="341649"/>
    <n v="600"/>
    <n v="600.01"/>
    <n v="136956.9"/>
    <n v="208310.39999999999"/>
    <n v="345267.3"/>
    <n v="13103.2"/>
    <n v="6038.1"/>
    <n v="19141.3"/>
    <n v="35.409999999999997"/>
    <n v="0.37"/>
    <n v="5698.2"/>
    <n v="18801.400000000001"/>
    <n v="600.38"/>
    <n v="600"/>
    <n v="364068.7"/>
    <n v="35.479999999999997"/>
    <n v="2000"/>
  </r>
  <r>
    <s v="2000_0.4_0.5_2000_3.0_order_3"/>
    <x v="0"/>
    <n v="0.4"/>
    <n v="0.5"/>
    <n v="2000"/>
    <n v="3"/>
    <n v="3"/>
    <x v="0"/>
    <n v="568389.69999999995"/>
    <n v="224541"/>
    <n v="343848.7"/>
    <n v="600"/>
    <n v="600.01"/>
    <n v="137184"/>
    <n v="211491.4"/>
    <n v="348675.4"/>
    <n v="13248.1"/>
    <n v="5951.5"/>
    <n v="19199.599999999999"/>
    <n v="35.28"/>
    <n v="0.31"/>
    <n v="5626.5"/>
    <n v="18874.599999999999"/>
    <n v="600.32000000000005"/>
    <n v="600"/>
    <n v="367550"/>
    <n v="35.33"/>
    <n v="2000"/>
  </r>
  <r>
    <s v="2000_0.4_0.5_2000_3.0_order_4"/>
    <x v="0"/>
    <n v="0.4"/>
    <n v="0.5"/>
    <n v="2000"/>
    <n v="3"/>
    <n v="4"/>
    <x v="0"/>
    <n v="568260.4"/>
    <n v="228002"/>
    <n v="340258.4"/>
    <n v="600"/>
    <n v="600.01"/>
    <n v="142337.1"/>
    <n v="212097.4"/>
    <n v="354434.5"/>
    <n v="13855.3"/>
    <n v="7004.8"/>
    <n v="20860.099999999999"/>
    <n v="33.96"/>
    <n v="0.28000000000000003"/>
    <n v="6727.3"/>
    <n v="20582.599999999999"/>
    <n v="600.29"/>
    <n v="600"/>
    <n v="375017.1"/>
    <n v="34.01"/>
    <n v="2000"/>
  </r>
  <r>
    <s v="2000_0.4_0.5_2000_3.0_order_5"/>
    <x v="0"/>
    <n v="0.4"/>
    <n v="0.5"/>
    <n v="2000"/>
    <n v="3"/>
    <n v="5"/>
    <x v="0"/>
    <n v="567033.1"/>
    <n v="227548.79999999999"/>
    <n v="339484.3"/>
    <n v="600"/>
    <n v="600.03"/>
    <n v="140424.20000000001"/>
    <n v="212815.1"/>
    <n v="353239.3"/>
    <n v="13169.6"/>
    <n v="5674.8"/>
    <n v="18844.400000000001"/>
    <n v="34.380000000000003"/>
    <n v="0.28999999999999998"/>
    <n v="5425"/>
    <n v="18594.599999999999"/>
    <n v="600.30999999999995"/>
    <n v="600"/>
    <n v="371833.9"/>
    <n v="34.42"/>
    <n v="2000"/>
  </r>
  <r>
    <s v="2000_0.4_0.5_500_1.0_order_1"/>
    <x v="0"/>
    <n v="0.4"/>
    <n v="0.5"/>
    <n v="500"/>
    <n v="1"/>
    <n v="1"/>
    <x v="0"/>
    <n v="72750.3"/>
    <n v="28783.5"/>
    <n v="43966.8"/>
    <n v="600"/>
    <n v="600"/>
    <n v="12846.5"/>
    <n v="21003.3"/>
    <n v="33849.800000000003"/>
    <n v="13844.2"/>
    <n v="5464.9"/>
    <n v="19309.099999999999"/>
    <n v="26.93"/>
    <n v="0.14000000000000001"/>
    <n v="5395.1"/>
    <n v="19239.3"/>
    <n v="600.14"/>
    <n v="600"/>
    <n v="53089.1"/>
    <n v="27.03"/>
    <n v="2000"/>
  </r>
  <r>
    <s v="2000_0.4_0.5_500_1.0_order_2"/>
    <x v="0"/>
    <n v="0.4"/>
    <n v="0.5"/>
    <n v="500"/>
    <n v="1"/>
    <n v="2"/>
    <x v="0"/>
    <n v="73605.100000000006"/>
    <n v="29630.9"/>
    <n v="43974.2"/>
    <n v="600"/>
    <n v="600"/>
    <n v="15280"/>
    <n v="21591.3"/>
    <n v="36871.300000000003"/>
    <n v="13240.3"/>
    <n v="5427.3"/>
    <n v="18667.599999999999"/>
    <n v="24.54"/>
    <n v="0.13"/>
    <n v="5364.1"/>
    <n v="18604.400000000001"/>
    <n v="600.13"/>
    <n v="600"/>
    <n v="55475.7"/>
    <n v="24.63"/>
    <n v="2000"/>
  </r>
  <r>
    <s v="2000_0.4_0.5_500_1.0_order_3"/>
    <x v="0"/>
    <n v="0.4"/>
    <n v="0.5"/>
    <n v="500"/>
    <n v="1"/>
    <n v="3"/>
    <x v="0"/>
    <n v="76455.600000000006"/>
    <n v="31014.400000000001"/>
    <n v="45441.2"/>
    <n v="600"/>
    <n v="600"/>
    <n v="14692.3"/>
    <n v="22425"/>
    <n v="37117.300000000003"/>
    <n v="14082.4"/>
    <n v="5604.3"/>
    <n v="19686.7"/>
    <n v="25.7"/>
    <n v="0.13"/>
    <n v="5516.4"/>
    <n v="19598.8"/>
    <n v="600.13"/>
    <n v="600"/>
    <n v="56716.1"/>
    <n v="25.82"/>
    <n v="2000"/>
  </r>
  <r>
    <s v="2000_0.4_0.5_500_1.0_order_4"/>
    <x v="0"/>
    <n v="0.4"/>
    <n v="0.5"/>
    <n v="500"/>
    <n v="1"/>
    <n v="4"/>
    <x v="0"/>
    <n v="73701.600000000006"/>
    <n v="29454.6"/>
    <n v="44247"/>
    <n v="600"/>
    <n v="600"/>
    <n v="14637.9"/>
    <n v="22568.9"/>
    <n v="37206.800000000003"/>
    <n v="13444.8"/>
    <n v="5111.3999999999996"/>
    <n v="18556.2"/>
    <n v="24.34"/>
    <n v="0.13"/>
    <n v="5049.6000000000004"/>
    <n v="18494.400000000001"/>
    <n v="600.14"/>
    <n v="600"/>
    <n v="55701.2"/>
    <n v="24.42"/>
    <n v="2000"/>
  </r>
  <r>
    <s v="2000_0.4_0.5_500_1.0_order_5"/>
    <x v="0"/>
    <n v="0.4"/>
    <n v="0.5"/>
    <n v="500"/>
    <n v="1"/>
    <n v="5"/>
    <x v="0"/>
    <n v="76721.100000000006"/>
    <n v="28543.3"/>
    <n v="48177.8"/>
    <n v="600"/>
    <n v="600"/>
    <n v="14508"/>
    <n v="23289.3"/>
    <n v="37797.300000000003"/>
    <n v="13846.2"/>
    <n v="5264"/>
    <n v="19110.2"/>
    <n v="25.83"/>
    <n v="0.14000000000000001"/>
    <n v="5198.5"/>
    <n v="19044.7"/>
    <n v="600.14"/>
    <n v="600"/>
    <n v="56842"/>
    <n v="25.91"/>
    <n v="2000"/>
  </r>
  <r>
    <s v="2000_0.4_0.5_500_2.0_order_1"/>
    <x v="0"/>
    <n v="0.4"/>
    <n v="0.5"/>
    <n v="500"/>
    <n v="2"/>
    <n v="1"/>
    <x v="0"/>
    <n v="111543.7"/>
    <n v="44482"/>
    <n v="67061.7"/>
    <n v="600"/>
    <n v="600"/>
    <n v="23959.1"/>
    <n v="35087.699999999997"/>
    <n v="59046.8"/>
    <n v="13215"/>
    <n v="5153.7"/>
    <n v="18368.7"/>
    <n v="30.6"/>
    <n v="0.25"/>
    <n v="4941.7"/>
    <n v="18156.7"/>
    <n v="600.25"/>
    <n v="600"/>
    <n v="77203.5"/>
    <n v="30.79"/>
    <n v="2000"/>
  </r>
  <r>
    <s v="2000_0.4_0.5_500_2.0_order_2"/>
    <x v="0"/>
    <n v="0.4"/>
    <n v="0.5"/>
    <n v="500"/>
    <n v="2"/>
    <n v="2"/>
    <x v="0"/>
    <n v="110422.6"/>
    <n v="43034.5"/>
    <n v="67388.100000000006"/>
    <n v="600"/>
    <n v="600"/>
    <n v="23364.799999999999"/>
    <n v="34824.800000000003"/>
    <n v="58189.599999999999"/>
    <n v="13429.4"/>
    <n v="5556"/>
    <n v="18985.400000000001"/>
    <n v="30.11"/>
    <n v="0.23"/>
    <n v="5410.8"/>
    <n v="18840.2"/>
    <n v="600.23"/>
    <n v="600"/>
    <n v="77029.8"/>
    <n v="30.24"/>
    <n v="2000"/>
  </r>
  <r>
    <s v="2000_0.4_0.5_500_2.0_order_3"/>
    <x v="0"/>
    <n v="0.4"/>
    <n v="0.5"/>
    <n v="500"/>
    <n v="2"/>
    <n v="3"/>
    <x v="0"/>
    <n v="112921.7"/>
    <n v="43531.7"/>
    <n v="69390"/>
    <n v="600"/>
    <n v="600.01"/>
    <n v="22837"/>
    <n v="36134"/>
    <n v="58971"/>
    <n v="13289.8"/>
    <n v="5293.9"/>
    <n v="18583.7"/>
    <n v="31.32"/>
    <n v="0.18"/>
    <n v="5161.6000000000004"/>
    <n v="18451.400000000001"/>
    <n v="600.19000000000005"/>
    <n v="600"/>
    <n v="77422.399999999994"/>
    <n v="31.44"/>
    <n v="2000"/>
  </r>
  <r>
    <s v="2000_0.4_0.5_500_2.0_order_4"/>
    <x v="0"/>
    <n v="0.4"/>
    <n v="0.5"/>
    <n v="500"/>
    <n v="2"/>
    <n v="4"/>
    <x v="0"/>
    <n v="114643.4"/>
    <n v="45320.5"/>
    <n v="69322.899999999994"/>
    <n v="600"/>
    <n v="600"/>
    <n v="24901.7"/>
    <n v="37580.6"/>
    <n v="62482.3"/>
    <n v="12910.2"/>
    <n v="4954.5"/>
    <n v="17864.7"/>
    <n v="29.92"/>
    <n v="0.16"/>
    <n v="4835.1000000000004"/>
    <n v="17745.3"/>
    <n v="600.16"/>
    <n v="600"/>
    <n v="80227.600000000006"/>
    <n v="30.02"/>
    <n v="2000"/>
  </r>
  <r>
    <s v="2000_0.4_0.5_500_2.0_order_5"/>
    <x v="0"/>
    <n v="0.4"/>
    <n v="0.5"/>
    <n v="500"/>
    <n v="2"/>
    <n v="5"/>
    <x v="0"/>
    <n v="115340.8"/>
    <n v="46197.7"/>
    <n v="69143.100000000006"/>
    <n v="600"/>
    <n v="600"/>
    <n v="25085.7"/>
    <n v="35948.699999999997"/>
    <n v="61034.400000000001"/>
    <n v="13343.7"/>
    <n v="5424.8"/>
    <n v="18768.5"/>
    <n v="30.81"/>
    <n v="0.24"/>
    <n v="5248.7"/>
    <n v="18592.400000000001"/>
    <n v="600.24"/>
    <n v="599"/>
    <n v="79626.8"/>
    <n v="30.96"/>
    <n v="2000"/>
  </r>
  <r>
    <s v="2000_0.4_0.5_500_3.0_order_1"/>
    <x v="0"/>
    <n v="0.4"/>
    <n v="0.5"/>
    <n v="500"/>
    <n v="3"/>
    <n v="1"/>
    <x v="0"/>
    <n v="146342.70000000001"/>
    <n v="61182.8"/>
    <n v="85159.9"/>
    <n v="600"/>
    <n v="600"/>
    <n v="33186.1"/>
    <n v="46288.800000000003"/>
    <n v="79474.899999999994"/>
    <n v="13518.1"/>
    <n v="5648.1"/>
    <n v="19166.2"/>
    <n v="32.6"/>
    <n v="0.28000000000000003"/>
    <n v="5395"/>
    <n v="18913.099999999999"/>
    <n v="600.28"/>
    <n v="600"/>
    <n v="98388"/>
    <n v="32.770000000000003"/>
    <n v="2000"/>
  </r>
  <r>
    <s v="2000_0.4_0.5_500_3.0_order_2"/>
    <x v="0"/>
    <n v="0.4"/>
    <n v="0.5"/>
    <n v="500"/>
    <n v="3"/>
    <n v="2"/>
    <x v="0"/>
    <n v="145711.4"/>
    <n v="61224.5"/>
    <n v="84486.9"/>
    <n v="600"/>
    <n v="600.01"/>
    <n v="34306.5"/>
    <n v="47124.9"/>
    <n v="81431.399999999994"/>
    <n v="12961.8"/>
    <n v="5023.1000000000004"/>
    <n v="17984.900000000001"/>
    <n v="31.77"/>
    <n v="0.23"/>
    <n v="4917.3"/>
    <n v="17879.099999999999"/>
    <n v="600.24"/>
    <n v="600"/>
    <n v="99310.5"/>
    <n v="31.84"/>
    <n v="2000"/>
  </r>
  <r>
    <s v="2000_0.4_0.5_500_3.0_order_3"/>
    <x v="0"/>
    <n v="0.4"/>
    <n v="0.5"/>
    <n v="500"/>
    <n v="3"/>
    <n v="3"/>
    <x v="0"/>
    <n v="138058.9"/>
    <n v="55101.1"/>
    <n v="82957.8"/>
    <n v="600"/>
    <n v="600"/>
    <n v="29581.4"/>
    <n v="46306.1"/>
    <n v="75887.5"/>
    <n v="12813.6"/>
    <n v="5085.7"/>
    <n v="17899.3"/>
    <n v="32.07"/>
    <n v="0.19"/>
    <n v="4893"/>
    <n v="17706.599999999999"/>
    <n v="600.20000000000005"/>
    <n v="600"/>
    <n v="93594.1"/>
    <n v="32.21"/>
    <n v="2000"/>
  </r>
  <r>
    <s v="2000_0.4_0.5_500_3.0_order_4"/>
    <x v="0"/>
    <n v="0.4"/>
    <n v="0.5"/>
    <n v="500"/>
    <n v="3"/>
    <n v="4"/>
    <x v="0"/>
    <n v="144089.60000000001"/>
    <n v="60356.7"/>
    <n v="83732.899999999994"/>
    <n v="600"/>
    <n v="600.01"/>
    <n v="33048.5"/>
    <n v="46202.8"/>
    <n v="79251.3"/>
    <n v="13023.4"/>
    <n v="5413.4"/>
    <n v="18436.8"/>
    <n v="32.200000000000003"/>
    <n v="0.22"/>
    <n v="5237.7"/>
    <n v="18261.099999999999"/>
    <n v="600.23"/>
    <n v="600"/>
    <n v="97512.4"/>
    <n v="32.33"/>
    <n v="2000"/>
  </r>
  <r>
    <s v="2000_0.4_0.5_500_3.0_order_5"/>
    <x v="0"/>
    <n v="0.4"/>
    <n v="0.5"/>
    <n v="500"/>
    <n v="3"/>
    <n v="5"/>
    <x v="0"/>
    <n v="135459.1"/>
    <n v="52439.1"/>
    <n v="83020"/>
    <n v="600"/>
    <n v="600.01"/>
    <n v="29985.8"/>
    <n v="46749.2"/>
    <n v="76735"/>
    <n v="12572.1"/>
    <n v="4837.7"/>
    <n v="17409.8"/>
    <n v="30.5"/>
    <n v="0.19"/>
    <n v="4586.8"/>
    <n v="17158.900000000001"/>
    <n v="600.19000000000005"/>
    <n v="600"/>
    <n v="93893.9"/>
    <n v="30.68"/>
    <n v="2000"/>
  </r>
  <r>
    <s v="4000_0.2_0.5_1000_1.0_order_1"/>
    <x v="1"/>
    <n v="0.2"/>
    <n v="0.5"/>
    <n v="1000"/>
    <n v="1"/>
    <n v="1"/>
    <x v="0"/>
    <n v="176793.4"/>
    <n v="69235.899999999994"/>
    <n v="107557.5"/>
    <n v="1200"/>
    <n v="600"/>
    <n v="40051.699999999997"/>
    <n v="62887"/>
    <n v="102938.7"/>
    <n v="32060.2"/>
    <n v="5911"/>
    <n v="37971.199999999997"/>
    <n v="20.3"/>
    <n v="0.13"/>
    <n v="5762"/>
    <n v="37822.199999999997"/>
    <n v="600.13"/>
    <n v="1200"/>
    <n v="140760.9"/>
    <n v="20.38"/>
    <n v="4000"/>
  </r>
  <r>
    <s v="4000_0.2_0.5_1000_1.0_order_2"/>
    <x v="1"/>
    <n v="0.2"/>
    <n v="0.5"/>
    <n v="1000"/>
    <n v="1"/>
    <n v="2"/>
    <x v="0"/>
    <n v="172246.7"/>
    <n v="71438.100000000006"/>
    <n v="100808.6"/>
    <n v="1200"/>
    <n v="600"/>
    <n v="41365.699999999997"/>
    <n v="58801.1"/>
    <n v="100166.8"/>
    <n v="32567"/>
    <n v="5787.8"/>
    <n v="38354.800000000003"/>
    <n v="19.579999999999998"/>
    <n v="0.08"/>
    <n v="5607.2"/>
    <n v="38174.199999999997"/>
    <n v="600.08000000000004"/>
    <n v="1200"/>
    <n v="138341"/>
    <n v="19.68"/>
    <n v="4000"/>
  </r>
  <r>
    <s v="4000_0.2_0.5_1000_1.0_order_3"/>
    <x v="1"/>
    <n v="0.2"/>
    <n v="0.5"/>
    <n v="1000"/>
    <n v="1"/>
    <n v="3"/>
    <x v="0"/>
    <n v="172482.6"/>
    <n v="70991"/>
    <n v="101491.6"/>
    <n v="1200"/>
    <n v="600.01"/>
    <n v="40912.1"/>
    <n v="59694.7"/>
    <n v="100606.8"/>
    <n v="31972.400000000001"/>
    <n v="5491"/>
    <n v="37463.4"/>
    <n v="19.95"/>
    <n v="0.08"/>
    <n v="5226.5"/>
    <n v="37198.9"/>
    <n v="600.09"/>
    <n v="1200"/>
    <n v="137805.70000000001"/>
    <n v="20.100000000000001"/>
    <n v="4000"/>
  </r>
  <r>
    <s v="4000_0.2_0.5_1000_1.0_order_4"/>
    <x v="1"/>
    <n v="0.2"/>
    <n v="0.5"/>
    <n v="1000"/>
    <n v="1"/>
    <n v="4"/>
    <x v="0"/>
    <n v="178110.7"/>
    <n v="73274.7"/>
    <n v="104836"/>
    <n v="1200"/>
    <n v="600"/>
    <n v="41713.300000000003"/>
    <n v="62106.1"/>
    <n v="103819.4"/>
    <n v="33120.699999999997"/>
    <n v="5995.4"/>
    <n v="39116.1"/>
    <n v="19.75"/>
    <n v="7.0000000000000007E-2"/>
    <n v="5738.9"/>
    <n v="38859.599999999999"/>
    <n v="600.08000000000004"/>
    <n v="1200"/>
    <n v="142679"/>
    <n v="19.89"/>
    <n v="4000"/>
  </r>
  <r>
    <s v="4000_0.2_0.5_1000_1.0_order_5"/>
    <x v="1"/>
    <n v="0.2"/>
    <n v="0.5"/>
    <n v="1000"/>
    <n v="1"/>
    <n v="5"/>
    <x v="0"/>
    <n v="179070"/>
    <n v="69970.8"/>
    <n v="109099.2"/>
    <n v="1200"/>
    <n v="600.01"/>
    <n v="42381.9"/>
    <n v="64212.7"/>
    <n v="106594.6"/>
    <n v="31918.9"/>
    <n v="5744.5"/>
    <n v="37663.4"/>
    <n v="19.440000000000001"/>
    <n v="0.08"/>
    <n v="5522.9"/>
    <n v="37441.800000000003"/>
    <n v="600.08000000000004"/>
    <n v="1200"/>
    <n v="144036.4"/>
    <n v="19.559999999999999"/>
    <n v="4000"/>
  </r>
  <r>
    <s v="4000_0.2_0.5_1000_2.0_order_1"/>
    <x v="1"/>
    <n v="0.2"/>
    <n v="0.5"/>
    <n v="1000"/>
    <n v="2"/>
    <n v="1"/>
    <x v="0"/>
    <n v="266347.90000000002"/>
    <n v="100159.7"/>
    <n v="166188.20000000001"/>
    <n v="1200"/>
    <n v="600.03"/>
    <n v="64899.7"/>
    <n v="104108.4"/>
    <n v="169008.1"/>
    <n v="30536.9"/>
    <n v="6297.5"/>
    <n v="36834.400000000001"/>
    <n v="22.72"/>
    <n v="0.17"/>
    <n v="5835.6"/>
    <n v="36372.5"/>
    <n v="600.20000000000005"/>
    <n v="1200"/>
    <n v="205380.6"/>
    <n v="22.89"/>
    <n v="4000"/>
  </r>
  <r>
    <s v="4000_0.2_0.5_1000_2.0_order_2"/>
    <x v="1"/>
    <n v="0.2"/>
    <n v="0.5"/>
    <n v="1000"/>
    <n v="2"/>
    <n v="2"/>
    <x v="0"/>
    <n v="265499.59999999998"/>
    <n v="100358.1"/>
    <n v="165141.5"/>
    <n v="1200"/>
    <n v="600"/>
    <n v="62229.2"/>
    <n v="101566"/>
    <n v="163795.20000000001"/>
    <n v="31224.1"/>
    <n v="6271"/>
    <n v="37495.1"/>
    <n v="24.18"/>
    <n v="0.23"/>
    <n v="5923.9"/>
    <n v="37148"/>
    <n v="600.23"/>
    <n v="1200"/>
    <n v="200943.2"/>
    <n v="24.32"/>
    <n v="4000"/>
  </r>
  <r>
    <s v="4000_0.2_0.5_1000_2.0_order_3"/>
    <x v="1"/>
    <n v="0.2"/>
    <n v="0.5"/>
    <n v="1000"/>
    <n v="2"/>
    <n v="3"/>
    <x v="0"/>
    <n v="256640.4"/>
    <n v="100148.3"/>
    <n v="156492.1"/>
    <n v="1200"/>
    <n v="600.01"/>
    <n v="63557.5"/>
    <n v="95719.5"/>
    <n v="159277"/>
    <n v="31413.599999999999"/>
    <n v="6464.4"/>
    <n v="37878"/>
    <n v="23.18"/>
    <n v="0.18"/>
    <n v="6050.6"/>
    <n v="37464.199999999997"/>
    <n v="600.19000000000005"/>
    <n v="1200"/>
    <n v="196741.2"/>
    <n v="23.34"/>
    <n v="4000"/>
  </r>
  <r>
    <s v="4000_0.2_0.5_1000_2.0_order_4"/>
    <x v="1"/>
    <n v="0.2"/>
    <n v="0.5"/>
    <n v="1000"/>
    <n v="2"/>
    <n v="4"/>
    <x v="0"/>
    <n v="266529.09999999998"/>
    <n v="102759"/>
    <n v="163770.1"/>
    <n v="1200"/>
    <n v="600.02"/>
    <n v="65364.1"/>
    <n v="101722.1"/>
    <n v="167086.20000000001"/>
    <n v="31275.599999999999"/>
    <n v="6081.7"/>
    <n v="37357.300000000003"/>
    <n v="23.29"/>
    <n v="0.14000000000000001"/>
    <n v="5697.1"/>
    <n v="36972.699999999997"/>
    <n v="600.16"/>
    <n v="1200"/>
    <n v="204058.9"/>
    <n v="23.44"/>
    <n v="4000"/>
  </r>
  <r>
    <s v="4000_0.2_0.5_1000_2.0_order_5"/>
    <x v="1"/>
    <n v="0.2"/>
    <n v="0.5"/>
    <n v="1000"/>
    <n v="2"/>
    <n v="5"/>
    <x v="0"/>
    <n v="269546.8"/>
    <n v="106410.2"/>
    <n v="163136.6"/>
    <n v="1200"/>
    <n v="600"/>
    <n v="66983"/>
    <n v="102646.39999999999"/>
    <n v="169629.4"/>
    <n v="30928.799999999999"/>
    <n v="6637.4"/>
    <n v="37566.199999999997"/>
    <n v="23.13"/>
    <n v="0.18"/>
    <n v="6111.4"/>
    <n v="37040.199999999997"/>
    <n v="600.17999999999995"/>
    <n v="1200"/>
    <n v="206669.6"/>
    <n v="23.33"/>
    <n v="4000"/>
  </r>
  <r>
    <s v="4000_0.2_0.5_1000_3.0_order_1"/>
    <x v="1"/>
    <n v="0.2"/>
    <n v="0.5"/>
    <n v="1000"/>
    <n v="3"/>
    <n v="1"/>
    <x v="0"/>
    <n v="351445"/>
    <n v="133205"/>
    <n v="218240"/>
    <n v="1200"/>
    <n v="600.01"/>
    <n v="88834.4"/>
    <n v="143324.6"/>
    <n v="232159"/>
    <n v="30726.1"/>
    <n v="6674.4"/>
    <n v="37400.5"/>
    <n v="23.3"/>
    <n v="0.25"/>
    <n v="5821.1"/>
    <n v="36547.199999999997"/>
    <n v="600.26"/>
    <n v="1200"/>
    <n v="268706.2"/>
    <n v="23.54"/>
    <n v="4000"/>
  </r>
  <r>
    <s v="4000_0.2_0.5_1000_3.0_order_2"/>
    <x v="1"/>
    <n v="0.2"/>
    <n v="0.5"/>
    <n v="1000"/>
    <n v="3"/>
    <n v="2"/>
    <x v="0"/>
    <n v="356679.5"/>
    <n v="140383.9"/>
    <n v="216295.6"/>
    <n v="1200"/>
    <n v="600.02"/>
    <n v="91021.4"/>
    <n v="138000.4"/>
    <n v="229021.8"/>
    <n v="31408.7"/>
    <n v="7021.5"/>
    <n v="38430.199999999997"/>
    <n v="25.02"/>
    <n v="0.25"/>
    <n v="6337.9"/>
    <n v="37746.6"/>
    <n v="600.27"/>
    <n v="1200"/>
    <n v="266768.40000000002"/>
    <n v="25.21"/>
    <n v="4000"/>
  </r>
  <r>
    <s v="4000_0.2_0.5_1000_3.0_order_3"/>
    <x v="1"/>
    <n v="0.2"/>
    <n v="0.5"/>
    <n v="1000"/>
    <n v="3"/>
    <n v="3"/>
    <x v="0"/>
    <n v="346020.1"/>
    <n v="134050.5"/>
    <n v="211969.6"/>
    <n v="1200"/>
    <n v="600.01"/>
    <n v="87972.4"/>
    <n v="135515.6"/>
    <n v="223488"/>
    <n v="30654.400000000001"/>
    <n v="6522.8"/>
    <n v="37177.199999999997"/>
    <n v="24.67"/>
    <n v="0.26"/>
    <n v="5880.6"/>
    <n v="36535"/>
    <n v="600.27"/>
    <n v="1200"/>
    <n v="260023"/>
    <n v="24.85"/>
    <n v="4000"/>
  </r>
  <r>
    <s v="4000_0.2_0.5_1000_3.0_order_4"/>
    <x v="1"/>
    <n v="0.2"/>
    <n v="0.5"/>
    <n v="1000"/>
    <n v="3"/>
    <n v="4"/>
    <x v="0"/>
    <n v="357913.8"/>
    <n v="140722"/>
    <n v="217191.8"/>
    <n v="1200"/>
    <n v="600"/>
    <n v="92176.2"/>
    <n v="141623.9"/>
    <n v="233800.1"/>
    <n v="30669.9"/>
    <n v="6600.3"/>
    <n v="37270.199999999997"/>
    <n v="24.26"/>
    <n v="0.25"/>
    <n v="6104.9"/>
    <n v="36774.800000000003"/>
    <n v="600.25"/>
    <n v="1200"/>
    <n v="270574.90000000002"/>
    <n v="24.4"/>
    <n v="4000"/>
  </r>
  <r>
    <s v="4000_0.2_0.5_1000_3.0_order_5"/>
    <x v="1"/>
    <n v="0.2"/>
    <n v="0.5"/>
    <n v="1000"/>
    <n v="3"/>
    <n v="5"/>
    <x v="0"/>
    <n v="358543.9"/>
    <n v="136947.6"/>
    <n v="221596.3"/>
    <n v="1200"/>
    <n v="600.01"/>
    <n v="90479.7"/>
    <n v="144706.1"/>
    <n v="235185.8"/>
    <n v="30592.3"/>
    <n v="6587.1"/>
    <n v="37179.4"/>
    <n v="24.04"/>
    <n v="0.19"/>
    <n v="6075.8"/>
    <n v="36668.1"/>
    <n v="600.19000000000005"/>
    <n v="1200"/>
    <n v="271853.90000000002"/>
    <n v="24.18"/>
    <n v="4000"/>
  </r>
  <r>
    <s v="4000_0.2_0.5_2000_1.0_order_1"/>
    <x v="1"/>
    <n v="0.2"/>
    <n v="0.5"/>
    <n v="2000"/>
    <n v="1"/>
    <n v="1"/>
    <x v="0"/>
    <n v="342496.1"/>
    <n v="140132.4"/>
    <n v="202363.7"/>
    <n v="1200"/>
    <n v="600.01"/>
    <n v="89550.2"/>
    <n v="131227.5"/>
    <n v="220777.7"/>
    <n v="34554.1"/>
    <n v="7858.6"/>
    <n v="42412.7"/>
    <n v="23.16"/>
    <n v="0.12"/>
    <n v="7614.4"/>
    <n v="42168.5"/>
    <n v="600.13"/>
    <n v="1200"/>
    <n v="262946.2"/>
    <n v="23.23"/>
    <n v="4000"/>
  </r>
  <r>
    <s v="4000_0.2_0.5_2000_1.0_order_2"/>
    <x v="1"/>
    <n v="0.2"/>
    <n v="0.5"/>
    <n v="2000"/>
    <n v="1"/>
    <n v="2"/>
    <x v="0"/>
    <n v="340872.4"/>
    <n v="134753.1"/>
    <n v="206119.3"/>
    <n v="1200"/>
    <n v="600.01"/>
    <n v="88547.8"/>
    <n v="133309.79999999999"/>
    <n v="221857.6"/>
    <n v="33912.800000000003"/>
    <n v="7919.9"/>
    <n v="41832.699999999997"/>
    <n v="22.64"/>
    <n v="0.13"/>
    <n v="7732.2"/>
    <n v="41645"/>
    <n v="600.14"/>
    <n v="1200"/>
    <n v="263502.59999999998"/>
    <n v="22.7"/>
    <n v="4000"/>
  </r>
  <r>
    <s v="4000_0.2_0.5_2000_1.0_order_3"/>
    <x v="1"/>
    <n v="0.2"/>
    <n v="0.5"/>
    <n v="2000"/>
    <n v="1"/>
    <n v="3"/>
    <x v="0"/>
    <n v="348317.4"/>
    <n v="138158.9"/>
    <n v="210158.5"/>
    <n v="1200"/>
    <n v="600.04"/>
    <n v="91764.6"/>
    <n v="136712.4"/>
    <n v="228477"/>
    <n v="34258"/>
    <n v="8059.3"/>
    <n v="42317.3"/>
    <n v="22.26"/>
    <n v="0.13"/>
    <n v="7774.8"/>
    <n v="42032.800000000003"/>
    <n v="600.16999999999996"/>
    <n v="1200"/>
    <n v="270509.8"/>
    <n v="22.34"/>
    <n v="4000"/>
  </r>
  <r>
    <s v="4000_0.2_0.5_2000_1.0_order_4"/>
    <x v="1"/>
    <n v="0.2"/>
    <n v="0.5"/>
    <n v="2000"/>
    <n v="1"/>
    <n v="4"/>
    <x v="0"/>
    <n v="346752.7"/>
    <n v="138591.1"/>
    <n v="208161.6"/>
    <n v="1200"/>
    <n v="600.02"/>
    <n v="90568.9"/>
    <n v="134868.70000000001"/>
    <n v="225437.6"/>
    <n v="34199.1"/>
    <n v="8239.2999999999993"/>
    <n v="42438.400000000001"/>
    <n v="22.75"/>
    <n v="0.16"/>
    <n v="7983"/>
    <n v="42182.1"/>
    <n v="600.17999999999995"/>
    <n v="1200"/>
    <n v="267619.7"/>
    <n v="22.82"/>
    <n v="4000"/>
  </r>
  <r>
    <s v="4000_0.2_0.5_2000_1.0_order_5"/>
    <x v="1"/>
    <n v="0.2"/>
    <n v="0.5"/>
    <n v="2000"/>
    <n v="1"/>
    <n v="5"/>
    <x v="0"/>
    <n v="348631.2"/>
    <n v="144856.70000000001"/>
    <n v="203774.5"/>
    <n v="1200"/>
    <n v="600.02"/>
    <n v="95143.1"/>
    <n v="132290.5"/>
    <n v="227433.60000000001"/>
    <n v="33636.5"/>
    <n v="8020.4"/>
    <n v="41656.9"/>
    <n v="22.82"/>
    <n v="0.14000000000000001"/>
    <n v="7789.3"/>
    <n v="41425.800000000003"/>
    <n v="600.15"/>
    <n v="1200"/>
    <n v="268859.40000000002"/>
    <n v="22.88"/>
    <n v="4000"/>
  </r>
  <r>
    <s v="4000_0.2_0.5_2000_2.0_order_1"/>
    <x v="1"/>
    <n v="0.2"/>
    <n v="0.5"/>
    <n v="2000"/>
    <n v="2"/>
    <n v="1"/>
    <x v="0"/>
    <n v="526871.69999999995"/>
    <n v="203138.9"/>
    <n v="323732.8"/>
    <n v="1200"/>
    <n v="600.02"/>
    <n v="140945.4"/>
    <n v="216321.9"/>
    <n v="357267.3"/>
    <n v="32385.9"/>
    <n v="8139.1"/>
    <n v="40525"/>
    <n v="24.5"/>
    <n v="0.22"/>
    <n v="7505"/>
    <n v="39890.9"/>
    <n v="600.23"/>
    <n v="1200"/>
    <n v="397158.2"/>
    <n v="24.62"/>
    <n v="4000"/>
  </r>
  <r>
    <s v="4000_0.2_0.5_2000_2.0_order_2"/>
    <x v="1"/>
    <n v="0.2"/>
    <n v="0.5"/>
    <n v="2000"/>
    <n v="2"/>
    <n v="2"/>
    <x v="0"/>
    <n v="538181.4"/>
    <n v="206412.2"/>
    <n v="331769.2"/>
    <n v="1200"/>
    <n v="600.01"/>
    <n v="141030.6"/>
    <n v="224134"/>
    <n v="365164.6"/>
    <n v="32535.5"/>
    <n v="8225.7999999999993"/>
    <n v="40761.300000000003"/>
    <n v="24.57"/>
    <n v="0.23"/>
    <n v="7350.7"/>
    <n v="39886.199999999997"/>
    <n v="600.24"/>
    <n v="1200"/>
    <n v="405050.8"/>
    <n v="24.74"/>
    <n v="4000"/>
  </r>
  <r>
    <s v="4000_0.2_0.5_2000_2.0_order_3"/>
    <x v="1"/>
    <n v="0.2"/>
    <n v="0.5"/>
    <n v="2000"/>
    <n v="2"/>
    <n v="3"/>
    <x v="0"/>
    <n v="560311.9"/>
    <n v="215357.5"/>
    <n v="344954.4"/>
    <n v="1200"/>
    <n v="600.03"/>
    <n v="148757"/>
    <n v="235053.7"/>
    <n v="383810.7"/>
    <n v="31919.5"/>
    <n v="7893.7"/>
    <n v="39813.199999999997"/>
    <n v="24.39"/>
    <n v="0.23"/>
    <n v="7425.4"/>
    <n v="39344.9"/>
    <n v="600.26"/>
    <n v="1200"/>
    <n v="423155.6"/>
    <n v="24.48"/>
    <n v="4000"/>
  </r>
  <r>
    <s v="4000_0.2_0.5_2000_2.0_order_4"/>
    <x v="1"/>
    <n v="0.2"/>
    <n v="0.5"/>
    <n v="2000"/>
    <n v="2"/>
    <n v="4"/>
    <x v="0"/>
    <n v="538133"/>
    <n v="202847.3"/>
    <n v="335285.7"/>
    <n v="1200"/>
    <n v="600.02"/>
    <n v="139361.79999999999"/>
    <n v="224646.6"/>
    <n v="364008.4"/>
    <n v="32443.7"/>
    <n v="7994.6"/>
    <n v="40438.300000000003"/>
    <n v="24.84"/>
    <n v="0.2"/>
    <n v="7592.7"/>
    <n v="40036.400000000001"/>
    <n v="600.22"/>
    <n v="1200"/>
    <n v="404044.79999999999"/>
    <n v="24.92"/>
    <n v="4000"/>
  </r>
  <r>
    <s v="4000_0.2_0.5_2000_2.0_order_5"/>
    <x v="1"/>
    <n v="0.2"/>
    <n v="0.5"/>
    <n v="2000"/>
    <n v="2"/>
    <n v="5"/>
    <x v="0"/>
    <n v="529127.69999999995"/>
    <n v="200945.6"/>
    <n v="328182.09999999998"/>
    <n v="1200"/>
    <n v="600.01"/>
    <n v="137697.29999999999"/>
    <n v="220762.6"/>
    <n v="358459.9"/>
    <n v="32348.1"/>
    <n v="7251.1"/>
    <n v="39599.199999999997"/>
    <n v="24.77"/>
    <n v="0.2"/>
    <n v="6745.7"/>
    <n v="39093.800000000003"/>
    <n v="600.21"/>
    <n v="1200"/>
    <n v="397553.7"/>
    <n v="24.87"/>
    <n v="4000"/>
  </r>
  <r>
    <s v="4000_0.2_0.5_2000_3.0_order_1"/>
    <x v="1"/>
    <n v="0.2"/>
    <n v="0.5"/>
    <n v="2000"/>
    <n v="3"/>
    <n v="1"/>
    <x v="0"/>
    <n v="683234.6"/>
    <n v="257568.3"/>
    <n v="425666.3"/>
    <n v="1200"/>
    <n v="600.02"/>
    <n v="180597.4"/>
    <n v="294857.09999999998"/>
    <n v="475454.5"/>
    <n v="31700.6"/>
    <n v="7801.2"/>
    <n v="39501.800000000003"/>
    <n v="24.63"/>
    <n v="0.24"/>
    <n v="7152.3"/>
    <n v="38852.9"/>
    <n v="600.25"/>
    <n v="1200"/>
    <n v="514307.4"/>
    <n v="24.72"/>
    <n v="4000"/>
  </r>
  <r>
    <s v="4000_0.2_0.5_2000_3.0_order_2"/>
    <x v="1"/>
    <n v="0.2"/>
    <n v="0.5"/>
    <n v="2000"/>
    <n v="3"/>
    <n v="2"/>
    <x v="0"/>
    <n v="688321.6"/>
    <n v="265318"/>
    <n v="423003.6"/>
    <n v="1200"/>
    <n v="600.04"/>
    <n v="185027.1"/>
    <n v="293351.7"/>
    <n v="478378.8"/>
    <n v="31789.4"/>
    <n v="7847.1"/>
    <n v="39636.5"/>
    <n v="24.74"/>
    <n v="0.25"/>
    <n v="7074.9"/>
    <n v="38864.300000000003"/>
    <n v="600.29"/>
    <n v="1200"/>
    <n v="517243.1"/>
    <n v="24.85"/>
    <n v="4000"/>
  </r>
  <r>
    <s v="4000_0.2_0.5_2000_3.0_order_3"/>
    <x v="1"/>
    <n v="0.2"/>
    <n v="0.5"/>
    <n v="2000"/>
    <n v="3"/>
    <n v="3"/>
    <x v="0"/>
    <n v="720187.7"/>
    <n v="279158.7"/>
    <n v="441029"/>
    <n v="1200"/>
    <n v="600.04"/>
    <n v="196280.7"/>
    <n v="309770.2"/>
    <n v="506050.9"/>
    <n v="31638"/>
    <n v="7823.1"/>
    <n v="39461.1"/>
    <n v="24.25"/>
    <n v="0.27"/>
    <n v="7065.2"/>
    <n v="38703.199999999997"/>
    <n v="600.30999999999995"/>
    <n v="1200"/>
    <n v="544754.1"/>
    <n v="24.36"/>
    <n v="4000"/>
  </r>
  <r>
    <s v="4000_0.2_0.5_2000_3.0_order_4"/>
    <x v="1"/>
    <n v="0.2"/>
    <n v="0.5"/>
    <n v="2000"/>
    <n v="3"/>
    <n v="4"/>
    <x v="0"/>
    <n v="704298.5"/>
    <n v="263203.3"/>
    <n v="441095.2"/>
    <n v="1200"/>
    <n v="600.04"/>
    <n v="186529.5"/>
    <n v="306025.09999999998"/>
    <n v="492554.6"/>
    <n v="31450.400000000001"/>
    <n v="7661"/>
    <n v="39111.4"/>
    <n v="24.51"/>
    <n v="0.32"/>
    <n v="6795.6"/>
    <n v="38246"/>
    <n v="600.36"/>
    <n v="1200"/>
    <n v="530800.6"/>
    <n v="24.63"/>
    <n v="4000"/>
  </r>
  <r>
    <s v="4000_0.2_0.5_2000_3.0_order_5"/>
    <x v="1"/>
    <n v="0.2"/>
    <n v="0.5"/>
    <n v="2000"/>
    <n v="3"/>
    <n v="5"/>
    <x v="0"/>
    <n v="698389.6"/>
    <n v="267524.5"/>
    <n v="430865.1"/>
    <n v="1200"/>
    <n v="600.03"/>
    <n v="187051.1"/>
    <n v="297104.40000000002"/>
    <n v="484155.5"/>
    <n v="32412.7"/>
    <n v="8071.5"/>
    <n v="40484.199999999997"/>
    <n v="24.88"/>
    <n v="0.21"/>
    <n v="7126.6"/>
    <n v="39539.300000000003"/>
    <n v="600.24"/>
    <n v="1200"/>
    <n v="523694.8"/>
    <n v="25.01"/>
    <n v="4000"/>
  </r>
  <r>
    <s v="4000_0.2_0.5_500_1.0_order_1"/>
    <x v="1"/>
    <n v="0.2"/>
    <n v="0.5"/>
    <n v="500"/>
    <n v="1"/>
    <n v="1"/>
    <x v="0"/>
    <n v="91390.7"/>
    <n v="36834.5"/>
    <n v="54556.2"/>
    <n v="1200"/>
    <n v="600"/>
    <n v="18396.900000000001"/>
    <n v="29050.1"/>
    <n v="47447"/>
    <n v="28419.4"/>
    <n v="3457.9"/>
    <n v="31877.3"/>
    <n v="13.2"/>
    <n v="0.08"/>
    <n v="3215.6"/>
    <n v="31635"/>
    <n v="600.08000000000004"/>
    <n v="1200"/>
    <n v="79082"/>
    <n v="13.47"/>
    <n v="4000"/>
  </r>
  <r>
    <s v="4000_0.2_0.5_500_1.0_order_2"/>
    <x v="1"/>
    <n v="0.2"/>
    <n v="0.5"/>
    <n v="500"/>
    <n v="1"/>
    <n v="2"/>
    <x v="0"/>
    <n v="92818.2"/>
    <n v="35033.199999999997"/>
    <n v="57785"/>
    <n v="1200"/>
    <n v="600"/>
    <n v="17785.099999999999"/>
    <n v="30593.1"/>
    <n v="48378.2"/>
    <n v="27977.9"/>
    <n v="3833.2"/>
    <n v="31811.1"/>
    <n v="13.61"/>
    <n v="0.08"/>
    <n v="3547.1"/>
    <n v="31525"/>
    <n v="600.08000000000004"/>
    <n v="1200"/>
    <n v="79903.199999999997"/>
    <n v="13.91"/>
    <n v="4000"/>
  </r>
  <r>
    <s v="4000_0.2_0.5_500_1.0_order_3"/>
    <x v="1"/>
    <n v="0.2"/>
    <n v="0.5"/>
    <n v="500"/>
    <n v="1"/>
    <n v="3"/>
    <x v="0"/>
    <n v="89874.2"/>
    <n v="35811.9"/>
    <n v="54062.3"/>
    <n v="1200"/>
    <n v="600.01"/>
    <n v="18767.2"/>
    <n v="28728.3"/>
    <n v="47495.5"/>
    <n v="27434"/>
    <n v="3657"/>
    <n v="31091"/>
    <n v="12.56"/>
    <n v="0.06"/>
    <n v="3416.8"/>
    <n v="30850.799999999999"/>
    <n v="600.07000000000005"/>
    <n v="1200"/>
    <n v="78346.3"/>
    <n v="12.83"/>
    <n v="4000"/>
  </r>
  <r>
    <s v="4000_0.2_0.5_500_1.0_order_4"/>
    <x v="1"/>
    <n v="0.2"/>
    <n v="0.5"/>
    <n v="500"/>
    <n v="1"/>
    <n v="4"/>
    <x v="0"/>
    <n v="88886.3"/>
    <n v="34534.5"/>
    <n v="54351.8"/>
    <n v="1200"/>
    <n v="600"/>
    <n v="17112.3"/>
    <n v="28705.5"/>
    <n v="45817.8"/>
    <n v="28819.7"/>
    <n v="3799.9"/>
    <n v="32619.599999999999"/>
    <n v="11.76"/>
    <n v="0.06"/>
    <n v="3620.1"/>
    <n v="32439.8"/>
    <n v="600.05999999999995"/>
    <n v="1200"/>
    <n v="78257.600000000006"/>
    <n v="11.96"/>
    <n v="4000"/>
  </r>
  <r>
    <s v="4000_0.2_0.5_500_1.0_order_5"/>
    <x v="1"/>
    <n v="0.2"/>
    <n v="0.5"/>
    <n v="500"/>
    <n v="1"/>
    <n v="5"/>
    <x v="0"/>
    <n v="87291.1"/>
    <n v="33873"/>
    <n v="53418.1"/>
    <n v="1200"/>
    <n v="600.01"/>
    <n v="16672.7"/>
    <n v="27826.799999999999"/>
    <n v="44499.5"/>
    <n v="28647.4"/>
    <n v="3491.8"/>
    <n v="32139.200000000001"/>
    <n v="12.2"/>
    <n v="7.0000000000000007E-2"/>
    <n v="3322.3"/>
    <n v="31969.7"/>
    <n v="600.08000000000004"/>
    <n v="1200"/>
    <n v="76469.2"/>
    <n v="12.4"/>
    <n v="4000"/>
  </r>
  <r>
    <s v="4000_0.2_0.5_500_2.0_order_1"/>
    <x v="1"/>
    <n v="0.2"/>
    <n v="0.5"/>
    <n v="500"/>
    <n v="2"/>
    <n v="1"/>
    <x v="0"/>
    <n v="136347"/>
    <n v="52262.2"/>
    <n v="84084.800000000003"/>
    <n v="1200"/>
    <n v="600"/>
    <n v="30886.6"/>
    <n v="45447"/>
    <n v="76333.600000000006"/>
    <n v="28781.200000000001"/>
    <n v="4495.1000000000004"/>
    <n v="33276.300000000003"/>
    <n v="19.61"/>
    <n v="0.09"/>
    <n v="4200.1000000000004"/>
    <n v="32981.300000000003"/>
    <n v="600.1"/>
    <n v="1200"/>
    <n v="109314.9"/>
    <n v="19.829999999999998"/>
    <n v="4000"/>
  </r>
  <r>
    <s v="4000_0.2_0.5_500_2.0_order_2"/>
    <x v="1"/>
    <n v="0.2"/>
    <n v="0.5"/>
    <n v="500"/>
    <n v="2"/>
    <n v="2"/>
    <x v="0"/>
    <n v="133994.6"/>
    <n v="51705.2"/>
    <n v="82289.399999999994"/>
    <n v="1200"/>
    <n v="600"/>
    <n v="29660.799999999999"/>
    <n v="46516.1"/>
    <n v="76176.899999999994"/>
    <n v="28191.599999999999"/>
    <n v="4693.8"/>
    <n v="32885.4"/>
    <n v="18.61"/>
    <n v="0.11"/>
    <n v="4315.6000000000004"/>
    <n v="32507.200000000001"/>
    <n v="600.11"/>
    <n v="1200"/>
    <n v="108684.1"/>
    <n v="18.89"/>
    <n v="4000"/>
  </r>
  <r>
    <s v="4000_0.2_0.5_500_2.0_order_3"/>
    <x v="1"/>
    <n v="0.2"/>
    <n v="0.5"/>
    <n v="500"/>
    <n v="2"/>
    <n v="3"/>
    <x v="0"/>
    <n v="136946.70000000001"/>
    <n v="51685.9"/>
    <n v="85260.800000000003"/>
    <n v="1200"/>
    <n v="600.01"/>
    <n v="29323"/>
    <n v="46784"/>
    <n v="76107"/>
    <n v="29511.5"/>
    <n v="4808.8999999999996"/>
    <n v="34320.400000000001"/>
    <n v="19.36"/>
    <n v="0.13"/>
    <n v="4385.1000000000004"/>
    <n v="33896.6"/>
    <n v="600.15"/>
    <n v="1200"/>
    <n v="110003.6"/>
    <n v="19.670000000000002"/>
    <n v="4000"/>
  </r>
  <r>
    <s v="4000_0.2_0.5_500_2.0_order_4"/>
    <x v="1"/>
    <n v="0.2"/>
    <n v="0.5"/>
    <n v="500"/>
    <n v="2"/>
    <n v="4"/>
    <x v="0"/>
    <n v="130276.2"/>
    <n v="49319"/>
    <n v="80957.2"/>
    <n v="1200"/>
    <n v="600"/>
    <n v="27753.599999999999"/>
    <n v="44874.3"/>
    <n v="72627.899999999994"/>
    <n v="28485.8"/>
    <n v="4434.8999999999996"/>
    <n v="32920.699999999997"/>
    <n v="18.98"/>
    <n v="0.1"/>
    <n v="4072.3"/>
    <n v="32558.1"/>
    <n v="600.1"/>
    <n v="1200"/>
    <n v="105186"/>
    <n v="19.260000000000002"/>
    <n v="4000"/>
  </r>
  <r>
    <s v="4000_0.2_0.5_500_2.0_order_5"/>
    <x v="1"/>
    <n v="0.2"/>
    <n v="0.5"/>
    <n v="500"/>
    <n v="2"/>
    <n v="5"/>
    <x v="0"/>
    <n v="126993.7"/>
    <n v="49785.9"/>
    <n v="77207.8"/>
    <n v="1200"/>
    <n v="600.02"/>
    <n v="28228"/>
    <n v="42621.7"/>
    <n v="70849.7"/>
    <n v="28658.9"/>
    <n v="4344.1000000000004"/>
    <n v="33003"/>
    <n v="18.22"/>
    <n v="0.12"/>
    <n v="4014.6"/>
    <n v="32673.5"/>
    <n v="600.14"/>
    <n v="1200"/>
    <n v="103523.2"/>
    <n v="18.48"/>
    <n v="4000"/>
  </r>
  <r>
    <s v="4000_0.2_0.5_500_3.0_order_1"/>
    <x v="1"/>
    <n v="0.2"/>
    <n v="0.5"/>
    <n v="500"/>
    <n v="3"/>
    <n v="1"/>
    <x v="0"/>
    <n v="178021"/>
    <n v="68456.800000000003"/>
    <n v="109564.2"/>
    <n v="1200"/>
    <n v="600.01"/>
    <n v="40637.599999999999"/>
    <n v="64337.9"/>
    <n v="104975.5"/>
    <n v="29001.3"/>
    <n v="5238.7"/>
    <n v="34240"/>
    <n v="21.8"/>
    <n v="0.13"/>
    <n v="4670.2"/>
    <n v="33671.5"/>
    <n v="600.14"/>
    <n v="1200"/>
    <n v="138647"/>
    <n v="22.12"/>
    <n v="4000"/>
  </r>
  <r>
    <s v="4000_0.2_0.5_500_3.0_order_2"/>
    <x v="1"/>
    <n v="0.2"/>
    <n v="0.5"/>
    <n v="500"/>
    <n v="3"/>
    <n v="2"/>
    <x v="0"/>
    <n v="165633.4"/>
    <n v="62948.800000000003"/>
    <n v="102684.6"/>
    <n v="1200"/>
    <n v="600"/>
    <n v="36871.199999999997"/>
    <n v="59060.5"/>
    <n v="95931.7"/>
    <n v="29630.799999999999"/>
    <n v="5113.5"/>
    <n v="34744.300000000003"/>
    <n v="21.11"/>
    <n v="0.16"/>
    <n v="4662.5"/>
    <n v="34293.300000000003"/>
    <n v="600.16"/>
    <n v="1200"/>
    <n v="130225"/>
    <n v="21.38"/>
    <n v="4000"/>
  </r>
  <r>
    <s v="4000_0.2_0.5_500_3.0_order_3"/>
    <x v="1"/>
    <n v="0.2"/>
    <n v="0.5"/>
    <n v="500"/>
    <n v="3"/>
    <n v="3"/>
    <x v="0"/>
    <n v="174713"/>
    <n v="65933.399999999994"/>
    <n v="108779.6"/>
    <n v="1200"/>
    <n v="600.01"/>
    <n v="39102.699999999997"/>
    <n v="63443.4"/>
    <n v="102546.1"/>
    <n v="29396.400000000001"/>
    <n v="5483.1"/>
    <n v="34879.5"/>
    <n v="21.34"/>
    <n v="0.14000000000000001"/>
    <n v="5025.3999999999996"/>
    <n v="34421.800000000003"/>
    <n v="600.15"/>
    <n v="1200"/>
    <n v="136967.9"/>
    <n v="21.6"/>
    <n v="4000"/>
  </r>
  <r>
    <s v="4000_0.2_0.5_500_3.0_order_4"/>
    <x v="1"/>
    <n v="0.2"/>
    <n v="0.5"/>
    <n v="500"/>
    <n v="3"/>
    <n v="4"/>
    <x v="0"/>
    <n v="168294.1"/>
    <n v="65620.5"/>
    <n v="102673.60000000001"/>
    <n v="1200"/>
    <n v="600.01"/>
    <n v="38818.199999999997"/>
    <n v="58522.8"/>
    <n v="97341"/>
    <n v="29222.3"/>
    <n v="5246.3"/>
    <n v="34468.6"/>
    <n v="21.68"/>
    <n v="0.15"/>
    <n v="4913.8"/>
    <n v="34136.1"/>
    <n v="600.15"/>
    <n v="1200"/>
    <n v="131477.1"/>
    <n v="21.88"/>
    <n v="4000"/>
  </r>
  <r>
    <s v="4000_0.2_0.5_500_3.0_order_5"/>
    <x v="1"/>
    <n v="0.2"/>
    <n v="0.5"/>
    <n v="500"/>
    <n v="3"/>
    <n v="5"/>
    <x v="0"/>
    <n v="172598.8"/>
    <n v="67794.8"/>
    <n v="104804"/>
    <n v="1200"/>
    <n v="600.01"/>
    <n v="39259.800000000003"/>
    <n v="61473.2"/>
    <n v="100733"/>
    <n v="29344.7"/>
    <n v="5089.2"/>
    <n v="34433.9"/>
    <n v="21.69"/>
    <n v="0.15"/>
    <n v="4696.5"/>
    <n v="34041.199999999997"/>
    <n v="600.16"/>
    <n v="1200"/>
    <n v="134774.20000000001"/>
    <n v="21.91"/>
    <n v="4000"/>
  </r>
  <r>
    <s v="4000_0.3_0.5_1000_1.0_order_1"/>
    <x v="1"/>
    <n v="0.3"/>
    <n v="0.5"/>
    <n v="1000"/>
    <n v="1"/>
    <n v="1"/>
    <x v="0"/>
    <n v="175093.6"/>
    <n v="68226.600000000006"/>
    <n v="106867"/>
    <n v="1200"/>
    <n v="600.01"/>
    <n v="38432.800000000003"/>
    <n v="59275.199999999997"/>
    <n v="97708"/>
    <n v="31318.400000000001"/>
    <n v="9133.2999999999993"/>
    <n v="40451.699999999997"/>
    <n v="21.09"/>
    <n v="0.31"/>
    <n v="8811.1"/>
    <n v="40129.5"/>
    <n v="600.30999999999995"/>
    <n v="1200"/>
    <n v="137837.5"/>
    <n v="21.28"/>
    <n v="4000"/>
  </r>
  <r>
    <s v="4000_0.3_0.5_1000_1.0_order_2"/>
    <x v="1"/>
    <n v="0.3"/>
    <n v="0.5"/>
    <n v="1000"/>
    <n v="1"/>
    <n v="2"/>
    <x v="0"/>
    <n v="175656.9"/>
    <n v="73099.600000000006"/>
    <n v="102557.3"/>
    <n v="1200"/>
    <n v="600.02"/>
    <n v="39354.9"/>
    <n v="57560.7"/>
    <n v="96915.6"/>
    <n v="32184.799999999999"/>
    <n v="9203.2000000000007"/>
    <n v="41388"/>
    <n v="21.26"/>
    <n v="0.3"/>
    <n v="8990.7999999999993"/>
    <n v="41175.599999999999"/>
    <n v="600.30999999999995"/>
    <n v="1200"/>
    <n v="138091.20000000001"/>
    <n v="21.39"/>
    <n v="4000"/>
  </r>
  <r>
    <s v="4000_0.3_0.5_1000_1.0_order_3"/>
    <x v="1"/>
    <n v="0.3"/>
    <n v="0.5"/>
    <n v="1000"/>
    <n v="1"/>
    <n v="3"/>
    <x v="0"/>
    <n v="169951.8"/>
    <n v="69742.100000000006"/>
    <n v="100209.7"/>
    <n v="1200"/>
    <n v="600.01"/>
    <n v="39412.199999999997"/>
    <n v="55533.3"/>
    <n v="94945.5"/>
    <n v="31954.9"/>
    <n v="9095.7000000000007"/>
    <n v="41050.6"/>
    <n v="19.98"/>
    <n v="0.26"/>
    <n v="8828.2000000000007"/>
    <n v="40783.1"/>
    <n v="600.26"/>
    <n v="1200"/>
    <n v="135728.6"/>
    <n v="20.14"/>
    <n v="4000"/>
  </r>
  <r>
    <s v="4000_0.3_0.5_1000_1.0_order_4"/>
    <x v="1"/>
    <n v="0.3"/>
    <n v="0.5"/>
    <n v="1000"/>
    <n v="1"/>
    <n v="4"/>
    <x v="0"/>
    <n v="171916.6"/>
    <n v="69635.3"/>
    <n v="102281.3"/>
    <n v="1200"/>
    <n v="600.02"/>
    <n v="38864.699999999997"/>
    <n v="56054.3"/>
    <n v="94919"/>
    <n v="32074.400000000001"/>
    <n v="9132.2000000000007"/>
    <n v="41206.6"/>
    <n v="20.82"/>
    <n v="0.31"/>
    <n v="8891.7000000000007"/>
    <n v="40966.1"/>
    <n v="600.33000000000004"/>
    <n v="1200"/>
    <n v="135885.1"/>
    <n v="20.96"/>
    <n v="4000"/>
  </r>
  <r>
    <s v="4000_0.3_0.5_1000_1.0_order_5"/>
    <x v="1"/>
    <n v="0.3"/>
    <n v="0.5"/>
    <n v="1000"/>
    <n v="1"/>
    <n v="5"/>
    <x v="0"/>
    <n v="176761.2"/>
    <n v="70693.100000000006"/>
    <n v="106068.1"/>
    <n v="1200"/>
    <n v="600"/>
    <n v="40138.9"/>
    <n v="59172.1"/>
    <n v="99311"/>
    <n v="31583.9"/>
    <n v="8969"/>
    <n v="40552.9"/>
    <n v="20.87"/>
    <n v="0.32"/>
    <n v="8638.1"/>
    <n v="40222"/>
    <n v="600.32000000000005"/>
    <n v="1199"/>
    <n v="139533"/>
    <n v="21.06"/>
    <n v="4000"/>
  </r>
  <r>
    <s v="4000_0.3_0.5_1000_2.0_order_1"/>
    <x v="1"/>
    <n v="0.3"/>
    <n v="0.5"/>
    <n v="1000"/>
    <n v="2"/>
    <n v="1"/>
    <x v="0"/>
    <n v="267278.59999999998"/>
    <n v="104903.3"/>
    <n v="162375.29999999999"/>
    <n v="1200"/>
    <n v="600.02"/>
    <n v="62685.8"/>
    <n v="95773"/>
    <n v="158458.79999999999"/>
    <n v="32111.4"/>
    <n v="9857.6"/>
    <n v="41969"/>
    <n v="25.01"/>
    <n v="0.45"/>
    <n v="9273.2999999999993"/>
    <n v="41384.699999999997"/>
    <n v="600.48"/>
    <n v="1199"/>
    <n v="199843.5"/>
    <n v="25.23"/>
    <n v="4000"/>
  </r>
  <r>
    <s v="4000_0.3_0.5_1000_2.0_order_2"/>
    <x v="1"/>
    <n v="0.3"/>
    <n v="0.5"/>
    <n v="1000"/>
    <n v="2"/>
    <n v="2"/>
    <x v="0"/>
    <n v="266574.40000000002"/>
    <n v="109573.5"/>
    <n v="157000.9"/>
    <n v="1200"/>
    <n v="600"/>
    <n v="64827.7"/>
    <n v="91098.7"/>
    <n v="155926.39999999999"/>
    <n v="31790.400000000001"/>
    <n v="10068.200000000001"/>
    <n v="41858.6"/>
    <n v="25.8"/>
    <n v="0.48"/>
    <n v="9396.6"/>
    <n v="41187"/>
    <n v="600.48"/>
    <n v="1200"/>
    <n v="197113.4"/>
    <n v="26.06"/>
    <n v="4000"/>
  </r>
  <r>
    <s v="4000_0.3_0.5_1000_2.0_order_3"/>
    <x v="1"/>
    <n v="0.3"/>
    <n v="0.5"/>
    <n v="1000"/>
    <n v="2"/>
    <n v="3"/>
    <x v="0"/>
    <n v="270461.40000000002"/>
    <n v="108640.8"/>
    <n v="161820.6"/>
    <n v="1200"/>
    <n v="600.03"/>
    <n v="65089.9"/>
    <n v="94724.800000000003"/>
    <n v="159814.70000000001"/>
    <n v="31690.9"/>
    <n v="9523.7000000000007"/>
    <n v="41214.6"/>
    <n v="25.67"/>
    <n v="0.36"/>
    <n v="8970.2000000000007"/>
    <n v="40661.1"/>
    <n v="600.38"/>
    <n v="1200"/>
    <n v="200475.8"/>
    <n v="25.88"/>
    <n v="4000"/>
  </r>
  <r>
    <s v="4000_0.3_0.5_1000_2.0_order_4"/>
    <x v="1"/>
    <n v="0.3"/>
    <n v="0.5"/>
    <n v="1000"/>
    <n v="2"/>
    <n v="4"/>
    <x v="0"/>
    <n v="276520.5"/>
    <n v="108151.8"/>
    <n v="168368.7"/>
    <n v="1200"/>
    <n v="600.03"/>
    <n v="65902.600000000006"/>
    <n v="98187.8"/>
    <n v="164090.4"/>
    <n v="32182.7"/>
    <n v="9881.7999999999993"/>
    <n v="42064.5"/>
    <n v="25.45"/>
    <n v="0.39"/>
    <n v="9084.5"/>
    <n v="41267.199999999997"/>
    <n v="600.42999999999995"/>
    <n v="1200"/>
    <n v="205357.6"/>
    <n v="25.74"/>
    <n v="4000"/>
  </r>
  <r>
    <s v="4000_0.3_0.5_1000_2.0_order_5"/>
    <x v="1"/>
    <n v="0.3"/>
    <n v="0.5"/>
    <n v="1000"/>
    <n v="2"/>
    <n v="5"/>
    <x v="0"/>
    <n v="269398.09999999998"/>
    <n v="105268.2"/>
    <n v="164129.9"/>
    <n v="1200"/>
    <n v="600"/>
    <n v="62928"/>
    <n v="95847"/>
    <n v="158775"/>
    <n v="31679.1"/>
    <n v="9728.1"/>
    <n v="41407.199999999997"/>
    <n v="25.69"/>
    <n v="0.42"/>
    <n v="8994.7000000000007"/>
    <n v="40673.800000000003"/>
    <n v="600.41999999999996"/>
    <n v="1200"/>
    <n v="199448.8"/>
    <n v="25.97"/>
    <n v="4000"/>
  </r>
  <r>
    <s v="4000_0.3_0.5_1000_3.0_order_1"/>
    <x v="1"/>
    <n v="0.3"/>
    <n v="0.5"/>
    <n v="1000"/>
    <n v="3"/>
    <n v="1"/>
    <x v="0"/>
    <n v="356848.3"/>
    <n v="144262.29999999999"/>
    <n v="212586"/>
    <n v="1200"/>
    <n v="600.01"/>
    <n v="88437.8"/>
    <n v="128751"/>
    <n v="217188.8"/>
    <n v="30536.2"/>
    <n v="9000.2999999999993"/>
    <n v="39536.5"/>
    <n v="28.06"/>
    <n v="0.56000000000000005"/>
    <n v="8225.1"/>
    <n v="38761.300000000003"/>
    <n v="600.57000000000005"/>
    <n v="1199"/>
    <n v="255950.1"/>
    <n v="28.27"/>
    <n v="4000"/>
  </r>
  <r>
    <s v="4000_0.3_0.5_1000_3.0_order_2"/>
    <x v="1"/>
    <n v="0.3"/>
    <n v="0.5"/>
    <n v="1000"/>
    <n v="3"/>
    <n v="2"/>
    <x v="0"/>
    <n v="328960.90000000002"/>
    <n v="126352.7"/>
    <n v="202608.2"/>
    <n v="1200"/>
    <n v="600.02"/>
    <n v="78727.5"/>
    <n v="120917.1"/>
    <n v="199644.6"/>
    <n v="31601.1"/>
    <n v="9567.7000000000007"/>
    <n v="41168.800000000003"/>
    <n v="26.8"/>
    <n v="0.52"/>
    <n v="8799.1"/>
    <n v="40400.199999999997"/>
    <n v="600.54"/>
    <n v="1200"/>
    <n v="240044.79999999999"/>
    <n v="27.03"/>
    <n v="4000"/>
  </r>
  <r>
    <s v="4000_0.3_0.5_1000_3.0_order_3"/>
    <x v="1"/>
    <n v="0.3"/>
    <n v="0.5"/>
    <n v="1000"/>
    <n v="3"/>
    <n v="3"/>
    <x v="0"/>
    <n v="355550"/>
    <n v="132273.1"/>
    <n v="223276.9"/>
    <n v="1200"/>
    <n v="600.01"/>
    <n v="82357.8"/>
    <n v="133851.9"/>
    <n v="216209.7"/>
    <n v="31191.8"/>
    <n v="9498.9"/>
    <n v="40690.699999999997"/>
    <n v="27.75"/>
    <n v="0.55000000000000004"/>
    <n v="8603"/>
    <n v="39794.800000000003"/>
    <n v="600.55999999999995"/>
    <n v="1200"/>
    <n v="256004.5"/>
    <n v="28"/>
    <n v="4000"/>
  </r>
  <r>
    <s v="4000_0.3_0.5_1000_3.0_order_4"/>
    <x v="1"/>
    <n v="0.3"/>
    <n v="0.5"/>
    <n v="1000"/>
    <n v="3"/>
    <n v="4"/>
    <x v="0"/>
    <n v="350010.5"/>
    <n v="134680.70000000001"/>
    <n v="215329.8"/>
    <n v="1200"/>
    <n v="600.01"/>
    <n v="84308.5"/>
    <n v="130183"/>
    <n v="214491.5"/>
    <n v="30996.5"/>
    <n v="9188.7000000000007"/>
    <n v="40185.199999999997"/>
    <n v="27.24"/>
    <n v="0.49"/>
    <n v="8500.2999999999993"/>
    <n v="39496.800000000003"/>
    <n v="600.5"/>
    <n v="1200"/>
    <n v="253988.3"/>
    <n v="27.43"/>
    <n v="4000"/>
  </r>
  <r>
    <s v="4000_0.3_0.5_1000_3.0_order_5"/>
    <x v="1"/>
    <n v="0.3"/>
    <n v="0.5"/>
    <n v="1000"/>
    <n v="3"/>
    <n v="5"/>
    <x v="0"/>
    <n v="358853.9"/>
    <n v="135489.60000000001"/>
    <n v="223364.3"/>
    <n v="1200"/>
    <n v="600.03"/>
    <n v="83279.399999999994"/>
    <n v="135208.70000000001"/>
    <n v="218488.1"/>
    <n v="31333.8"/>
    <n v="9709.7000000000007"/>
    <n v="41043.5"/>
    <n v="27.68"/>
    <n v="0.59"/>
    <n v="8837.1"/>
    <n v="40170.9"/>
    <n v="600.61"/>
    <n v="1200"/>
    <n v="258659"/>
    <n v="27.92"/>
    <n v="4000"/>
  </r>
  <r>
    <s v="4000_0.3_0.5_2000_1.0_order_1"/>
    <x v="1"/>
    <n v="0.3"/>
    <n v="0.5"/>
    <n v="2000"/>
    <n v="1"/>
    <n v="1"/>
    <x v="0"/>
    <n v="348568.8"/>
    <n v="140450.6"/>
    <n v="208118.2"/>
    <n v="1200"/>
    <n v="600.01"/>
    <n v="87872.6"/>
    <n v="126732.7"/>
    <n v="214605.3"/>
    <n v="34362.400000000001"/>
    <n v="12227.4"/>
    <n v="46589.8"/>
    <n v="25.07"/>
    <n v="0.3"/>
    <n v="12066.7"/>
    <n v="46429.1"/>
    <n v="600.30999999999995"/>
    <n v="1200"/>
    <n v="261034.4"/>
    <n v="25.11"/>
    <n v="4000"/>
  </r>
  <r>
    <s v="4000_0.3_0.5_2000_1.0_order_2"/>
    <x v="1"/>
    <n v="0.3"/>
    <n v="0.5"/>
    <n v="2000"/>
    <n v="1"/>
    <n v="2"/>
    <x v="0"/>
    <n v="356227.2"/>
    <n v="144468.4"/>
    <n v="211758.8"/>
    <n v="1200"/>
    <n v="600.01"/>
    <n v="89001.1"/>
    <n v="129246.5"/>
    <n v="218247.6"/>
    <n v="34011.199999999997"/>
    <n v="12266.2"/>
    <n v="46277.4"/>
    <n v="25.74"/>
    <n v="0.38"/>
    <n v="11886.6"/>
    <n v="45897.8"/>
    <n v="600.39"/>
    <n v="1200"/>
    <n v="264145.40000000002"/>
    <n v="25.85"/>
    <n v="4000"/>
  </r>
  <r>
    <s v="4000_0.3_0.5_2000_1.0_order_3"/>
    <x v="1"/>
    <n v="0.3"/>
    <n v="0.5"/>
    <n v="2000"/>
    <n v="1"/>
    <n v="3"/>
    <x v="0"/>
    <n v="352439.3"/>
    <n v="140867.20000000001"/>
    <n v="211572.1"/>
    <n v="1200"/>
    <n v="600.01"/>
    <n v="85804.800000000003"/>
    <n v="128769.5"/>
    <n v="214574.3"/>
    <n v="34414.699999999997"/>
    <n v="12014"/>
    <n v="46428.7"/>
    <n v="25.94"/>
    <n v="0.33"/>
    <n v="11860.4"/>
    <n v="46275.1"/>
    <n v="600.34"/>
    <n v="1200"/>
    <n v="260849.4"/>
    <n v="25.99"/>
    <n v="4000"/>
  </r>
  <r>
    <s v="4000_0.3_0.5_2000_1.0_order_4"/>
    <x v="1"/>
    <n v="0.3"/>
    <n v="0.5"/>
    <n v="2000"/>
    <n v="1"/>
    <n v="4"/>
    <x v="0"/>
    <n v="362583.2"/>
    <n v="147633"/>
    <n v="214950.2"/>
    <n v="1200"/>
    <n v="600.02"/>
    <n v="89850.2"/>
    <n v="131632.6"/>
    <n v="221482.8"/>
    <n v="33506.199999999997"/>
    <n v="11754"/>
    <n v="45260.2"/>
    <n v="26.43"/>
    <n v="0.34"/>
    <n v="11507"/>
    <n v="45013.2"/>
    <n v="600.36"/>
    <n v="1200"/>
    <n v="266496"/>
    <n v="26.5"/>
    <n v="4000"/>
  </r>
  <r>
    <s v="4000_0.3_0.5_2000_1.0_order_5"/>
    <x v="1"/>
    <n v="0.3"/>
    <n v="0.5"/>
    <n v="2000"/>
    <n v="1"/>
    <n v="5"/>
    <x v="0"/>
    <n v="357055"/>
    <n v="142400.4"/>
    <n v="214654.6"/>
    <n v="1200"/>
    <n v="600.01"/>
    <n v="88452.7"/>
    <n v="134561"/>
    <n v="223013.7"/>
    <n v="33701.699999999997"/>
    <n v="12263.4"/>
    <n v="45965.1"/>
    <n v="24.67"/>
    <n v="0.41"/>
    <n v="11957.9"/>
    <n v="45659.6"/>
    <n v="600.41999999999996"/>
    <n v="1199"/>
    <n v="268673.3"/>
    <n v="24.75"/>
    <n v="4000"/>
  </r>
  <r>
    <s v="4000_0.3_0.5_2000_2.0_order_1"/>
    <x v="1"/>
    <n v="0.3"/>
    <n v="0.5"/>
    <n v="2000"/>
    <n v="2"/>
    <n v="1"/>
    <x v="0"/>
    <n v="525680.9"/>
    <n v="196095.8"/>
    <n v="329585.09999999998"/>
    <n v="1200"/>
    <n v="600.01"/>
    <n v="130126.5"/>
    <n v="210961.5"/>
    <n v="341088"/>
    <n v="31830.1"/>
    <n v="11091.1"/>
    <n v="42921.2"/>
    <n v="26.95"/>
    <n v="0.5"/>
    <n v="10324.200000000001"/>
    <n v="42154.3"/>
    <n v="600.51"/>
    <n v="1200"/>
    <n v="383242.3"/>
    <n v="27.1"/>
    <n v="4000"/>
  </r>
  <r>
    <s v="4000_0.3_0.5_2000_2.0_order_2"/>
    <x v="1"/>
    <n v="0.3"/>
    <n v="0.5"/>
    <n v="2000"/>
    <n v="2"/>
    <n v="2"/>
    <x v="0"/>
    <n v="542626.4"/>
    <n v="209886.9"/>
    <n v="332739.5"/>
    <n v="1200"/>
    <n v="600.02"/>
    <n v="136085"/>
    <n v="211338.6"/>
    <n v="347423.6"/>
    <n v="32694.3"/>
    <n v="11563"/>
    <n v="44257.3"/>
    <n v="27.82"/>
    <n v="0.44"/>
    <n v="10829.7"/>
    <n v="43524"/>
    <n v="600.45000000000005"/>
    <n v="1200"/>
    <n v="390947.6"/>
    <n v="27.95"/>
    <n v="4000"/>
  </r>
  <r>
    <s v="4000_0.3_0.5_2000_2.0_order_3"/>
    <x v="1"/>
    <n v="0.3"/>
    <n v="0.5"/>
    <n v="2000"/>
    <n v="2"/>
    <n v="3"/>
    <x v="0"/>
    <n v="535601.9"/>
    <n v="206774.8"/>
    <n v="328827.09999999998"/>
    <n v="1200"/>
    <n v="600.02"/>
    <n v="135294"/>
    <n v="205911"/>
    <n v="341205"/>
    <n v="33004.300000000003"/>
    <n v="11991.1"/>
    <n v="44995.4"/>
    <n v="27.89"/>
    <n v="0.49"/>
    <n v="11131.2"/>
    <n v="44135.5"/>
    <n v="600.51"/>
    <n v="1200"/>
    <n v="385340.5"/>
    <n v="28.05"/>
    <n v="4000"/>
  </r>
  <r>
    <s v="4000_0.3_0.5_2000_2.0_order_4"/>
    <x v="1"/>
    <n v="0.3"/>
    <n v="0.5"/>
    <n v="2000"/>
    <n v="2"/>
    <n v="4"/>
    <x v="0"/>
    <n v="546869.19999999995"/>
    <n v="217164.2"/>
    <n v="329705"/>
    <n v="1200"/>
    <n v="600.04999999999995"/>
    <n v="140068.4"/>
    <n v="207035.7"/>
    <n v="347104.1"/>
    <n v="32571.200000000001"/>
    <n v="11160.7"/>
    <n v="43731.9"/>
    <n v="28.53"/>
    <n v="0.46"/>
    <n v="10462.6"/>
    <n v="43033.8"/>
    <n v="600.51"/>
    <n v="1199"/>
    <n v="390137.9"/>
    <n v="28.66"/>
    <n v="4000"/>
  </r>
  <r>
    <s v="4000_0.3_0.5_2000_2.0_order_5"/>
    <x v="1"/>
    <n v="0.3"/>
    <n v="0.5"/>
    <n v="2000"/>
    <n v="2"/>
    <n v="5"/>
    <x v="0"/>
    <n v="529483.30000000005"/>
    <n v="205231.3"/>
    <n v="324252"/>
    <n v="1200"/>
    <n v="600.03"/>
    <n v="133094.39999999999"/>
    <n v="206098.3"/>
    <n v="339192.7"/>
    <n v="33030.699999999997"/>
    <n v="12884"/>
    <n v="45914.7"/>
    <n v="27.27"/>
    <n v="0.56999999999999995"/>
    <n v="12079.5"/>
    <n v="45110.2"/>
    <n v="600.61"/>
    <n v="1200"/>
    <n v="384302.9"/>
    <n v="27.42"/>
    <n v="4000"/>
  </r>
  <r>
    <s v="4000_0.3_0.5_2000_3.0_order_1"/>
    <x v="1"/>
    <n v="0.3"/>
    <n v="0.5"/>
    <n v="2000"/>
    <n v="3"/>
    <n v="1"/>
    <x v="0"/>
    <n v="681195.9"/>
    <n v="262008.1"/>
    <n v="419187.8"/>
    <n v="1200"/>
    <n v="600"/>
    <n v="171625.3"/>
    <n v="271280"/>
    <n v="442905.3"/>
    <n v="32381.200000000001"/>
    <n v="10191.799999999999"/>
    <n v="42573"/>
    <n v="28.73"/>
    <n v="0.55000000000000004"/>
    <n v="9237"/>
    <n v="41618.199999999997"/>
    <n v="600.54999999999995"/>
    <n v="1200"/>
    <n v="484523.5"/>
    <n v="28.87"/>
    <n v="4000"/>
  </r>
  <r>
    <s v="4000_0.3_0.5_2000_3.0_order_2"/>
    <x v="1"/>
    <n v="0.3"/>
    <n v="0.5"/>
    <n v="2000"/>
    <n v="3"/>
    <n v="2"/>
    <x v="0"/>
    <n v="688634.5"/>
    <n v="263569.40000000002"/>
    <n v="425065.1"/>
    <n v="1200"/>
    <n v="600.07000000000005"/>
    <n v="172278.5"/>
    <n v="273707.8"/>
    <n v="445986.3"/>
    <n v="32315.599999999999"/>
    <n v="10881.3"/>
    <n v="43196.9"/>
    <n v="28.96"/>
    <n v="0.53"/>
    <n v="10007.700000000001"/>
    <n v="42323.3"/>
    <n v="600.59"/>
    <n v="1200"/>
    <n v="488309.6"/>
    <n v="29.09"/>
    <n v="4000"/>
  </r>
  <r>
    <s v="4000_0.3_0.5_2000_3.0_order_3"/>
    <x v="1"/>
    <n v="0.3"/>
    <n v="0.5"/>
    <n v="2000"/>
    <n v="3"/>
    <n v="3"/>
    <x v="0"/>
    <n v="673599.6"/>
    <n v="251402.1"/>
    <n v="422197.5"/>
    <n v="1200"/>
    <n v="600.02"/>
    <n v="166280.5"/>
    <n v="272451.7"/>
    <n v="438732.2"/>
    <n v="31516.1"/>
    <n v="11228.3"/>
    <n v="42744.4"/>
    <n v="28.52"/>
    <n v="0.55000000000000004"/>
    <n v="10228.1"/>
    <n v="41744.199999999997"/>
    <n v="600.57000000000005"/>
    <n v="1200"/>
    <n v="480476.4"/>
    <n v="28.67"/>
    <n v="4000"/>
  </r>
  <r>
    <s v="4000_0.3_0.5_2000_3.0_order_4"/>
    <x v="1"/>
    <n v="0.3"/>
    <n v="0.5"/>
    <n v="2000"/>
    <n v="3"/>
    <n v="4"/>
    <x v="0"/>
    <n v="674112.8"/>
    <n v="259348.7"/>
    <n v="414764.1"/>
    <n v="1200"/>
    <n v="600.03"/>
    <n v="172914.6"/>
    <n v="269278.5"/>
    <n v="442193.1"/>
    <n v="31164.3"/>
    <n v="10311.299999999999"/>
    <n v="41475.599999999999"/>
    <n v="28.25"/>
    <n v="0.49"/>
    <n v="9452.7000000000007"/>
    <n v="40617"/>
    <n v="600.52"/>
    <n v="1200"/>
    <n v="482810.1"/>
    <n v="28.38"/>
    <n v="4000"/>
  </r>
  <r>
    <s v="4000_0.3_0.5_2000_3.0_order_5"/>
    <x v="1"/>
    <n v="0.3"/>
    <n v="0.5"/>
    <n v="2000"/>
    <n v="3"/>
    <n v="5"/>
    <x v="0"/>
    <n v="700049.7"/>
    <n v="267738.7"/>
    <n v="432311"/>
    <n v="1200"/>
    <n v="600"/>
    <n v="174487.4"/>
    <n v="275853.2"/>
    <n v="450340.6"/>
    <n v="32008.7"/>
    <n v="10542.4"/>
    <n v="42551.1"/>
    <n v="29.59"/>
    <n v="0.52"/>
    <n v="9391.4"/>
    <n v="41400.1"/>
    <n v="600.52"/>
    <n v="1200"/>
    <n v="491740.7"/>
    <n v="29.76"/>
    <n v="4000"/>
  </r>
  <r>
    <s v="4000_0.3_0.5_500_1.0_order_1"/>
    <x v="1"/>
    <n v="0.3"/>
    <n v="0.5"/>
    <n v="500"/>
    <n v="1"/>
    <n v="1"/>
    <x v="0"/>
    <n v="86158.9"/>
    <n v="35109.800000000003"/>
    <n v="51049.1"/>
    <n v="1200"/>
    <n v="600.02"/>
    <n v="17060.2"/>
    <n v="25689.5"/>
    <n v="42749.7"/>
    <n v="28374"/>
    <n v="5779.5"/>
    <n v="34153.5"/>
    <n v="10.74"/>
    <n v="0.2"/>
    <n v="5557.8"/>
    <n v="33931.800000000003"/>
    <n v="600.22"/>
    <n v="1200"/>
    <n v="76681.5"/>
    <n v="11"/>
    <n v="4000"/>
  </r>
  <r>
    <s v="4000_0.3_0.5_500_1.0_order_2"/>
    <x v="1"/>
    <n v="0.3"/>
    <n v="0.5"/>
    <n v="500"/>
    <n v="1"/>
    <n v="2"/>
    <x v="0"/>
    <n v="87235.199999999997"/>
    <n v="35765.300000000003"/>
    <n v="51469.9"/>
    <n v="1200"/>
    <n v="600"/>
    <n v="17231.599999999999"/>
    <n v="26065.9"/>
    <n v="43297.5"/>
    <n v="28428.1"/>
    <n v="6411"/>
    <n v="34839.1"/>
    <n v="10.43"/>
    <n v="0.2"/>
    <n v="6145.5"/>
    <n v="34573.599999999999"/>
    <n v="600.21"/>
    <n v="1200"/>
    <n v="77871.100000000006"/>
    <n v="10.73"/>
    <n v="4000"/>
  </r>
  <r>
    <s v="4000_0.3_0.5_500_1.0_order_3"/>
    <x v="1"/>
    <n v="0.3"/>
    <n v="0.5"/>
    <n v="500"/>
    <n v="1"/>
    <n v="3"/>
    <x v="0"/>
    <n v="87209.7"/>
    <n v="35411.300000000003"/>
    <n v="51798.400000000001"/>
    <n v="1200"/>
    <n v="600.01"/>
    <n v="16661.7"/>
    <n v="25831.8"/>
    <n v="42493.5"/>
    <n v="28456.5"/>
    <n v="6197.4"/>
    <n v="34653.9"/>
    <n v="11.54"/>
    <n v="0.21"/>
    <n v="5943.9"/>
    <n v="34400.400000000001"/>
    <n v="600.22"/>
    <n v="1200"/>
    <n v="76893.899999999994"/>
    <n v="11.83"/>
    <n v="4000"/>
  </r>
  <r>
    <s v="4000_0.3_0.5_500_1.0_order_4"/>
    <x v="1"/>
    <n v="0.3"/>
    <n v="0.5"/>
    <n v="500"/>
    <n v="1"/>
    <n v="4"/>
    <x v="0"/>
    <n v="89293"/>
    <n v="36025.699999999997"/>
    <n v="53267.3"/>
    <n v="1200"/>
    <n v="600.01"/>
    <n v="18036.7"/>
    <n v="26293"/>
    <n v="44329.7"/>
    <n v="28178.9"/>
    <n v="6037.1"/>
    <n v="34216"/>
    <n v="12.04"/>
    <n v="0.16"/>
    <n v="5879.1"/>
    <n v="34058"/>
    <n v="600.16999999999996"/>
    <n v="1200"/>
    <n v="78387.7"/>
    <n v="12.21"/>
    <n v="4000"/>
  </r>
  <r>
    <s v="4000_0.3_0.5_500_1.0_order_5"/>
    <x v="1"/>
    <n v="0.3"/>
    <n v="0.5"/>
    <n v="500"/>
    <n v="1"/>
    <n v="5"/>
    <x v="0"/>
    <n v="90482.3"/>
    <n v="36247.9"/>
    <n v="54234.400000000001"/>
    <n v="1200"/>
    <n v="600.01"/>
    <n v="17392.099999999999"/>
    <n v="26332.2"/>
    <n v="43724.3"/>
    <n v="28448.2"/>
    <n v="6030.9"/>
    <n v="34479.1"/>
    <n v="13.57"/>
    <n v="0.16"/>
    <n v="5808.1"/>
    <n v="34256.300000000003"/>
    <n v="600.16999999999996"/>
    <n v="1200"/>
    <n v="77980.600000000006"/>
    <n v="13.82"/>
    <n v="4000"/>
  </r>
  <r>
    <s v="4000_0.3_0.5_500_2.0_order_1"/>
    <x v="1"/>
    <n v="0.3"/>
    <n v="0.5"/>
    <n v="500"/>
    <n v="2"/>
    <n v="1"/>
    <x v="0"/>
    <n v="137406.5"/>
    <n v="55799.7"/>
    <n v="81606.8"/>
    <n v="1200"/>
    <n v="600.01"/>
    <n v="29589.3"/>
    <n v="42365.9"/>
    <n v="71955.199999999997"/>
    <n v="29381.1"/>
    <n v="7539.5"/>
    <n v="36920.6"/>
    <n v="20.76"/>
    <n v="0.3"/>
    <n v="7060.9"/>
    <n v="36442"/>
    <n v="600.30999999999995"/>
    <n v="1200"/>
    <n v="108397.2"/>
    <n v="21.11"/>
    <n v="4000"/>
  </r>
  <r>
    <s v="4000_0.3_0.5_500_2.0_order_2"/>
    <x v="1"/>
    <n v="0.3"/>
    <n v="0.5"/>
    <n v="500"/>
    <n v="2"/>
    <n v="2"/>
    <x v="0"/>
    <n v="134470.9"/>
    <n v="52869.5"/>
    <n v="81601.399999999994"/>
    <n v="1200"/>
    <n v="600.02"/>
    <n v="28176.6"/>
    <n v="42147.4"/>
    <n v="70324"/>
    <n v="29922.1"/>
    <n v="6497.2"/>
    <n v="36419.300000000003"/>
    <n v="20.62"/>
    <n v="0.25"/>
    <n v="6126.1"/>
    <n v="36048.199999999997"/>
    <n v="600.27"/>
    <n v="1200"/>
    <n v="106372.2"/>
    <n v="20.9"/>
    <n v="4000"/>
  </r>
  <r>
    <s v="4000_0.3_0.5_500_2.0_order_3"/>
    <x v="1"/>
    <n v="0.3"/>
    <n v="0.5"/>
    <n v="500"/>
    <n v="2"/>
    <n v="3"/>
    <x v="0"/>
    <n v="141138"/>
    <n v="56617.599999999999"/>
    <n v="84520.4"/>
    <n v="1200"/>
    <n v="600"/>
    <n v="30079"/>
    <n v="44066.2"/>
    <n v="74145.2"/>
    <n v="29643.1"/>
    <n v="6937.3"/>
    <n v="36580.400000000001"/>
    <n v="21.55"/>
    <n v="0.33"/>
    <n v="6547"/>
    <n v="36190.1"/>
    <n v="600.33000000000004"/>
    <n v="1200"/>
    <n v="110335.3"/>
    <n v="21.82"/>
    <n v="4000"/>
  </r>
  <r>
    <s v="4000_0.3_0.5_500_2.0_order_4"/>
    <x v="1"/>
    <n v="0.3"/>
    <n v="0.5"/>
    <n v="500"/>
    <n v="2"/>
    <n v="4"/>
    <x v="0"/>
    <n v="138094.29999999999"/>
    <n v="51984.9"/>
    <n v="86109.4"/>
    <n v="1200"/>
    <n v="600.01"/>
    <n v="28645.8"/>
    <n v="44120.9"/>
    <n v="72766.7"/>
    <n v="29904"/>
    <n v="7403.8"/>
    <n v="37307.800000000003"/>
    <n v="20.29"/>
    <n v="0.27"/>
    <n v="6989.1"/>
    <n v="36893.1"/>
    <n v="600.28"/>
    <n v="1200"/>
    <n v="109659.8"/>
    <n v="20.59"/>
    <n v="4000"/>
  </r>
  <r>
    <s v="4000_0.3_0.5_500_2.0_order_5"/>
    <x v="1"/>
    <n v="0.3"/>
    <n v="0.5"/>
    <n v="500"/>
    <n v="2"/>
    <n v="5"/>
    <x v="0"/>
    <n v="132232.6"/>
    <n v="53369.5"/>
    <n v="78863.100000000006"/>
    <n v="1200"/>
    <n v="600"/>
    <n v="29153.5"/>
    <n v="40181.4"/>
    <n v="69334.899999999994"/>
    <n v="29098.2"/>
    <n v="6954.8"/>
    <n v="36053"/>
    <n v="20.3"/>
    <n v="0.25"/>
    <n v="6430.5"/>
    <n v="35528.699999999997"/>
    <n v="600.26"/>
    <n v="1200"/>
    <n v="104863.6"/>
    <n v="20.7"/>
    <n v="4000"/>
  </r>
  <r>
    <s v="4000_0.3_0.5_500_3.0_order_1"/>
    <x v="1"/>
    <n v="0.3"/>
    <n v="0.5"/>
    <n v="500"/>
    <n v="3"/>
    <n v="1"/>
    <x v="0"/>
    <n v="175437.9"/>
    <n v="65584.100000000006"/>
    <n v="109853.8"/>
    <n v="1200"/>
    <n v="600"/>
    <n v="37381.1"/>
    <n v="59913.2"/>
    <n v="97294.3"/>
    <n v="30359.9"/>
    <n v="7295.6"/>
    <n v="37655.5"/>
    <n v="23.08"/>
    <n v="0.39"/>
    <n v="6659.3"/>
    <n v="37019.199999999997"/>
    <n v="600.39"/>
    <n v="1200"/>
    <n v="134313.5"/>
    <n v="23.44"/>
    <n v="4000"/>
  </r>
  <r>
    <s v="4000_0.3_0.5_500_3.0_order_2"/>
    <x v="1"/>
    <n v="0.3"/>
    <n v="0.5"/>
    <n v="500"/>
    <n v="3"/>
    <n v="2"/>
    <x v="0"/>
    <n v="180917.6"/>
    <n v="67104.800000000003"/>
    <n v="113812.8"/>
    <n v="1200"/>
    <n v="600.01"/>
    <n v="37993.300000000003"/>
    <n v="62678.2"/>
    <n v="100671.5"/>
    <n v="30072.7"/>
    <n v="7353.4"/>
    <n v="37426.1"/>
    <n v="23.67"/>
    <n v="0.38"/>
    <n v="6853.9"/>
    <n v="36926.6"/>
    <n v="600.39"/>
    <n v="1200"/>
    <n v="137598.1"/>
    <n v="23.94"/>
    <n v="4000"/>
  </r>
  <r>
    <s v="4000_0.3_0.5_500_3.0_order_3"/>
    <x v="1"/>
    <n v="0.3"/>
    <n v="0.5"/>
    <n v="500"/>
    <n v="3"/>
    <n v="3"/>
    <x v="0"/>
    <n v="181227.2"/>
    <n v="68904.100000000006"/>
    <n v="112323.1"/>
    <n v="1200"/>
    <n v="600.02"/>
    <n v="38431.4"/>
    <n v="61841.8"/>
    <n v="100273.2"/>
    <n v="29814.9"/>
    <n v="7457.7"/>
    <n v="37272.6"/>
    <n v="24.1"/>
    <n v="0.35"/>
    <n v="6937.8"/>
    <n v="36752.699999999997"/>
    <n v="600.37"/>
    <n v="1200"/>
    <n v="137025.9"/>
    <n v="24.39"/>
    <n v="4000"/>
  </r>
  <r>
    <s v="4000_0.3_0.5_500_3.0_order_4"/>
    <x v="1"/>
    <n v="0.3"/>
    <n v="0.5"/>
    <n v="500"/>
    <n v="3"/>
    <n v="4"/>
    <x v="0"/>
    <n v="174207.9"/>
    <n v="64976.3"/>
    <n v="109231.6"/>
    <n v="1200"/>
    <n v="600.01"/>
    <n v="36074.199999999997"/>
    <n v="61100"/>
    <n v="97174.2"/>
    <n v="29776.2"/>
    <n v="7565.4"/>
    <n v="37341.599999999999"/>
    <n v="22.78"/>
    <n v="0.22"/>
    <n v="7009"/>
    <n v="36785.199999999997"/>
    <n v="600.23"/>
    <n v="1200"/>
    <n v="133959.4"/>
    <n v="23.1"/>
    <n v="4000"/>
  </r>
  <r>
    <s v="4000_0.3_0.5_500_3.0_order_5"/>
    <x v="1"/>
    <n v="0.3"/>
    <n v="0.5"/>
    <n v="500"/>
    <n v="3"/>
    <n v="5"/>
    <x v="0"/>
    <n v="177058.9"/>
    <n v="65926.600000000006"/>
    <n v="111132.3"/>
    <n v="1200"/>
    <n v="600"/>
    <n v="37231.9"/>
    <n v="61910.3"/>
    <n v="99142.2"/>
    <n v="29770.3"/>
    <n v="7535.4"/>
    <n v="37305.699999999997"/>
    <n v="22.94"/>
    <n v="0.33"/>
    <n v="6827.6"/>
    <n v="36597.9"/>
    <n v="600.33000000000004"/>
    <n v="1200"/>
    <n v="135740.1"/>
    <n v="23.34"/>
    <n v="4000"/>
  </r>
  <r>
    <s v="4000_0.4_0.5_1000_1.0_order_1"/>
    <x v="1"/>
    <n v="0.4"/>
    <n v="0.5"/>
    <n v="1000"/>
    <n v="1"/>
    <n v="1"/>
    <x v="0"/>
    <n v="171724.4"/>
    <n v="71423.3"/>
    <n v="100301.1"/>
    <n v="1200"/>
    <n v="600.01"/>
    <n v="37137.699999999997"/>
    <n v="52309"/>
    <n v="89446.7"/>
    <n v="31505.1"/>
    <n v="11087.5"/>
    <n v="42592.6"/>
    <n v="23.11"/>
    <n v="0.43"/>
    <n v="10864.6"/>
    <n v="42369.7"/>
    <n v="600.44000000000005"/>
    <n v="1199"/>
    <n v="131816.4"/>
    <n v="23.24"/>
    <n v="4000"/>
  </r>
  <r>
    <s v="4000_0.4_0.5_1000_1.0_order_2"/>
    <x v="1"/>
    <n v="0.4"/>
    <n v="0.5"/>
    <n v="1000"/>
    <n v="1"/>
    <n v="2"/>
    <x v="0"/>
    <n v="177265.8"/>
    <n v="68879.7"/>
    <n v="108386.1"/>
    <n v="1200"/>
    <n v="600.01"/>
    <n v="36135.199999999997"/>
    <n v="55637.599999999999"/>
    <n v="91772.800000000003"/>
    <n v="31799.3"/>
    <n v="11406.3"/>
    <n v="43205.599999999999"/>
    <n v="23.86"/>
    <n v="0.4"/>
    <n v="11192.9"/>
    <n v="42992.2"/>
    <n v="600.41"/>
    <n v="1200"/>
    <n v="134765"/>
    <n v="23.98"/>
    <n v="4000"/>
  </r>
  <r>
    <s v="4000_0.4_0.5_1000_1.0_order_3"/>
    <x v="1"/>
    <n v="0.4"/>
    <n v="0.5"/>
    <n v="1000"/>
    <n v="1"/>
    <n v="3"/>
    <x v="0"/>
    <n v="177163.7"/>
    <n v="70112.600000000006"/>
    <n v="107051.1"/>
    <n v="1200"/>
    <n v="600.01"/>
    <n v="36942.800000000003"/>
    <n v="56455.4"/>
    <n v="93398.2"/>
    <n v="31442.5"/>
    <n v="11509.6"/>
    <n v="42952.1"/>
    <n v="23.04"/>
    <n v="0.38"/>
    <n v="11201.7"/>
    <n v="42644.2"/>
    <n v="600.39"/>
    <n v="1200"/>
    <n v="136042.4"/>
    <n v="23.21"/>
    <n v="4000"/>
  </r>
  <r>
    <s v="4000_0.4_0.5_1000_1.0_order_4"/>
    <x v="1"/>
    <n v="0.4"/>
    <n v="0.5"/>
    <n v="1000"/>
    <n v="1"/>
    <n v="4"/>
    <x v="0"/>
    <n v="172274.8"/>
    <n v="71609"/>
    <n v="100665.8"/>
    <n v="1200"/>
    <n v="600"/>
    <n v="37017.300000000003"/>
    <n v="51990"/>
    <n v="89007.3"/>
    <n v="32792.400000000001"/>
    <n v="12150.8"/>
    <n v="44943.199999999997"/>
    <n v="22.25"/>
    <n v="0.39"/>
    <n v="11987"/>
    <n v="44779.4"/>
    <n v="600.39"/>
    <n v="1200"/>
    <n v="133786.70000000001"/>
    <n v="22.34"/>
    <n v="4000"/>
  </r>
  <r>
    <s v="4000_0.4_0.5_1000_1.0_order_5"/>
    <x v="1"/>
    <n v="0.4"/>
    <n v="0.5"/>
    <n v="1000"/>
    <n v="1"/>
    <n v="5"/>
    <x v="0"/>
    <n v="177440"/>
    <n v="71930.2"/>
    <n v="105509.8"/>
    <n v="1200"/>
    <n v="600.01"/>
    <n v="38117.800000000003"/>
    <n v="53894.5"/>
    <n v="92012.3"/>
    <n v="32563.1"/>
    <n v="12001.8"/>
    <n v="44564.9"/>
    <n v="23.03"/>
    <n v="0.4"/>
    <n v="11657.3"/>
    <n v="44220.4"/>
    <n v="600.41"/>
    <n v="1200"/>
    <n v="136232.70000000001"/>
    <n v="23.22"/>
    <n v="4000"/>
  </r>
  <r>
    <s v="4000_0.4_0.5_1000_2.0_order_1"/>
    <x v="1"/>
    <n v="0.4"/>
    <n v="0.5"/>
    <n v="1000"/>
    <n v="2"/>
    <n v="1"/>
    <x v="0"/>
    <n v="272984.8"/>
    <n v="106266.9"/>
    <n v="166717.9"/>
    <n v="1200"/>
    <n v="600.01"/>
    <n v="61194.9"/>
    <n v="90799.9"/>
    <n v="151994.79999999999"/>
    <n v="31346.400000000001"/>
    <n v="12328.2"/>
    <n v="43674.6"/>
    <n v="28.32"/>
    <n v="0.7"/>
    <n v="11805.2"/>
    <n v="43151.6"/>
    <n v="600.71"/>
    <n v="1200"/>
    <n v="195146.4"/>
    <n v="28.51"/>
    <n v="4000"/>
  </r>
  <r>
    <s v="4000_0.4_0.5_1000_2.0_order_2"/>
    <x v="1"/>
    <n v="0.4"/>
    <n v="0.5"/>
    <n v="1000"/>
    <n v="2"/>
    <n v="2"/>
    <x v="0"/>
    <n v="263794"/>
    <n v="97689.9"/>
    <n v="166104.1"/>
    <n v="1200"/>
    <n v="600.02"/>
    <n v="55129.5"/>
    <n v="90738.7"/>
    <n v="145868.20000000001"/>
    <n v="32148"/>
    <n v="12604.7"/>
    <n v="44752.7"/>
    <n v="27.74"/>
    <n v="0.65"/>
    <n v="12068.2"/>
    <n v="44216.2"/>
    <n v="600.66999999999996"/>
    <n v="1200"/>
    <n v="190084.4"/>
    <n v="27.94"/>
    <n v="4000"/>
  </r>
  <r>
    <s v="4000_0.4_0.5_1000_2.0_order_3"/>
    <x v="1"/>
    <n v="0.4"/>
    <n v="0.5"/>
    <n v="1000"/>
    <n v="2"/>
    <n v="3"/>
    <x v="0"/>
    <n v="267654.8"/>
    <n v="104237.1"/>
    <n v="163417.70000000001"/>
    <n v="1200"/>
    <n v="600.01"/>
    <n v="58430.400000000001"/>
    <n v="88109"/>
    <n v="146539.4"/>
    <n v="32515"/>
    <n v="12786.8"/>
    <n v="45301.8"/>
    <n v="28.33"/>
    <n v="0.67"/>
    <n v="12297.8"/>
    <n v="44812.800000000003"/>
    <n v="600.66999999999996"/>
    <n v="1200"/>
    <n v="191352.2"/>
    <n v="28.51"/>
    <n v="4000"/>
  </r>
  <r>
    <s v="4000_0.4_0.5_1000_2.0_order_4"/>
    <x v="1"/>
    <n v="0.4"/>
    <n v="0.5"/>
    <n v="1000"/>
    <n v="2"/>
    <n v="4"/>
    <x v="0"/>
    <n v="271917.09999999998"/>
    <n v="103980.4"/>
    <n v="167936.7"/>
    <n v="1200"/>
    <n v="600.01"/>
    <n v="59259.4"/>
    <n v="89558.2"/>
    <n v="148817.60000000001"/>
    <n v="32428.7"/>
    <n v="12424.8"/>
    <n v="44853.5"/>
    <n v="28.78"/>
    <n v="0.59"/>
    <n v="11932.2"/>
    <n v="44360.9"/>
    <n v="600.6"/>
    <n v="1200"/>
    <n v="193178.5"/>
    <n v="28.96"/>
    <n v="4000"/>
  </r>
  <r>
    <s v="4000_0.4_0.5_1000_2.0_order_5"/>
    <x v="1"/>
    <n v="0.4"/>
    <n v="0.5"/>
    <n v="1000"/>
    <n v="2"/>
    <n v="5"/>
    <x v="0"/>
    <n v="276548.7"/>
    <n v="105846.5"/>
    <n v="170702.2"/>
    <n v="1200"/>
    <n v="600.01"/>
    <n v="59833.1"/>
    <n v="93281.5"/>
    <n v="153114.6"/>
    <n v="31670.6"/>
    <n v="12410.2"/>
    <n v="44080.800000000003"/>
    <n v="28.69"/>
    <n v="0.64"/>
    <n v="11786"/>
    <n v="43456.6"/>
    <n v="600.65"/>
    <n v="1200"/>
    <n v="196571.2"/>
    <n v="28.92"/>
    <n v="4000"/>
  </r>
  <r>
    <s v="4000_0.4_0.5_1000_3.0_order_1"/>
    <x v="1"/>
    <n v="0.4"/>
    <n v="0.5"/>
    <n v="1000"/>
    <n v="3"/>
    <n v="1"/>
    <x v="0"/>
    <n v="341551.3"/>
    <n v="129094.3"/>
    <n v="212457"/>
    <n v="1200"/>
    <n v="600.01"/>
    <n v="75353"/>
    <n v="117793.7"/>
    <n v="193146.7"/>
    <n v="31002.2"/>
    <n v="11553.6"/>
    <n v="42555.8"/>
    <n v="30.99"/>
    <n v="0.91"/>
    <n v="10685.6"/>
    <n v="41687.800000000003"/>
    <n v="600.91999999999996"/>
    <n v="1200"/>
    <n v="234834.5"/>
    <n v="31.24"/>
    <n v="4000"/>
  </r>
  <r>
    <s v="4000_0.4_0.5_1000_3.0_order_2"/>
    <x v="1"/>
    <n v="0.4"/>
    <n v="0.5"/>
    <n v="1000"/>
    <n v="3"/>
    <n v="2"/>
    <x v="0"/>
    <n v="359905"/>
    <n v="140692.79999999999"/>
    <n v="219212.2"/>
    <n v="1200"/>
    <n v="600.02"/>
    <n v="82163.399999999994"/>
    <n v="123569.5"/>
    <n v="205732.9"/>
    <n v="31469.1"/>
    <n v="11185.6"/>
    <n v="42654.7"/>
    <n v="30.99"/>
    <n v="0.74"/>
    <n v="10376.9"/>
    <n v="41846"/>
    <n v="600.76"/>
    <n v="1200"/>
    <n v="247578.9"/>
    <n v="31.21"/>
    <n v="4000"/>
  </r>
  <r>
    <s v="4000_0.4_0.5_1000_3.0_order_3"/>
    <x v="1"/>
    <n v="0.4"/>
    <n v="0.5"/>
    <n v="1000"/>
    <n v="3"/>
    <n v="3"/>
    <x v="0"/>
    <n v="346084.2"/>
    <n v="139484.70000000001"/>
    <n v="206599.5"/>
    <n v="1200"/>
    <n v="600.02"/>
    <n v="80998.3"/>
    <n v="116596.5"/>
    <n v="197594.8"/>
    <n v="30508.1"/>
    <n v="10525.9"/>
    <n v="41034"/>
    <n v="31.05"/>
    <n v="0.68"/>
    <n v="9791.7000000000007"/>
    <n v="40299.800000000003"/>
    <n v="600.70000000000005"/>
    <n v="1200"/>
    <n v="237894.6"/>
    <n v="31.26"/>
    <n v="4000"/>
  </r>
  <r>
    <s v="4000_0.4_0.5_1000_3.0_order_4"/>
    <x v="1"/>
    <n v="0.4"/>
    <n v="0.5"/>
    <n v="1000"/>
    <n v="3"/>
    <n v="4"/>
    <x v="0"/>
    <n v="368365.6"/>
    <n v="138650.29999999999"/>
    <n v="229715.3"/>
    <n v="1200"/>
    <n v="600.03"/>
    <n v="81662.5"/>
    <n v="128517.1"/>
    <n v="210179.6"/>
    <n v="31831.200000000001"/>
    <n v="11728.8"/>
    <n v="43560"/>
    <n v="31.12"/>
    <n v="0.75"/>
    <n v="10742.4"/>
    <n v="42573.599999999999"/>
    <n v="600.77"/>
    <n v="1200"/>
    <n v="252753.2"/>
    <n v="31.39"/>
    <n v="4000"/>
  </r>
  <r>
    <s v="4000_0.4_0.5_1000_3.0_order_5"/>
    <x v="1"/>
    <n v="0.4"/>
    <n v="0.5"/>
    <n v="1000"/>
    <n v="3"/>
    <n v="5"/>
    <x v="0"/>
    <n v="339263.6"/>
    <n v="129708.3"/>
    <n v="209555.3"/>
    <n v="1200"/>
    <n v="600.04"/>
    <n v="76907.5"/>
    <n v="118072.6"/>
    <n v="194980.1"/>
    <n v="32042.9"/>
    <n v="11726.1"/>
    <n v="43769"/>
    <n v="29.63"/>
    <n v="0.68"/>
    <n v="10955.2"/>
    <n v="42998.1"/>
    <n v="600.71"/>
    <n v="1200"/>
    <n v="237978.2"/>
    <n v="29.85"/>
    <n v="4000"/>
  </r>
  <r>
    <s v="4000_0.4_0.5_2000_1.0_order_1"/>
    <x v="1"/>
    <n v="0.4"/>
    <n v="0.5"/>
    <n v="2000"/>
    <n v="1"/>
    <n v="1"/>
    <x v="0"/>
    <n v="359399"/>
    <n v="142539.5"/>
    <n v="216859.5"/>
    <n v="1200"/>
    <n v="600.01"/>
    <n v="82145.3"/>
    <n v="124573.8"/>
    <n v="206719.1"/>
    <n v="34012.1"/>
    <n v="14841.9"/>
    <n v="48854"/>
    <n v="28.89"/>
    <n v="0.55000000000000004"/>
    <n v="14596.9"/>
    <n v="48609"/>
    <n v="600.55999999999995"/>
    <n v="1200"/>
    <n v="255328.1"/>
    <n v="28.96"/>
    <n v="4000"/>
  </r>
  <r>
    <s v="4000_0.4_0.5_2000_1.0_order_2"/>
    <x v="1"/>
    <n v="0.4"/>
    <n v="0.5"/>
    <n v="2000"/>
    <n v="1"/>
    <n v="2"/>
    <x v="0"/>
    <n v="357031.4"/>
    <n v="141652.1"/>
    <n v="215379.3"/>
    <n v="1200"/>
    <n v="600.02"/>
    <n v="81410.100000000006"/>
    <n v="124578.7"/>
    <n v="205988.8"/>
    <n v="33458"/>
    <n v="14768.5"/>
    <n v="48226.5"/>
    <n v="28.8"/>
    <n v="0.5"/>
    <n v="14492.1"/>
    <n v="47950.1"/>
    <n v="600.52"/>
    <n v="1200"/>
    <n v="253938.9"/>
    <n v="28.87"/>
    <n v="4000"/>
  </r>
  <r>
    <s v="4000_0.4_0.5_2000_1.0_order_3"/>
    <x v="1"/>
    <n v="0.4"/>
    <n v="0.5"/>
    <n v="2000"/>
    <n v="1"/>
    <n v="3"/>
    <x v="0"/>
    <n v="354479.3"/>
    <n v="137883.5"/>
    <n v="216595.8"/>
    <n v="1200"/>
    <n v="600.02"/>
    <n v="81150.2"/>
    <n v="125779.6"/>
    <n v="206929.8"/>
    <n v="33717"/>
    <n v="14887"/>
    <n v="48604"/>
    <n v="27.91"/>
    <n v="0.44"/>
    <n v="14719.3"/>
    <n v="48436.3"/>
    <n v="600.46"/>
    <n v="1200"/>
    <n v="255366.1"/>
    <n v="27.96"/>
    <n v="4000"/>
  </r>
  <r>
    <s v="4000_0.4_0.5_2000_1.0_order_4"/>
    <x v="1"/>
    <n v="0.4"/>
    <n v="0.5"/>
    <n v="2000"/>
    <n v="1"/>
    <n v="4"/>
    <x v="0"/>
    <n v="350005.1"/>
    <n v="139952.9"/>
    <n v="210052.2"/>
    <n v="1200"/>
    <n v="600"/>
    <n v="80218.3"/>
    <n v="119463.4"/>
    <n v="199681.7"/>
    <n v="34318.300000000003"/>
    <n v="14531.4"/>
    <n v="48849.7"/>
    <n v="28.99"/>
    <n v="0.51"/>
    <n v="14251.8"/>
    <n v="48570.1"/>
    <n v="600.51"/>
    <n v="1200"/>
    <n v="248251.8"/>
    <n v="29.07"/>
    <n v="4000"/>
  </r>
  <r>
    <s v="4000_0.4_0.5_2000_1.0_order_5"/>
    <x v="1"/>
    <n v="0.4"/>
    <n v="0.5"/>
    <n v="2000"/>
    <n v="1"/>
    <n v="5"/>
    <x v="0"/>
    <n v="349985"/>
    <n v="143173.9"/>
    <n v="206811.1"/>
    <n v="1200"/>
    <n v="600.01"/>
    <n v="81680.3"/>
    <n v="118370"/>
    <n v="200050.3"/>
    <n v="33944"/>
    <n v="14953.2"/>
    <n v="48897.2"/>
    <n v="28.87"/>
    <n v="0.56000000000000005"/>
    <n v="14683.6"/>
    <n v="48627.6"/>
    <n v="600.55999999999995"/>
    <n v="1200"/>
    <n v="248677.9"/>
    <n v="28.95"/>
    <n v="4000"/>
  </r>
  <r>
    <s v="4000_0.4_0.5_2000_2.0_order_1"/>
    <x v="1"/>
    <n v="0.4"/>
    <n v="0.5"/>
    <n v="2000"/>
    <n v="2"/>
    <n v="1"/>
    <x v="0"/>
    <n v="530065.5"/>
    <n v="200162.8"/>
    <n v="329902.7"/>
    <n v="1200"/>
    <n v="600"/>
    <n v="120832.2"/>
    <n v="192852.1"/>
    <n v="313684.3"/>
    <n v="32673.5"/>
    <n v="14403.9"/>
    <n v="47077.4"/>
    <n v="31.94"/>
    <n v="0.83"/>
    <n v="13784.1"/>
    <n v="46457.599999999999"/>
    <n v="600.83000000000004"/>
    <n v="1200"/>
    <n v="360141.9"/>
    <n v="32.06"/>
    <n v="4000"/>
  </r>
  <r>
    <s v="4000_0.4_0.5_2000_2.0_order_2"/>
    <x v="1"/>
    <n v="0.4"/>
    <n v="0.5"/>
    <n v="2000"/>
    <n v="2"/>
    <n v="2"/>
    <x v="0"/>
    <n v="544762.19999999995"/>
    <n v="210074.1"/>
    <n v="334688.09999999998"/>
    <n v="1200"/>
    <n v="600.02"/>
    <n v="125997.5"/>
    <n v="194722.6"/>
    <n v="320720.09999999998"/>
    <n v="33051"/>
    <n v="14564.2"/>
    <n v="47615.199999999997"/>
    <n v="32.39"/>
    <n v="0.66"/>
    <n v="13971.4"/>
    <n v="47022.400000000001"/>
    <n v="600.67999999999995"/>
    <n v="1200"/>
    <n v="367742.5"/>
    <n v="32.49"/>
    <n v="4000"/>
  </r>
  <r>
    <s v="4000_0.4_0.5_2000_2.0_order_3"/>
    <x v="1"/>
    <n v="0.4"/>
    <n v="0.5"/>
    <n v="2000"/>
    <n v="2"/>
    <n v="3"/>
    <x v="0"/>
    <n v="530652.9"/>
    <n v="203092.4"/>
    <n v="327560.5"/>
    <n v="1200"/>
    <n v="600.01"/>
    <n v="123034.6"/>
    <n v="190802.1"/>
    <n v="313836.7"/>
    <n v="32764.1"/>
    <n v="14539.2"/>
    <n v="47303.3"/>
    <n v="31.94"/>
    <n v="0.77"/>
    <n v="13661.5"/>
    <n v="46425.599999999999"/>
    <n v="600.78"/>
    <n v="1200"/>
    <n v="360262.3"/>
    <n v="32.11"/>
    <n v="4000"/>
  </r>
  <r>
    <s v="4000_0.4_0.5_2000_2.0_order_4"/>
    <x v="1"/>
    <n v="0.4"/>
    <n v="0.5"/>
    <n v="2000"/>
    <n v="2"/>
    <n v="4"/>
    <x v="0"/>
    <n v="541149"/>
    <n v="207558.3"/>
    <n v="333590.7"/>
    <n v="1200"/>
    <n v="600.01"/>
    <n v="124229.4"/>
    <n v="192039.1"/>
    <n v="316268.5"/>
    <n v="32684.6"/>
    <n v="14491.5"/>
    <n v="47176.1"/>
    <n v="32.840000000000003"/>
    <n v="0.83"/>
    <n v="13766.7"/>
    <n v="46451.3"/>
    <n v="600.84"/>
    <n v="1200"/>
    <n v="362719.8"/>
    <n v="32.97"/>
    <n v="4000"/>
  </r>
  <r>
    <s v="4000_0.4_0.5_2000_2.0_order_5"/>
    <x v="1"/>
    <n v="0.4"/>
    <n v="0.5"/>
    <n v="2000"/>
    <n v="2"/>
    <n v="5"/>
    <x v="0"/>
    <n v="541488.4"/>
    <n v="211176"/>
    <n v="330312.40000000002"/>
    <n v="1200"/>
    <n v="600.04"/>
    <n v="127454.5"/>
    <n v="191733.1"/>
    <n v="319187.59999999998"/>
    <n v="32854.9"/>
    <n v="14660.2"/>
    <n v="47515.1"/>
    <n v="32.28"/>
    <n v="0.86"/>
    <n v="13791.8"/>
    <n v="46646.7"/>
    <n v="600.9"/>
    <n v="1200"/>
    <n v="365834.3"/>
    <n v="32.44"/>
    <n v="4000"/>
  </r>
  <r>
    <s v="4000_0.4_0.5_2000_3.0_order_1"/>
    <x v="1"/>
    <n v="0.4"/>
    <n v="0.5"/>
    <n v="2000"/>
    <n v="3"/>
    <n v="1"/>
    <x v="0"/>
    <n v="690900.6"/>
    <n v="273563.3"/>
    <n v="417337.3"/>
    <n v="1200"/>
    <n v="600.01"/>
    <n v="169811.6"/>
    <n v="251256.9"/>
    <n v="421068.5"/>
    <n v="31871.4"/>
    <n v="12742.7"/>
    <n v="44614.1"/>
    <n v="32.6"/>
    <n v="0.94"/>
    <n v="11783.8"/>
    <n v="43655.199999999997"/>
    <n v="600.95000000000005"/>
    <n v="1200"/>
    <n v="464723.7"/>
    <n v="32.74"/>
    <n v="4000"/>
  </r>
  <r>
    <s v="4000_0.4_0.5_2000_3.0_order_2"/>
    <x v="1"/>
    <n v="0.4"/>
    <n v="0.5"/>
    <n v="2000"/>
    <n v="3"/>
    <n v="2"/>
    <x v="0"/>
    <n v="683230.4"/>
    <n v="258189.2"/>
    <n v="425041.2"/>
    <n v="1200"/>
    <n v="600.09"/>
    <n v="157549.79999999999"/>
    <n v="252549.5"/>
    <n v="410099.3"/>
    <n v="32373.599999999999"/>
    <n v="13218"/>
    <n v="45591.6"/>
    <n v="33.299999999999997"/>
    <n v="0.83"/>
    <n v="12315.8"/>
    <n v="44689.4"/>
    <n v="600.91999999999996"/>
    <n v="1200"/>
    <n v="454788.7"/>
    <n v="33.44"/>
    <n v="4000"/>
  </r>
  <r>
    <s v="4000_0.4_0.5_2000_3.0_order_3"/>
    <x v="1"/>
    <n v="0.4"/>
    <n v="0.5"/>
    <n v="2000"/>
    <n v="3"/>
    <n v="3"/>
    <x v="0"/>
    <n v="685319.4"/>
    <n v="263709.59999999998"/>
    <n v="421609.8"/>
    <n v="1200"/>
    <n v="600.07000000000005"/>
    <n v="161305.4"/>
    <n v="250744.3"/>
    <n v="412049.7"/>
    <n v="32274.799999999999"/>
    <n v="13300.3"/>
    <n v="45575.1"/>
    <n v="33.22"/>
    <n v="0.92"/>
    <n v="12467.7"/>
    <n v="44742.5"/>
    <n v="600.99"/>
    <n v="1200"/>
    <n v="456792.2"/>
    <n v="33.35"/>
    <n v="4000"/>
  </r>
  <r>
    <s v="4000_0.4_0.5_2000_3.0_order_4"/>
    <x v="1"/>
    <n v="0.4"/>
    <n v="0.5"/>
    <n v="2000"/>
    <n v="3"/>
    <n v="4"/>
    <x v="0"/>
    <n v="705555.1"/>
    <n v="275391"/>
    <n v="430164.1"/>
    <n v="1200"/>
    <n v="600.05999999999995"/>
    <n v="168680.4"/>
    <n v="257218.8"/>
    <n v="425899.2"/>
    <n v="32308.1"/>
    <n v="13179.3"/>
    <n v="45487.4"/>
    <n v="33.19"/>
    <n v="0.79"/>
    <n v="12208.4"/>
    <n v="44516.5"/>
    <n v="600.85"/>
    <n v="1200"/>
    <n v="470415.7"/>
    <n v="33.33"/>
    <n v="4000"/>
  </r>
  <r>
    <s v="4000_0.4_0.5_2000_3.0_order_5"/>
    <x v="1"/>
    <n v="0.4"/>
    <n v="0.5"/>
    <n v="2000"/>
    <n v="3"/>
    <n v="5"/>
    <x v="0"/>
    <n v="690650.8"/>
    <n v="277328.40000000002"/>
    <n v="413322.4"/>
    <n v="1200"/>
    <n v="600.01"/>
    <n v="168905.5"/>
    <n v="245122.7"/>
    <n v="414028.2"/>
    <n v="32550.7"/>
    <n v="12833.9"/>
    <n v="45384.6"/>
    <n v="33.479999999999997"/>
    <n v="0.88"/>
    <n v="11834.2"/>
    <n v="44384.9"/>
    <n v="600.89"/>
    <n v="1200"/>
    <n v="458413.1"/>
    <n v="33.630000000000003"/>
    <n v="4000"/>
  </r>
  <r>
    <s v="4000_0.4_0.5_500_1.0_order_1"/>
    <x v="1"/>
    <n v="0.4"/>
    <n v="0.5"/>
    <n v="500"/>
    <n v="1"/>
    <n v="1"/>
    <x v="0"/>
    <n v="87661.1"/>
    <n v="35162.800000000003"/>
    <n v="52498.3"/>
    <n v="1200"/>
    <n v="600.01"/>
    <n v="15961.7"/>
    <n v="24346.400000000001"/>
    <n v="40308.1"/>
    <n v="29419.3"/>
    <n v="7664.5"/>
    <n v="37083.800000000003"/>
    <n v="11.71"/>
    <n v="0.38"/>
    <n v="7460.9"/>
    <n v="36880.199999999997"/>
    <n v="600.38"/>
    <n v="1200"/>
    <n v="77188.3"/>
    <n v="11.95"/>
    <n v="4000"/>
  </r>
  <r>
    <s v="4000_0.4_0.5_500_1.0_order_2"/>
    <x v="1"/>
    <n v="0.4"/>
    <n v="0.5"/>
    <n v="500"/>
    <n v="1"/>
    <n v="2"/>
    <x v="0"/>
    <n v="89703.4"/>
    <n v="36386.6"/>
    <n v="53316.800000000003"/>
    <n v="1200"/>
    <n v="600"/>
    <n v="16119.8"/>
    <n v="24369.3"/>
    <n v="40489.1"/>
    <n v="29545.599999999999"/>
    <n v="8087.8"/>
    <n v="37633.4"/>
    <n v="12.91"/>
    <n v="0.4"/>
    <n v="7735"/>
    <n v="37280.6"/>
    <n v="600.41"/>
    <n v="1199"/>
    <n v="77769.7"/>
    <n v="13.3"/>
    <n v="4000"/>
  </r>
  <r>
    <s v="4000_0.4_0.5_500_1.0_order_3"/>
    <x v="1"/>
    <n v="0.4"/>
    <n v="0.5"/>
    <n v="500"/>
    <n v="1"/>
    <n v="3"/>
    <x v="0"/>
    <n v="91355.9"/>
    <n v="35827.599999999999"/>
    <n v="55528.3"/>
    <n v="1200"/>
    <n v="600.01"/>
    <n v="16130.2"/>
    <n v="26139"/>
    <n v="42269.2"/>
    <n v="28965.4"/>
    <n v="8021.8"/>
    <n v="36987.199999999997"/>
    <n v="13.24"/>
    <n v="0.39"/>
    <n v="7641.5"/>
    <n v="36606.9"/>
    <n v="600.4"/>
    <n v="1199"/>
    <n v="78876.100000000006"/>
    <n v="13.66"/>
    <n v="4000"/>
  </r>
  <r>
    <s v="4000_0.4_0.5_500_1.0_order_4"/>
    <x v="1"/>
    <n v="0.4"/>
    <n v="0.5"/>
    <n v="500"/>
    <n v="1"/>
    <n v="4"/>
    <x v="0"/>
    <n v="87928.6"/>
    <n v="35207.4"/>
    <n v="52721.2"/>
    <n v="1200"/>
    <n v="600"/>
    <n v="15927.3"/>
    <n v="23749.7"/>
    <n v="39677"/>
    <n v="29052.6"/>
    <n v="7847.4"/>
    <n v="36900"/>
    <n v="12.91"/>
    <n v="0.35"/>
    <n v="7565.4"/>
    <n v="36618"/>
    <n v="600.36"/>
    <n v="1200"/>
    <n v="76295"/>
    <n v="13.23"/>
    <n v="4000"/>
  </r>
  <r>
    <s v="4000_0.4_0.5_500_1.0_order_5"/>
    <x v="1"/>
    <n v="0.4"/>
    <n v="0.5"/>
    <n v="500"/>
    <n v="1"/>
    <n v="5"/>
    <x v="0"/>
    <n v="88814"/>
    <n v="36737.1"/>
    <n v="52076.9"/>
    <n v="1200"/>
    <n v="600"/>
    <n v="16509.7"/>
    <n v="24118.3"/>
    <n v="40628"/>
    <n v="29037"/>
    <n v="8080.1"/>
    <n v="37117.1"/>
    <n v="12.46"/>
    <n v="0.35"/>
    <n v="7775.6"/>
    <n v="36812.6"/>
    <n v="600.36"/>
    <n v="1200"/>
    <n v="77440.600000000006"/>
    <n v="12.81"/>
    <n v="4000"/>
  </r>
  <r>
    <s v="4000_0.4_0.5_500_2.0_order_1"/>
    <x v="1"/>
    <n v="0.4"/>
    <n v="0.5"/>
    <n v="500"/>
    <n v="2"/>
    <n v="1"/>
    <x v="0"/>
    <n v="137052.1"/>
    <n v="54121"/>
    <n v="82931.100000000006"/>
    <n v="1200"/>
    <n v="600"/>
    <n v="27472.400000000001"/>
    <n v="40798.6"/>
    <n v="68271"/>
    <n v="29544.2"/>
    <n v="8995.4"/>
    <n v="38539.599999999999"/>
    <n v="22.07"/>
    <n v="0.6"/>
    <n v="8338.7000000000007"/>
    <n v="37882.9"/>
    <n v="600.6"/>
    <n v="1200"/>
    <n v="106153.9"/>
    <n v="22.54"/>
    <n v="4000"/>
  </r>
  <r>
    <s v="4000_0.4_0.5_500_2.0_order_2"/>
    <x v="1"/>
    <n v="0.4"/>
    <n v="0.5"/>
    <n v="500"/>
    <n v="2"/>
    <n v="2"/>
    <x v="0"/>
    <n v="137294.79999999999"/>
    <n v="54229.3"/>
    <n v="83065.5"/>
    <n v="1200"/>
    <n v="600.02"/>
    <n v="27310.799999999999"/>
    <n v="39969"/>
    <n v="67279.8"/>
    <n v="29378.1"/>
    <n v="8595.7000000000007"/>
    <n v="37973.800000000003"/>
    <n v="23.34"/>
    <n v="0.56999999999999995"/>
    <n v="8025.3"/>
    <n v="37403.4"/>
    <n v="600.59"/>
    <n v="1200"/>
    <n v="104683.2"/>
    <n v="23.75"/>
    <n v="4000"/>
  </r>
  <r>
    <s v="4000_0.4_0.5_500_2.0_order_3"/>
    <x v="1"/>
    <n v="0.4"/>
    <n v="0.5"/>
    <n v="500"/>
    <n v="2"/>
    <n v="3"/>
    <x v="0"/>
    <n v="135124.1"/>
    <n v="51690.400000000001"/>
    <n v="83433.7"/>
    <n v="1200"/>
    <n v="600"/>
    <n v="25686.2"/>
    <n v="40092.199999999997"/>
    <n v="65778.399999999994"/>
    <n v="29332.9"/>
    <n v="8811.7000000000007"/>
    <n v="38144.6"/>
    <n v="23.09"/>
    <n v="0.54"/>
    <n v="8167.8"/>
    <n v="37500.699999999997"/>
    <n v="600.54"/>
    <n v="1200"/>
    <n v="103279.1"/>
    <n v="23.57"/>
    <n v="4000"/>
  </r>
  <r>
    <s v="4000_0.4_0.5_500_2.0_order_4"/>
    <x v="1"/>
    <n v="0.4"/>
    <n v="0.5"/>
    <n v="500"/>
    <n v="2"/>
    <n v="4"/>
    <x v="0"/>
    <n v="135231.9"/>
    <n v="54366.2"/>
    <n v="80865.7"/>
    <n v="1200"/>
    <n v="600.02"/>
    <n v="27052.5"/>
    <n v="40339.1"/>
    <n v="67391.600000000006"/>
    <n v="29598.9"/>
    <n v="9227.7000000000007"/>
    <n v="38826.6"/>
    <n v="21.45"/>
    <n v="0.6"/>
    <n v="8599.1"/>
    <n v="38198"/>
    <n v="600.61"/>
    <n v="1200"/>
    <n v="105589.6"/>
    <n v="21.92"/>
    <n v="4000"/>
  </r>
  <r>
    <s v="4000_0.4_0.5_500_2.0_order_5"/>
    <x v="1"/>
    <n v="0.4"/>
    <n v="0.5"/>
    <n v="500"/>
    <n v="2"/>
    <n v="5"/>
    <x v="0"/>
    <n v="136797.6"/>
    <n v="54167"/>
    <n v="82630.600000000006"/>
    <n v="1200"/>
    <n v="600.01"/>
    <n v="27238.7"/>
    <n v="39710.1"/>
    <n v="66948.800000000003"/>
    <n v="30221.8"/>
    <n v="9298.9"/>
    <n v="39520.699999999997"/>
    <n v="22.17"/>
    <n v="0.42"/>
    <n v="8797.2000000000007"/>
    <n v="39019"/>
    <n v="600.42999999999995"/>
    <n v="1200"/>
    <n v="105967.8"/>
    <n v="22.54"/>
    <n v="4000"/>
  </r>
  <r>
    <s v="4000_0.4_0.5_500_3.0_order_1"/>
    <x v="1"/>
    <n v="0.4"/>
    <n v="0.5"/>
    <n v="500"/>
    <n v="3"/>
    <n v="1"/>
    <x v="0"/>
    <n v="171391.1"/>
    <n v="67717.2"/>
    <n v="103673.9"/>
    <n v="1200"/>
    <n v="600.01"/>
    <n v="34824.1"/>
    <n v="52381"/>
    <n v="87205.1"/>
    <n v="29879.5"/>
    <n v="9378"/>
    <n v="39257.5"/>
    <n v="26.21"/>
    <n v="0.67"/>
    <n v="8548"/>
    <n v="38427.5"/>
    <n v="600.67999999999995"/>
    <n v="1200"/>
    <n v="125632.6"/>
    <n v="26.7"/>
    <n v="4000"/>
  </r>
  <r>
    <s v="4000_0.4_0.5_500_3.0_order_2"/>
    <x v="1"/>
    <n v="0.4"/>
    <n v="0.5"/>
    <n v="500"/>
    <n v="3"/>
    <n v="2"/>
    <x v="0"/>
    <n v="182732.3"/>
    <n v="70909.8"/>
    <n v="111822.5"/>
    <n v="1200"/>
    <n v="600"/>
    <n v="37821.599999999999"/>
    <n v="57202.2"/>
    <n v="95023.8"/>
    <n v="30368.400000000001"/>
    <n v="9611.1"/>
    <n v="39979.5"/>
    <n v="26.12"/>
    <n v="0.57999999999999996"/>
    <n v="8747.1"/>
    <n v="39115.5"/>
    <n v="600.58000000000004"/>
    <n v="1200"/>
    <n v="134139.29999999999"/>
    <n v="26.59"/>
    <n v="4000"/>
  </r>
  <r>
    <s v="4000_0.4_0.5_500_3.0_order_3"/>
    <x v="1"/>
    <n v="0.4"/>
    <n v="0.5"/>
    <n v="500"/>
    <n v="3"/>
    <n v="3"/>
    <x v="0"/>
    <n v="170968.9"/>
    <n v="66311"/>
    <n v="104657.9"/>
    <n v="1200"/>
    <n v="600.01"/>
    <n v="35002.300000000003"/>
    <n v="53103.199999999997"/>
    <n v="88105.5"/>
    <n v="29599.599999999999"/>
    <n v="9175.2000000000007"/>
    <n v="38774.800000000003"/>
    <n v="25.79"/>
    <n v="0.65"/>
    <n v="8483.9"/>
    <n v="38083.5"/>
    <n v="600.66999999999996"/>
    <n v="1200"/>
    <n v="126189"/>
    <n v="26.19"/>
    <n v="4000"/>
  </r>
  <r>
    <s v="4000_0.4_0.5_500_3.0_order_4"/>
    <x v="1"/>
    <n v="0.4"/>
    <n v="0.5"/>
    <n v="500"/>
    <n v="3"/>
    <n v="4"/>
    <x v="0"/>
    <n v="176088"/>
    <n v="67017.2"/>
    <n v="109070.8"/>
    <n v="1200"/>
    <n v="600"/>
    <n v="34558.300000000003"/>
    <n v="56328.4"/>
    <n v="90886.7"/>
    <n v="30066.1"/>
    <n v="9635.2999999999993"/>
    <n v="39701.4"/>
    <n v="25.84"/>
    <n v="0.8"/>
    <n v="8673.1"/>
    <n v="38739.199999999997"/>
    <n v="600.79999999999995"/>
    <n v="1200"/>
    <n v="129625.9"/>
    <n v="26.39"/>
    <n v="4000"/>
  </r>
  <r>
    <s v="4000_0.4_0.5_500_3.0_order_5"/>
    <x v="1"/>
    <n v="0.4"/>
    <n v="0.5"/>
    <n v="500"/>
    <n v="3"/>
    <n v="5"/>
    <x v="0"/>
    <n v="180565.1"/>
    <n v="70104.7"/>
    <n v="110460.4"/>
    <n v="1200"/>
    <n v="600.01"/>
    <n v="36330.9"/>
    <n v="55270.9"/>
    <n v="91601.8"/>
    <n v="31153.8"/>
    <n v="10158.299999999999"/>
    <n v="41312.1"/>
    <n v="26.39"/>
    <n v="0.76"/>
    <n v="9372.6"/>
    <n v="40526.400000000001"/>
    <n v="600.77"/>
    <n v="1200"/>
    <n v="132128.20000000001"/>
    <n v="26.83"/>
    <n v="4000"/>
  </r>
  <r>
    <s v="800_0.2_0.5_1000_1.0_order_1"/>
    <x v="2"/>
    <n v="0.2"/>
    <n v="0.5"/>
    <n v="1000"/>
    <n v="1"/>
    <n v="1"/>
    <x v="0"/>
    <n v="87087.3"/>
    <n v="36452.6"/>
    <n v="50634.7"/>
    <n v="240"/>
    <n v="600"/>
    <n v="26115.9"/>
    <n v="37831.5"/>
    <n v="63947.4"/>
    <n v="3533.6"/>
    <n v="1008.8"/>
    <n v="4542.3999999999996"/>
    <n v="21.36"/>
    <n v="0.02"/>
    <n v="977.1"/>
    <n v="4510.7"/>
    <n v="600.02"/>
    <n v="240"/>
    <n v="68458.100000000006"/>
    <n v="21.39"/>
    <n v="800"/>
  </r>
  <r>
    <s v="800_0.2_0.5_1000_1.0_order_2"/>
    <x v="2"/>
    <n v="0.2"/>
    <n v="0.5"/>
    <n v="1000"/>
    <n v="1"/>
    <n v="2"/>
    <x v="0"/>
    <n v="85252.3"/>
    <n v="35206.400000000001"/>
    <n v="50045.9"/>
    <n v="240"/>
    <n v="600"/>
    <n v="25903.5"/>
    <n v="37856.9"/>
    <n v="63760.4"/>
    <n v="3624.5"/>
    <n v="879.8"/>
    <n v="4504.3"/>
    <n v="19.93"/>
    <n v="0.01"/>
    <n v="872.9"/>
    <n v="4497.3999999999996"/>
    <n v="600.01"/>
    <n v="240"/>
    <n v="68257.8"/>
    <n v="19.93"/>
    <n v="800"/>
  </r>
  <r>
    <s v="800_0.2_0.5_1000_1.0_order_3"/>
    <x v="2"/>
    <n v="0.2"/>
    <n v="0.5"/>
    <n v="1000"/>
    <n v="1"/>
    <n v="3"/>
    <x v="0"/>
    <n v="83157.600000000006"/>
    <n v="33716.1"/>
    <n v="49441.5"/>
    <n v="240"/>
    <n v="600"/>
    <n v="24869.8"/>
    <n v="37313.699999999997"/>
    <n v="62183.5"/>
    <n v="3461"/>
    <n v="840.6"/>
    <n v="4301.6000000000004"/>
    <n v="20.05"/>
    <n v="0.01"/>
    <n v="832.3"/>
    <n v="4293.3"/>
    <n v="600.01"/>
    <n v="240"/>
    <n v="66476.800000000003"/>
    <n v="20.059999999999999"/>
    <n v="800"/>
  </r>
  <r>
    <s v="800_0.2_0.5_1000_1.0_order_4"/>
    <x v="2"/>
    <n v="0.2"/>
    <n v="0.5"/>
    <n v="1000"/>
    <n v="1"/>
    <n v="4"/>
    <x v="0"/>
    <n v="84371.6"/>
    <n v="35098.199999999997"/>
    <n v="49273.4"/>
    <n v="240"/>
    <n v="600"/>
    <n v="26342.5"/>
    <n v="36980.699999999997"/>
    <n v="63323.199999999997"/>
    <n v="3400.7"/>
    <n v="916.8"/>
    <n v="4317.5"/>
    <n v="19.829999999999998"/>
    <n v="0.01"/>
    <n v="910"/>
    <n v="4310.7"/>
    <n v="600.01"/>
    <n v="240"/>
    <n v="67633.899999999994"/>
    <n v="19.84"/>
    <n v="800"/>
  </r>
  <r>
    <s v="800_0.2_0.5_1000_1.0_order_5"/>
    <x v="2"/>
    <n v="0.2"/>
    <n v="0.5"/>
    <n v="1000"/>
    <n v="1"/>
    <n v="5"/>
    <x v="0"/>
    <n v="86498.4"/>
    <n v="34835"/>
    <n v="51663.4"/>
    <n v="240"/>
    <n v="600"/>
    <n v="25486.5"/>
    <n v="38470.800000000003"/>
    <n v="63957.3"/>
    <n v="3459.7"/>
    <n v="919.6"/>
    <n v="4379.3"/>
    <n v="21"/>
    <n v="0.01"/>
    <n v="905.9"/>
    <n v="4365.6000000000004"/>
    <n v="600.01"/>
    <n v="240"/>
    <n v="68322.899999999994"/>
    <n v="21.01"/>
    <n v="800"/>
  </r>
  <r>
    <s v="800_0.2_0.5_1000_2.0_order_1"/>
    <x v="2"/>
    <n v="0.2"/>
    <n v="0.5"/>
    <n v="1000"/>
    <n v="2"/>
    <n v="1"/>
    <x v="0"/>
    <n v="124979.2"/>
    <n v="52678.5"/>
    <n v="72300.7"/>
    <n v="240"/>
    <n v="600.01"/>
    <n v="39718.9"/>
    <n v="54328.800000000003"/>
    <n v="94047.7"/>
    <n v="3506.1"/>
    <n v="861.5"/>
    <n v="4367.6000000000004"/>
    <n v="21.25"/>
    <n v="0.02"/>
    <n v="818.8"/>
    <n v="4324.8999999999996"/>
    <n v="600.02"/>
    <n v="240"/>
    <n v="98372.6"/>
    <n v="21.29"/>
    <n v="800"/>
  </r>
  <r>
    <s v="800_0.2_0.5_1000_2.0_order_2"/>
    <x v="2"/>
    <n v="0.2"/>
    <n v="0.5"/>
    <n v="1000"/>
    <n v="2"/>
    <n v="2"/>
    <x v="0"/>
    <n v="123878"/>
    <n v="49806.9"/>
    <n v="74071.100000000006"/>
    <n v="240"/>
    <n v="600"/>
    <n v="37830.6"/>
    <n v="56074.1"/>
    <n v="93904.7"/>
    <n v="3437.9"/>
    <n v="844.8"/>
    <n v="4282.7"/>
    <n v="20.74"/>
    <n v="0.01"/>
    <n v="828.2"/>
    <n v="4266.1000000000004"/>
    <n v="600.02"/>
    <n v="240"/>
    <n v="98170.8"/>
    <n v="20.75"/>
    <n v="800"/>
  </r>
  <r>
    <s v="800_0.2_0.5_1000_2.0_order_3"/>
    <x v="2"/>
    <n v="0.2"/>
    <n v="0.5"/>
    <n v="1000"/>
    <n v="2"/>
    <n v="3"/>
    <x v="0"/>
    <n v="122027.6"/>
    <n v="48486.3"/>
    <n v="73541.3"/>
    <n v="240"/>
    <n v="600.01"/>
    <n v="37122.5"/>
    <n v="55506.400000000001"/>
    <n v="92628.9"/>
    <n v="3354.4"/>
    <n v="922.3"/>
    <n v="4276.7"/>
    <n v="20.59"/>
    <n v="0.02"/>
    <n v="886.6"/>
    <n v="4241"/>
    <n v="600.02"/>
    <n v="240"/>
    <n v="96869.9"/>
    <n v="20.62"/>
    <n v="800"/>
  </r>
  <r>
    <s v="800_0.2_0.5_1000_2.0_order_4"/>
    <x v="2"/>
    <n v="0.2"/>
    <n v="0.5"/>
    <n v="1000"/>
    <n v="2"/>
    <n v="4"/>
    <x v="0"/>
    <n v="125666.4"/>
    <n v="50755.1"/>
    <n v="74911.3"/>
    <n v="240"/>
    <n v="600.01"/>
    <n v="38296.800000000003"/>
    <n v="56629.3"/>
    <n v="94926.1"/>
    <n v="3399.4"/>
    <n v="936.4"/>
    <n v="4335.8"/>
    <n v="21.01"/>
    <n v="0.02"/>
    <n v="910.2"/>
    <n v="4309.6000000000004"/>
    <n v="600.03"/>
    <n v="240"/>
    <n v="99235.7"/>
    <n v="21.03"/>
    <n v="800"/>
  </r>
  <r>
    <s v="800_0.2_0.5_1000_2.0_order_5"/>
    <x v="2"/>
    <n v="0.2"/>
    <n v="0.5"/>
    <n v="1000"/>
    <n v="2"/>
    <n v="5"/>
    <x v="0"/>
    <n v="123503.4"/>
    <n v="49154.400000000001"/>
    <n v="74349"/>
    <n v="240"/>
    <n v="600.01"/>
    <n v="38383.800000000003"/>
    <n v="56813.9"/>
    <n v="95197.7"/>
    <n v="3508.4"/>
    <n v="849.9"/>
    <n v="4358.3"/>
    <n v="19.39"/>
    <n v="0.02"/>
    <n v="816.7"/>
    <n v="4325.1000000000004"/>
    <n v="600.03"/>
    <n v="240"/>
    <n v="99522.8"/>
    <n v="19.420000000000002"/>
    <n v="800"/>
  </r>
  <r>
    <s v="800_0.2_0.5_1000_3.0_order_1"/>
    <x v="2"/>
    <n v="0.2"/>
    <n v="0.5"/>
    <n v="1000"/>
    <n v="3"/>
    <n v="1"/>
    <x v="0"/>
    <n v="148479.1"/>
    <n v="59976.5"/>
    <n v="88502.6"/>
    <n v="240"/>
    <n v="600.01"/>
    <n v="46912.7"/>
    <n v="69155.100000000006"/>
    <n v="116067.8"/>
    <n v="3242.8"/>
    <n v="800.5"/>
    <n v="4043.3"/>
    <n v="19.11"/>
    <n v="0.02"/>
    <n v="757.8"/>
    <n v="4000.6"/>
    <n v="600.02"/>
    <n v="240"/>
    <n v="120068.4"/>
    <n v="19.13"/>
    <n v="800"/>
  </r>
  <r>
    <s v="800_0.2_0.5_1000_3.0_order_2"/>
    <x v="2"/>
    <n v="0.2"/>
    <n v="0.5"/>
    <n v="1000"/>
    <n v="3"/>
    <n v="2"/>
    <x v="0"/>
    <n v="154768.20000000001"/>
    <n v="63488.1"/>
    <n v="91280.1"/>
    <n v="240"/>
    <n v="600.01"/>
    <n v="48589.3"/>
    <n v="68583.399999999994"/>
    <n v="117172.7"/>
    <n v="3551.6"/>
    <n v="1011.7"/>
    <n v="4563.3"/>
    <n v="21.34"/>
    <n v="0.02"/>
    <n v="988.8"/>
    <n v="4540.3999999999996"/>
    <n v="600.03"/>
    <n v="240"/>
    <n v="121713.1"/>
    <n v="21.36"/>
    <n v="800"/>
  </r>
  <r>
    <s v="800_0.2_0.5_1000_3.0_order_3"/>
    <x v="2"/>
    <n v="0.2"/>
    <n v="0.5"/>
    <n v="1000"/>
    <n v="3"/>
    <n v="3"/>
    <x v="0"/>
    <n v="154773.79999999999"/>
    <n v="62475.5"/>
    <n v="92298.3"/>
    <n v="240"/>
    <n v="600"/>
    <n v="47219.9"/>
    <n v="69533.8"/>
    <n v="116753.7"/>
    <n v="3496.1"/>
    <n v="962.4"/>
    <n v="4458.5"/>
    <n v="21.68"/>
    <n v="0.02"/>
    <n v="936.1"/>
    <n v="4432.2"/>
    <n v="600.02"/>
    <n v="240"/>
    <n v="121185.9"/>
    <n v="21.7"/>
    <n v="800"/>
  </r>
  <r>
    <s v="800_0.2_0.5_1000_3.0_order_4"/>
    <x v="2"/>
    <n v="0.2"/>
    <n v="0.5"/>
    <n v="1000"/>
    <n v="3"/>
    <n v="4"/>
    <x v="0"/>
    <n v="156995.70000000001"/>
    <n v="65727.199999999997"/>
    <n v="91268.5"/>
    <n v="240"/>
    <n v="600.01"/>
    <n v="49066.9"/>
    <n v="68150.7"/>
    <n v="117217.60000000001"/>
    <n v="3441"/>
    <n v="918.6"/>
    <n v="4359.6000000000004"/>
    <n v="22.56"/>
    <n v="0.02"/>
    <n v="872.7"/>
    <n v="4313.7"/>
    <n v="600.02"/>
    <n v="240"/>
    <n v="121531.3"/>
    <n v="22.59"/>
    <n v="800"/>
  </r>
  <r>
    <s v="800_0.2_0.5_1000_3.0_order_5"/>
    <x v="2"/>
    <n v="0.2"/>
    <n v="0.5"/>
    <n v="1000"/>
    <n v="3"/>
    <n v="5"/>
    <x v="0"/>
    <n v="153496.9"/>
    <n v="61169.2"/>
    <n v="92327.7"/>
    <n v="240"/>
    <n v="600.01"/>
    <n v="46445.3"/>
    <n v="70354.600000000006"/>
    <n v="116799.9"/>
    <n v="3424.7"/>
    <n v="1008"/>
    <n v="4432.7"/>
    <n v="21.02"/>
    <n v="0.01"/>
    <n v="988.7"/>
    <n v="4413.3999999999996"/>
    <n v="600.02"/>
    <n v="240"/>
    <n v="121213.3"/>
    <n v="21.03"/>
    <n v="800"/>
  </r>
  <r>
    <s v="800_0.2_0.5_2000_1.0_order_1"/>
    <x v="2"/>
    <n v="0.2"/>
    <n v="0.5"/>
    <n v="2000"/>
    <n v="1"/>
    <n v="1"/>
    <x v="0"/>
    <n v="170586.4"/>
    <n v="68832.399999999994"/>
    <n v="101754"/>
    <n v="240"/>
    <n v="600.01"/>
    <n v="53396.7"/>
    <n v="79416"/>
    <n v="132812.70000000001"/>
    <n v="3360.4"/>
    <n v="988.1"/>
    <n v="4348.5"/>
    <n v="19.59"/>
    <n v="0.02"/>
    <n v="949.6"/>
    <n v="4310"/>
    <n v="600.02"/>
    <n v="240"/>
    <n v="137122.70000000001"/>
    <n v="19.62"/>
    <n v="800"/>
  </r>
  <r>
    <s v="800_0.2_0.5_2000_1.0_order_2"/>
    <x v="2"/>
    <n v="0.2"/>
    <n v="0.5"/>
    <n v="2000"/>
    <n v="1"/>
    <n v="2"/>
    <x v="0"/>
    <n v="165460"/>
    <n v="69625.7"/>
    <n v="95834.3"/>
    <n v="240"/>
    <n v="600.01"/>
    <n v="54898.8"/>
    <n v="75848.2"/>
    <n v="130747"/>
    <n v="3409.9"/>
    <n v="907.1"/>
    <n v="4317"/>
    <n v="18.37"/>
    <n v="0.02"/>
    <n v="897.5"/>
    <n v="4307.3999999999996"/>
    <n v="600.02"/>
    <n v="240"/>
    <n v="135054.39999999999"/>
    <n v="18.38"/>
    <n v="800"/>
  </r>
  <r>
    <s v="800_0.2_0.5_2000_1.0_order_3"/>
    <x v="2"/>
    <n v="0.2"/>
    <n v="0.5"/>
    <n v="2000"/>
    <n v="1"/>
    <n v="3"/>
    <x v="0"/>
    <n v="168221.5"/>
    <n v="70384.5"/>
    <n v="97837"/>
    <n v="240"/>
    <n v="600"/>
    <n v="53482.3"/>
    <n v="75107.7"/>
    <n v="128590"/>
    <n v="3579.3"/>
    <n v="986.2"/>
    <n v="4565.5"/>
    <n v="20.85"/>
    <n v="0.01"/>
    <n v="952.3"/>
    <n v="4531.6000000000004"/>
    <n v="600.01"/>
    <n v="240"/>
    <n v="133121.60000000001"/>
    <n v="20.87"/>
    <n v="800"/>
  </r>
  <r>
    <s v="800_0.2_0.5_2000_1.0_order_4"/>
    <x v="2"/>
    <n v="0.2"/>
    <n v="0.5"/>
    <n v="2000"/>
    <n v="1"/>
    <n v="4"/>
    <x v="0"/>
    <n v="168917.2"/>
    <n v="69517.8"/>
    <n v="99399.4"/>
    <n v="240"/>
    <n v="600"/>
    <n v="52432.3"/>
    <n v="77092"/>
    <n v="129524.3"/>
    <n v="3422.4"/>
    <n v="1063.9000000000001"/>
    <n v="4486.3"/>
    <n v="20.66"/>
    <n v="0.02"/>
    <n v="1043.4000000000001"/>
    <n v="4465.8"/>
    <n v="600.02"/>
    <n v="240"/>
    <n v="133990.1"/>
    <n v="20.68"/>
    <n v="800"/>
  </r>
  <r>
    <s v="800_0.2_0.5_2000_1.0_order_5"/>
    <x v="2"/>
    <n v="0.2"/>
    <n v="0.5"/>
    <n v="2000"/>
    <n v="1"/>
    <n v="5"/>
    <x v="0"/>
    <n v="168479.3"/>
    <n v="68009.100000000006"/>
    <n v="100470.2"/>
    <n v="240"/>
    <n v="600.01"/>
    <n v="51760.1"/>
    <n v="75403.399999999994"/>
    <n v="127163.5"/>
    <n v="3553.1"/>
    <n v="1046.3"/>
    <n v="4599.3999999999996"/>
    <n v="21.79"/>
    <n v="0.01"/>
    <n v="1024.0999999999999"/>
    <n v="4577.2"/>
    <n v="600.02"/>
    <n v="240"/>
    <n v="131740.70000000001"/>
    <n v="21.81"/>
    <n v="800"/>
  </r>
  <r>
    <s v="800_0.2_0.5_2000_2.0_order_1"/>
    <x v="2"/>
    <n v="0.2"/>
    <n v="0.5"/>
    <n v="2000"/>
    <n v="2"/>
    <n v="1"/>
    <x v="0"/>
    <n v="245290.8"/>
    <n v="101416.6"/>
    <n v="143874.20000000001"/>
    <n v="240"/>
    <n v="600.01"/>
    <n v="77697.5"/>
    <n v="111167.7"/>
    <n v="188865.2"/>
    <n v="3345.3"/>
    <n v="995.7"/>
    <n v="4341"/>
    <n v="21.23"/>
    <n v="0.02"/>
    <n v="965.8"/>
    <n v="4311.1000000000004"/>
    <n v="600.03"/>
    <n v="240"/>
    <n v="193176.3"/>
    <n v="21.25"/>
    <n v="800"/>
  </r>
  <r>
    <s v="800_0.2_0.5_2000_2.0_order_2"/>
    <x v="2"/>
    <n v="0.2"/>
    <n v="0.5"/>
    <n v="2000"/>
    <n v="2"/>
    <n v="2"/>
    <x v="0"/>
    <n v="244984.3"/>
    <n v="99494.9"/>
    <n v="145489.4"/>
    <n v="240"/>
    <n v="600.02"/>
    <n v="78508.800000000003"/>
    <n v="112301.1"/>
    <n v="190809.9"/>
    <n v="3420.9"/>
    <n v="942.3"/>
    <n v="4363.2"/>
    <n v="20.329999999999998"/>
    <n v="0.02"/>
    <n v="928.4"/>
    <n v="4349.3"/>
    <n v="600.04"/>
    <n v="240"/>
    <n v="195159.2"/>
    <n v="20.34"/>
    <n v="800"/>
  </r>
  <r>
    <s v="800_0.2_0.5_2000_2.0_order_3"/>
    <x v="2"/>
    <n v="0.2"/>
    <n v="0.5"/>
    <n v="2000"/>
    <n v="2"/>
    <n v="3"/>
    <x v="0"/>
    <n v="246364.79999999999"/>
    <n v="99776.2"/>
    <n v="146588.6"/>
    <n v="240"/>
    <n v="600"/>
    <n v="78558.399999999994"/>
    <n v="112454.5"/>
    <n v="191012.9"/>
    <n v="3440.6"/>
    <n v="1033.5"/>
    <n v="4474.1000000000004"/>
    <n v="20.65"/>
    <n v="0.02"/>
    <n v="1009.9"/>
    <n v="4450.5"/>
    <n v="600.02"/>
    <n v="240"/>
    <n v="195463.4"/>
    <n v="20.66"/>
    <n v="800"/>
  </r>
  <r>
    <s v="800_0.2_0.5_2000_2.0_order_4"/>
    <x v="2"/>
    <n v="0.2"/>
    <n v="0.5"/>
    <n v="2000"/>
    <n v="2"/>
    <n v="4"/>
    <x v="0"/>
    <n v="242464.7"/>
    <n v="99473.1"/>
    <n v="142991.6"/>
    <n v="240"/>
    <n v="600.01"/>
    <n v="79040.3"/>
    <n v="112000.8"/>
    <n v="191041.1"/>
    <n v="3411.3"/>
    <n v="960"/>
    <n v="4371.3"/>
    <n v="19.41"/>
    <n v="0.02"/>
    <n v="939.2"/>
    <n v="4350.5"/>
    <n v="600.03"/>
    <n v="240"/>
    <n v="195391.6"/>
    <n v="19.41"/>
    <n v="800"/>
  </r>
  <r>
    <s v="800_0.2_0.5_2000_2.0_order_5"/>
    <x v="2"/>
    <n v="0.2"/>
    <n v="0.5"/>
    <n v="2000"/>
    <n v="2"/>
    <n v="5"/>
    <x v="0"/>
    <n v="247997.4"/>
    <n v="101583.4"/>
    <n v="146414"/>
    <n v="240"/>
    <n v="600.02"/>
    <n v="77827"/>
    <n v="113151"/>
    <n v="190978"/>
    <n v="3440"/>
    <n v="1049.0999999999999"/>
    <n v="4489.1000000000004"/>
    <n v="21.18"/>
    <n v="0.03"/>
    <n v="1035.3"/>
    <n v="4475.3"/>
    <n v="600.04999999999995"/>
    <n v="240"/>
    <n v="195453.3"/>
    <n v="21.19"/>
    <n v="800"/>
  </r>
  <r>
    <s v="800_0.2_0.5_2000_3.0_order_1"/>
    <x v="2"/>
    <n v="0.2"/>
    <n v="0.5"/>
    <n v="2000"/>
    <n v="3"/>
    <n v="1"/>
    <x v="0"/>
    <n v="299881.40000000002"/>
    <n v="120588.9"/>
    <n v="179292.5"/>
    <n v="240"/>
    <n v="600"/>
    <n v="94864.2"/>
    <n v="139868.4"/>
    <n v="234732.6"/>
    <n v="3474.3"/>
    <n v="922.6"/>
    <n v="4396.8999999999996"/>
    <n v="20.260000000000002"/>
    <n v="0.02"/>
    <n v="888.1"/>
    <n v="4362.3999999999996"/>
    <n v="600.02"/>
    <n v="240"/>
    <n v="239095"/>
    <n v="20.27"/>
    <n v="800"/>
  </r>
  <r>
    <s v="800_0.2_0.5_2000_3.0_order_2"/>
    <x v="2"/>
    <n v="0.2"/>
    <n v="0.5"/>
    <n v="2000"/>
    <n v="3"/>
    <n v="2"/>
    <x v="0"/>
    <n v="313359.5"/>
    <n v="131053.2"/>
    <n v="182306.3"/>
    <n v="240"/>
    <n v="600.01"/>
    <n v="102408.3"/>
    <n v="140630.79999999999"/>
    <n v="243039.1"/>
    <n v="3509.7"/>
    <n v="1113"/>
    <n v="4622.7"/>
    <n v="20.97"/>
    <n v="0.02"/>
    <n v="1088.2"/>
    <n v="4597.8999999999996"/>
    <n v="600.03"/>
    <n v="240"/>
    <n v="247637"/>
    <n v="20.97"/>
    <n v="800"/>
  </r>
  <r>
    <s v="800_0.2_0.5_2000_3.0_order_3"/>
    <x v="2"/>
    <n v="0.2"/>
    <n v="0.5"/>
    <n v="2000"/>
    <n v="3"/>
    <n v="3"/>
    <x v="0"/>
    <n v="312901.7"/>
    <n v="123616.3"/>
    <n v="189285.4"/>
    <n v="240"/>
    <n v="600"/>
    <n v="95477.1"/>
    <n v="145776.1"/>
    <n v="241253.2"/>
    <n v="3440.4"/>
    <n v="1086.0999999999999"/>
    <n v="4526.5"/>
    <n v="21.45"/>
    <n v="0.02"/>
    <n v="1076.3"/>
    <n v="4516.7"/>
    <n v="600.03"/>
    <n v="240"/>
    <n v="245769.9"/>
    <n v="21.45"/>
    <n v="800"/>
  </r>
  <r>
    <s v="800_0.2_0.5_2000_3.0_order_4"/>
    <x v="2"/>
    <n v="0.2"/>
    <n v="0.5"/>
    <n v="2000"/>
    <n v="3"/>
    <n v="4"/>
    <x v="0"/>
    <n v="315103.40000000002"/>
    <n v="126781"/>
    <n v="188322.4"/>
    <n v="240"/>
    <n v="600.03"/>
    <n v="98697.7"/>
    <n v="143180.5"/>
    <n v="241878.2"/>
    <n v="3523.8"/>
    <n v="1031.8"/>
    <n v="4555.6000000000004"/>
    <n v="21.79"/>
    <n v="0.02"/>
    <n v="1016.5"/>
    <n v="4540.3"/>
    <n v="600.04999999999995"/>
    <n v="240"/>
    <n v="246418.5"/>
    <n v="21.8"/>
    <n v="800"/>
  </r>
  <r>
    <s v="800_0.2_0.5_2000_3.0_order_5"/>
    <x v="2"/>
    <n v="0.2"/>
    <n v="0.5"/>
    <n v="2000"/>
    <n v="3"/>
    <n v="5"/>
    <x v="0"/>
    <n v="306717"/>
    <n v="125797.8"/>
    <n v="180919.2"/>
    <n v="240"/>
    <n v="600.01"/>
    <n v="97070.6"/>
    <n v="139094"/>
    <n v="236164.6"/>
    <n v="3417.7"/>
    <n v="864.9"/>
    <n v="4282.6000000000004"/>
    <n v="21.61"/>
    <n v="0.02"/>
    <n v="827.3"/>
    <n v="4245"/>
    <n v="600.02"/>
    <n v="240"/>
    <n v="240409.60000000001"/>
    <n v="21.62"/>
    <n v="800"/>
  </r>
  <r>
    <s v="800_0.2_0.5_500_1.0_order_1"/>
    <x v="2"/>
    <n v="0.2"/>
    <n v="0.5"/>
    <n v="500"/>
    <n v="1"/>
    <n v="1"/>
    <x v="0"/>
    <n v="42456"/>
    <n v="17710.900000000001"/>
    <n v="24745.1"/>
    <n v="240"/>
    <n v="600"/>
    <n v="12988.5"/>
    <n v="17549.2"/>
    <n v="30537.7"/>
    <n v="3486.2"/>
    <n v="792.4"/>
    <n v="4278.6000000000004"/>
    <n v="17.989999999999998"/>
    <n v="0.01"/>
    <n v="772.3"/>
    <n v="4258.5"/>
    <n v="600.01"/>
    <n v="240"/>
    <n v="34796.199999999997"/>
    <n v="18.04"/>
    <n v="800"/>
  </r>
  <r>
    <s v="800_0.2_0.5_500_1.0_order_2"/>
    <x v="2"/>
    <n v="0.2"/>
    <n v="0.5"/>
    <n v="500"/>
    <n v="1"/>
    <n v="2"/>
    <x v="0"/>
    <n v="39729.800000000003"/>
    <n v="15669.4"/>
    <n v="24060.400000000001"/>
    <n v="240"/>
    <n v="600"/>
    <n v="11216.4"/>
    <n v="17143.7"/>
    <n v="28360.1"/>
    <n v="3464.6"/>
    <n v="785.3"/>
    <n v="4249.8999999999996"/>
    <n v="17.920000000000002"/>
    <n v="0.01"/>
    <n v="783.9"/>
    <n v="4248.5"/>
    <n v="600.01"/>
    <n v="240"/>
    <n v="32608.6"/>
    <n v="17.920000000000002"/>
    <n v="800"/>
  </r>
  <r>
    <s v="800_0.2_0.5_500_1.0_order_3"/>
    <x v="2"/>
    <n v="0.2"/>
    <n v="0.5"/>
    <n v="500"/>
    <n v="1"/>
    <n v="3"/>
    <x v="0"/>
    <n v="41512.699999999997"/>
    <n v="16714"/>
    <n v="24798.7"/>
    <n v="240"/>
    <n v="600"/>
    <n v="12087.6"/>
    <n v="17709.099999999999"/>
    <n v="29796.7"/>
    <n v="3411.5"/>
    <n v="802.9"/>
    <n v="4214.3999999999996"/>
    <n v="18.07"/>
    <n v="0.01"/>
    <n v="782.1"/>
    <n v="4193.6000000000004"/>
    <n v="600.01"/>
    <n v="240"/>
    <n v="33990.300000000003"/>
    <n v="18.12"/>
    <n v="800"/>
  </r>
  <r>
    <s v="800_0.2_0.5_500_1.0_order_4"/>
    <x v="2"/>
    <n v="0.2"/>
    <n v="0.5"/>
    <n v="500"/>
    <n v="1"/>
    <n v="4"/>
    <x v="0"/>
    <n v="44381.599999999999"/>
    <n v="18877.900000000001"/>
    <n v="25503.7"/>
    <n v="240"/>
    <n v="600"/>
    <n v="13617.5"/>
    <n v="18863.5"/>
    <n v="32481"/>
    <n v="3431.9"/>
    <n v="827.6"/>
    <n v="4259.5"/>
    <n v="17.22"/>
    <n v="0.01"/>
    <n v="804"/>
    <n v="4235.8999999999996"/>
    <n v="600.02"/>
    <n v="240"/>
    <n v="36716.9"/>
    <n v="17.27"/>
    <n v="800"/>
  </r>
  <r>
    <s v="800_0.2_0.5_500_1.0_order_5"/>
    <x v="2"/>
    <n v="0.2"/>
    <n v="0.5"/>
    <n v="500"/>
    <n v="1"/>
    <n v="5"/>
    <x v="0"/>
    <n v="42373.3"/>
    <n v="16880"/>
    <n v="25493.3"/>
    <n v="240"/>
    <n v="600"/>
    <n v="12049.7"/>
    <n v="18108.2"/>
    <n v="30157.9"/>
    <n v="3354.6"/>
    <n v="775.6"/>
    <n v="4130.2"/>
    <n v="19.079999999999998"/>
    <n v="0.01"/>
    <n v="770.1"/>
    <n v="4124.7"/>
    <n v="600.02"/>
    <n v="240"/>
    <n v="34282.6"/>
    <n v="19.09"/>
    <n v="800"/>
  </r>
  <r>
    <s v="800_0.2_0.5_500_2.0_order_1"/>
    <x v="2"/>
    <n v="0.2"/>
    <n v="0.5"/>
    <n v="500"/>
    <n v="2"/>
    <n v="1"/>
    <x v="0"/>
    <n v="58760.1"/>
    <n v="23869.599999999999"/>
    <n v="34890.5"/>
    <n v="240"/>
    <n v="600"/>
    <n v="17666"/>
    <n v="25402.6"/>
    <n v="43068.6"/>
    <n v="3487.9"/>
    <n v="940"/>
    <n v="4427.8999999999996"/>
    <n v="19.170000000000002"/>
    <n v="0.02"/>
    <n v="905.2"/>
    <n v="4393.1000000000004"/>
    <n v="600.02"/>
    <n v="240"/>
    <n v="47461.7"/>
    <n v="19.23"/>
    <n v="800"/>
  </r>
  <r>
    <s v="800_0.2_0.5_500_2.0_order_2"/>
    <x v="2"/>
    <n v="0.2"/>
    <n v="0.5"/>
    <n v="500"/>
    <n v="2"/>
    <n v="2"/>
    <x v="0"/>
    <n v="61570.7"/>
    <n v="26005.7"/>
    <n v="35565"/>
    <n v="240"/>
    <n v="600"/>
    <n v="18795"/>
    <n v="26001.4"/>
    <n v="44796.4"/>
    <n v="3359.5"/>
    <n v="930.3"/>
    <n v="4289.8"/>
    <n v="20.28"/>
    <n v="0.02"/>
    <n v="877.6"/>
    <n v="4237.1000000000004"/>
    <n v="600.02"/>
    <n v="240"/>
    <n v="49033.5"/>
    <n v="20.36"/>
    <n v="800"/>
  </r>
  <r>
    <s v="800_0.2_0.5_500_2.0_order_3"/>
    <x v="2"/>
    <n v="0.2"/>
    <n v="0.5"/>
    <n v="500"/>
    <n v="2"/>
    <n v="3"/>
    <x v="0"/>
    <n v="63072.5"/>
    <n v="23232.1"/>
    <n v="39840.400000000001"/>
    <n v="240"/>
    <n v="600"/>
    <n v="17244.599999999999"/>
    <n v="29683.599999999999"/>
    <n v="46928.2"/>
    <n v="3523.4"/>
    <n v="967.4"/>
    <n v="4490.8"/>
    <n v="18.48"/>
    <n v="0.02"/>
    <n v="960.5"/>
    <n v="4483.8999999999996"/>
    <n v="600.02"/>
    <n v="240"/>
    <n v="51412.1"/>
    <n v="18.489999999999998"/>
    <n v="800"/>
  </r>
  <r>
    <s v="800_0.2_0.5_500_2.0_order_4"/>
    <x v="2"/>
    <n v="0.2"/>
    <n v="0.5"/>
    <n v="500"/>
    <n v="2"/>
    <n v="4"/>
    <x v="0"/>
    <n v="62339.8"/>
    <n v="25439"/>
    <n v="36900.800000000003"/>
    <n v="240"/>
    <n v="600"/>
    <n v="18736.3"/>
    <n v="27341.4"/>
    <n v="46077.7"/>
    <n v="3486.9"/>
    <n v="911"/>
    <n v="4397.8999999999996"/>
    <n v="19.03"/>
    <n v="0.02"/>
    <n v="876.7"/>
    <n v="4363.6000000000004"/>
    <n v="600.02"/>
    <n v="240"/>
    <n v="50441.3"/>
    <n v="19.09"/>
    <n v="800"/>
  </r>
  <r>
    <s v="800_0.2_0.5_500_2.0_order_5"/>
    <x v="2"/>
    <n v="0.2"/>
    <n v="0.5"/>
    <n v="500"/>
    <n v="2"/>
    <n v="5"/>
    <x v="0"/>
    <n v="64404.800000000003"/>
    <n v="25541.1"/>
    <n v="38863.699999999997"/>
    <n v="240"/>
    <n v="600"/>
    <n v="18646"/>
    <n v="28579.4"/>
    <n v="47225.4"/>
    <n v="3388.9"/>
    <n v="833.2"/>
    <n v="4222.1000000000004"/>
    <n v="20.12"/>
    <n v="0.02"/>
    <n v="816.7"/>
    <n v="4205.6000000000004"/>
    <n v="600.02"/>
    <n v="240"/>
    <n v="51431"/>
    <n v="20.14"/>
    <n v="800"/>
  </r>
  <r>
    <s v="800_0.2_0.5_500_3.0_order_1"/>
    <x v="2"/>
    <n v="0.2"/>
    <n v="0.5"/>
    <n v="500"/>
    <n v="3"/>
    <n v="1"/>
    <x v="0"/>
    <n v="79313.899999999994"/>
    <n v="31214.7"/>
    <n v="48099.199999999997"/>
    <n v="240"/>
    <n v="600"/>
    <n v="23468.799999999999"/>
    <n v="35560.300000000003"/>
    <n v="59029.1"/>
    <n v="3524.4"/>
    <n v="1019"/>
    <n v="4543.3999999999996"/>
    <n v="19.850000000000001"/>
    <n v="0.02"/>
    <n v="979.3"/>
    <n v="4503.7"/>
    <n v="600.02"/>
    <n v="240"/>
    <n v="63532.800000000003"/>
    <n v="19.899999999999999"/>
    <n v="800"/>
  </r>
  <r>
    <s v="800_0.2_0.5_500_3.0_order_2"/>
    <x v="2"/>
    <n v="0.2"/>
    <n v="0.5"/>
    <n v="500"/>
    <n v="3"/>
    <n v="2"/>
    <x v="0"/>
    <n v="79561.8"/>
    <n v="30927.7"/>
    <n v="48634.1"/>
    <n v="240"/>
    <n v="600"/>
    <n v="22977.5"/>
    <n v="36778.400000000001"/>
    <n v="59755.9"/>
    <n v="3317.7"/>
    <n v="826.1"/>
    <n v="4143.8"/>
    <n v="19.690000000000001"/>
    <n v="0.02"/>
    <n v="788.4"/>
    <n v="4106.1000000000004"/>
    <n v="600.02"/>
    <n v="240"/>
    <n v="63862"/>
    <n v="19.73"/>
    <n v="800"/>
  </r>
  <r>
    <s v="800_0.2_0.5_500_3.0_order_3"/>
    <x v="2"/>
    <n v="0.2"/>
    <n v="0.5"/>
    <n v="500"/>
    <n v="3"/>
    <n v="3"/>
    <x v="0"/>
    <n v="73403.7"/>
    <n v="31356.799999999999"/>
    <n v="42046.9"/>
    <n v="240"/>
    <n v="600"/>
    <n v="22562.3"/>
    <n v="30622.799999999999"/>
    <n v="53185.1"/>
    <n v="3351.8"/>
    <n v="872.2"/>
    <n v="4224"/>
    <n v="21.79"/>
    <n v="0.02"/>
    <n v="849.9"/>
    <n v="4201.7"/>
    <n v="600.02"/>
    <n v="240"/>
    <n v="57386.8"/>
    <n v="21.82"/>
    <n v="800"/>
  </r>
  <r>
    <s v="800_0.2_0.5_500_3.0_order_4"/>
    <x v="2"/>
    <n v="0.2"/>
    <n v="0.5"/>
    <n v="500"/>
    <n v="3"/>
    <n v="4"/>
    <x v="0"/>
    <n v="79997"/>
    <n v="32625.7"/>
    <n v="47371.3"/>
    <n v="240"/>
    <n v="600.01"/>
    <n v="23845.4"/>
    <n v="34254.9"/>
    <n v="58100.3"/>
    <n v="3321.1"/>
    <n v="872.7"/>
    <n v="4193.8"/>
    <n v="22.13"/>
    <n v="0.02"/>
    <n v="811.3"/>
    <n v="4132.3999999999996"/>
    <n v="600.02"/>
    <n v="240"/>
    <n v="62232.7"/>
    <n v="22.21"/>
    <n v="800"/>
  </r>
  <r>
    <s v="800_0.2_0.5_500_3.0_order_5"/>
    <x v="2"/>
    <n v="0.2"/>
    <n v="0.5"/>
    <n v="500"/>
    <n v="3"/>
    <n v="5"/>
    <x v="0"/>
    <n v="79466.7"/>
    <n v="34632.300000000003"/>
    <n v="44834.400000000001"/>
    <n v="240"/>
    <n v="600.01"/>
    <n v="25427"/>
    <n v="33415.199999999997"/>
    <n v="58842.2"/>
    <n v="3512.1"/>
    <n v="872.4"/>
    <n v="4384.5"/>
    <n v="20.440000000000001"/>
    <n v="0.02"/>
    <n v="836"/>
    <n v="4348.1000000000004"/>
    <n v="600.03"/>
    <n v="240"/>
    <n v="63190.3"/>
    <n v="20.48"/>
    <n v="800"/>
  </r>
  <r>
    <s v="800_0.3_0.5_1000_1.0_order_1"/>
    <x v="2"/>
    <n v="0.3"/>
    <n v="0.5"/>
    <n v="1000"/>
    <n v="1"/>
    <n v="1"/>
    <x v="0"/>
    <n v="84653.3"/>
    <n v="35326.1"/>
    <n v="49327.199999999997"/>
    <n v="240"/>
    <n v="600"/>
    <n v="24538.5"/>
    <n v="35087.1"/>
    <n v="59625.599999999999"/>
    <n v="3597.5"/>
    <n v="1234.5"/>
    <n v="4832"/>
    <n v="23.86"/>
    <n v="0.03"/>
    <n v="1222.2"/>
    <n v="4819.7"/>
    <n v="600.03"/>
    <n v="240"/>
    <n v="64445.3"/>
    <n v="23.87"/>
    <n v="800"/>
  </r>
  <r>
    <s v="800_0.3_0.5_1000_1.0_order_2"/>
    <x v="2"/>
    <n v="0.3"/>
    <n v="0.5"/>
    <n v="1000"/>
    <n v="1"/>
    <n v="2"/>
    <x v="0"/>
    <n v="82666.2"/>
    <n v="34357"/>
    <n v="48309.2"/>
    <n v="240"/>
    <n v="600"/>
    <n v="23943.7"/>
    <n v="34543.1"/>
    <n v="58486.8"/>
    <n v="3341.1"/>
    <n v="1281.8"/>
    <n v="4622.8999999999996"/>
    <n v="23.66"/>
    <n v="0.03"/>
    <n v="1243.8"/>
    <n v="4584.8999999999996"/>
    <n v="600.03"/>
    <n v="240"/>
    <n v="63071.7"/>
    <n v="23.7"/>
    <n v="800"/>
  </r>
  <r>
    <s v="800_0.3_0.5_1000_1.0_order_3"/>
    <x v="2"/>
    <n v="0.3"/>
    <n v="0.5"/>
    <n v="1000"/>
    <n v="1"/>
    <n v="3"/>
    <x v="0"/>
    <n v="85677.4"/>
    <n v="34507"/>
    <n v="51170.400000000001"/>
    <n v="240"/>
    <n v="600.01"/>
    <n v="23943.9"/>
    <n v="35908.1"/>
    <n v="59852"/>
    <n v="3473.6"/>
    <n v="1168.7"/>
    <n v="4642.3"/>
    <n v="24.72"/>
    <n v="0.03"/>
    <n v="1138.2"/>
    <n v="4611.8"/>
    <n v="600.04"/>
    <n v="240"/>
    <n v="64463.8"/>
    <n v="24.76"/>
    <n v="800"/>
  </r>
  <r>
    <s v="800_0.3_0.5_1000_1.0_order_4"/>
    <x v="2"/>
    <n v="0.3"/>
    <n v="0.5"/>
    <n v="1000"/>
    <n v="1"/>
    <n v="4"/>
    <x v="0"/>
    <n v="83697.600000000006"/>
    <n v="35227.4"/>
    <n v="48470.2"/>
    <n v="240"/>
    <n v="600"/>
    <n v="24702.6"/>
    <n v="35025.9"/>
    <n v="59728.5"/>
    <n v="3601.9"/>
    <n v="1419"/>
    <n v="5020.8999999999996"/>
    <n v="22.64"/>
    <n v="0.04"/>
    <n v="1406.8"/>
    <n v="5008.7"/>
    <n v="600.04"/>
    <n v="240"/>
    <n v="64737.2"/>
    <n v="22.65"/>
    <n v="800"/>
  </r>
  <r>
    <s v="800_0.3_0.5_1000_1.0_order_5"/>
    <x v="2"/>
    <n v="0.3"/>
    <n v="0.5"/>
    <n v="1000"/>
    <n v="1"/>
    <n v="5"/>
    <x v="0"/>
    <n v="84517.4"/>
    <n v="33762.1"/>
    <n v="50755.3"/>
    <n v="240"/>
    <n v="600.01"/>
    <n v="23951.8"/>
    <n v="36353.1"/>
    <n v="60304.9"/>
    <n v="3502.2"/>
    <n v="1361.4"/>
    <n v="4863.6000000000004"/>
    <n v="22.89"/>
    <n v="0.03"/>
    <n v="1345"/>
    <n v="4847.2"/>
    <n v="600.04"/>
    <n v="240"/>
    <n v="65152.1"/>
    <n v="22.91"/>
    <n v="800"/>
  </r>
  <r>
    <s v="800_0.3_0.5_1000_2.0_order_1"/>
    <x v="2"/>
    <n v="0.3"/>
    <n v="0.5"/>
    <n v="1000"/>
    <n v="2"/>
    <n v="1"/>
    <x v="0"/>
    <n v="123870.9"/>
    <n v="51589.4"/>
    <n v="72281.5"/>
    <n v="240"/>
    <n v="600.01"/>
    <n v="36017.300000000003"/>
    <n v="51352.800000000003"/>
    <n v="87370.1"/>
    <n v="3267.8"/>
    <n v="1217.0999999999999"/>
    <n v="4484.8999999999996"/>
    <n v="25.85"/>
    <n v="0.05"/>
    <n v="1186.8"/>
    <n v="4454.6000000000004"/>
    <n v="600.05999999999995"/>
    <n v="240"/>
    <n v="91824.7"/>
    <n v="25.87"/>
    <n v="800"/>
  </r>
  <r>
    <s v="800_0.3_0.5_1000_2.0_order_2"/>
    <x v="2"/>
    <n v="0.3"/>
    <n v="0.5"/>
    <n v="1000"/>
    <n v="2"/>
    <n v="2"/>
    <x v="0"/>
    <n v="123697.2"/>
    <n v="50663.4"/>
    <n v="73033.8"/>
    <n v="240"/>
    <n v="600.01"/>
    <n v="36715.699999999997"/>
    <n v="52320.3"/>
    <n v="89036"/>
    <n v="3342.6"/>
    <n v="1050.4000000000001"/>
    <n v="4393"/>
    <n v="24.47"/>
    <n v="0.04"/>
    <n v="988.8"/>
    <n v="4331.3999999999996"/>
    <n v="600.04"/>
    <n v="240"/>
    <n v="93367.4"/>
    <n v="24.52"/>
    <n v="800"/>
  </r>
  <r>
    <s v="800_0.3_0.5_1000_2.0_order_3"/>
    <x v="2"/>
    <n v="0.3"/>
    <n v="0.5"/>
    <n v="1000"/>
    <n v="2"/>
    <n v="3"/>
    <x v="0"/>
    <n v="126029.9"/>
    <n v="50118.3"/>
    <n v="75911.600000000006"/>
    <n v="240"/>
    <n v="600"/>
    <n v="36507.199999999997"/>
    <n v="54269.8"/>
    <n v="90777"/>
    <n v="3399.8"/>
    <n v="1211.5999999999999"/>
    <n v="4611.3999999999996"/>
    <n v="24.31"/>
    <n v="0.05"/>
    <n v="1193.9000000000001"/>
    <n v="4593.7"/>
    <n v="600.04999999999995"/>
    <n v="240"/>
    <n v="95370.7"/>
    <n v="24.33"/>
    <n v="800"/>
  </r>
  <r>
    <s v="800_0.3_0.5_1000_2.0_order_4"/>
    <x v="2"/>
    <n v="0.3"/>
    <n v="0.5"/>
    <n v="1000"/>
    <n v="2"/>
    <n v="4"/>
    <x v="0"/>
    <n v="124838.2"/>
    <n v="49077.599999999999"/>
    <n v="75760.600000000006"/>
    <n v="240"/>
    <n v="600.02"/>
    <n v="34478.400000000001"/>
    <n v="54170.3"/>
    <n v="88648.7"/>
    <n v="3426.1"/>
    <n v="1230.7"/>
    <n v="4656.8"/>
    <n v="25.26"/>
    <n v="0.03"/>
    <n v="1209.8"/>
    <n v="4635.8999999999996"/>
    <n v="600.04999999999995"/>
    <n v="240"/>
    <n v="93284.6"/>
    <n v="25.28"/>
    <n v="800"/>
  </r>
  <r>
    <s v="800_0.3_0.5_1000_2.0_order_5"/>
    <x v="2"/>
    <n v="0.3"/>
    <n v="0.5"/>
    <n v="1000"/>
    <n v="2"/>
    <n v="5"/>
    <x v="0"/>
    <n v="130583.5"/>
    <n v="53589.9"/>
    <n v="76993.600000000006"/>
    <n v="240"/>
    <n v="600"/>
    <n v="37919"/>
    <n v="54150"/>
    <n v="92069"/>
    <n v="3442.9"/>
    <n v="1220.0999999999999"/>
    <n v="4663"/>
    <n v="25.92"/>
    <n v="0.05"/>
    <n v="1174.9000000000001"/>
    <n v="4617.8"/>
    <n v="600.04999999999995"/>
    <n v="240"/>
    <n v="96686.8"/>
    <n v="25.96"/>
    <n v="800"/>
  </r>
  <r>
    <s v="800_0.3_0.5_1000_3.0_order_1"/>
    <x v="2"/>
    <n v="0.3"/>
    <n v="0.5"/>
    <n v="1000"/>
    <n v="3"/>
    <n v="1"/>
    <x v="0"/>
    <n v="165838"/>
    <n v="67188.399999999994"/>
    <n v="98649.600000000006"/>
    <n v="240"/>
    <n v="600.01"/>
    <n v="50322.2"/>
    <n v="70558.7"/>
    <n v="120880.9"/>
    <n v="3410.9"/>
    <n v="1306.4000000000001"/>
    <n v="4717.3"/>
    <n v="24.26"/>
    <n v="0.06"/>
    <n v="1293.9000000000001"/>
    <n v="4704.8"/>
    <n v="600.07000000000005"/>
    <n v="240"/>
    <n v="125585.7"/>
    <n v="24.27"/>
    <n v="800"/>
  </r>
  <r>
    <s v="800_0.3_0.5_1000_3.0_order_2"/>
    <x v="2"/>
    <n v="0.3"/>
    <n v="0.5"/>
    <n v="1000"/>
    <n v="3"/>
    <n v="2"/>
    <x v="0"/>
    <n v="157725.29999999999"/>
    <n v="62671.7"/>
    <n v="95053.6"/>
    <n v="240"/>
    <n v="600.01"/>
    <n v="45295.1"/>
    <n v="69366.399999999994"/>
    <n v="114661.5"/>
    <n v="3440.7"/>
    <n v="1182.5999999999999"/>
    <n v="4623.3"/>
    <n v="24.37"/>
    <n v="0.03"/>
    <n v="1174.3"/>
    <n v="4615"/>
    <n v="600.04"/>
    <n v="240"/>
    <n v="119276.5"/>
    <n v="24.38"/>
    <n v="800"/>
  </r>
  <r>
    <s v="800_0.3_0.5_1000_3.0_order_3"/>
    <x v="2"/>
    <n v="0.3"/>
    <n v="0.5"/>
    <n v="1000"/>
    <n v="3"/>
    <n v="3"/>
    <x v="0"/>
    <n v="158113.60000000001"/>
    <n v="62217.4"/>
    <n v="95896.2"/>
    <n v="240"/>
    <n v="600.01"/>
    <n v="44489.5"/>
    <n v="67740.600000000006"/>
    <n v="112230.1"/>
    <n v="3274.9"/>
    <n v="1140"/>
    <n v="4414.8999999999996"/>
    <n v="26.23"/>
    <n v="0.02"/>
    <n v="1127.7"/>
    <n v="4402.6000000000004"/>
    <n v="600.04"/>
    <n v="240"/>
    <n v="116632.7"/>
    <n v="26.23"/>
    <n v="800"/>
  </r>
  <r>
    <s v="800_0.3_0.5_1000_3.0_order_4"/>
    <x v="2"/>
    <n v="0.3"/>
    <n v="0.5"/>
    <n v="1000"/>
    <n v="3"/>
    <n v="4"/>
    <x v="0"/>
    <n v="152442.79999999999"/>
    <n v="62484.3"/>
    <n v="89958.5"/>
    <n v="240"/>
    <n v="600.01"/>
    <n v="45193.3"/>
    <n v="64466.400000000001"/>
    <n v="109659.7"/>
    <n v="3425.5"/>
    <n v="1182.8"/>
    <n v="4608.3"/>
    <n v="25.04"/>
    <n v="0.03"/>
    <n v="1147.4000000000001"/>
    <n v="4572.8999999999996"/>
    <n v="600.04999999999995"/>
    <n v="240"/>
    <n v="114232.6"/>
    <n v="25.07"/>
    <n v="800"/>
  </r>
  <r>
    <s v="800_0.3_0.5_1000_3.0_order_5"/>
    <x v="2"/>
    <n v="0.3"/>
    <n v="0.5"/>
    <n v="1000"/>
    <n v="3"/>
    <n v="5"/>
    <x v="0"/>
    <n v="155852.5"/>
    <n v="62377.7"/>
    <n v="93474.8"/>
    <n v="240"/>
    <n v="600"/>
    <n v="45473.1"/>
    <n v="65543.399999999994"/>
    <n v="111016.5"/>
    <n v="3415.8"/>
    <n v="1208.2"/>
    <n v="4624"/>
    <n v="25.8"/>
    <n v="0.03"/>
    <n v="1179.2"/>
    <n v="4595"/>
    <n v="600.03"/>
    <n v="240"/>
    <n v="115611.5"/>
    <n v="25.82"/>
    <n v="800"/>
  </r>
  <r>
    <s v="800_0.3_0.5_2000_1.0_order_1"/>
    <x v="2"/>
    <n v="0.3"/>
    <n v="0.5"/>
    <n v="2000"/>
    <n v="1"/>
    <n v="1"/>
    <x v="0"/>
    <n v="171006.7"/>
    <n v="71207.600000000006"/>
    <n v="99799.1"/>
    <n v="240"/>
    <n v="600"/>
    <n v="50954.5"/>
    <n v="71788.5"/>
    <n v="122743"/>
    <n v="3481.4"/>
    <n v="1403.6"/>
    <n v="4885"/>
    <n v="25.37"/>
    <n v="0.03"/>
    <n v="1371.6"/>
    <n v="4853"/>
    <n v="600.03"/>
    <n v="240"/>
    <n v="127596"/>
    <n v="25.39"/>
    <n v="800"/>
  </r>
  <r>
    <s v="800_0.3_0.5_2000_1.0_order_2"/>
    <x v="2"/>
    <n v="0.3"/>
    <n v="0.5"/>
    <n v="2000"/>
    <n v="1"/>
    <n v="2"/>
    <x v="0"/>
    <n v="172500.6"/>
    <n v="71637.7"/>
    <n v="100862.9"/>
    <n v="240"/>
    <n v="600.01"/>
    <n v="51359.9"/>
    <n v="74507.899999999994"/>
    <n v="125867.8"/>
    <n v="3557.2"/>
    <n v="1290.4000000000001"/>
    <n v="4847.6000000000004"/>
    <n v="24.22"/>
    <n v="0.05"/>
    <n v="1282.3"/>
    <n v="4839.5"/>
    <n v="600.05999999999995"/>
    <n v="240"/>
    <n v="130707.3"/>
    <n v="24.23"/>
    <n v="800"/>
  </r>
  <r>
    <s v="800_0.3_0.5_2000_1.0_order_3"/>
    <x v="2"/>
    <n v="0.3"/>
    <n v="0.5"/>
    <n v="2000"/>
    <n v="1"/>
    <n v="3"/>
    <x v="0"/>
    <n v="168558.4"/>
    <n v="67244.600000000006"/>
    <n v="101313.8"/>
    <n v="240"/>
    <n v="600.01"/>
    <n v="49091.9"/>
    <n v="74448.800000000003"/>
    <n v="123540.7"/>
    <n v="3664.1"/>
    <n v="1393.3"/>
    <n v="5057.3999999999996"/>
    <n v="23.71"/>
    <n v="0.04"/>
    <n v="1378.2"/>
    <n v="5042.3"/>
    <n v="600.04999999999995"/>
    <n v="240"/>
    <n v="128583"/>
    <n v="23.72"/>
    <n v="800"/>
  </r>
  <r>
    <s v="800_0.3_0.5_2000_1.0_order_4"/>
    <x v="2"/>
    <n v="0.3"/>
    <n v="0.5"/>
    <n v="2000"/>
    <n v="1"/>
    <n v="4"/>
    <x v="0"/>
    <n v="176111.9"/>
    <n v="72025.8"/>
    <n v="104086.1"/>
    <n v="240"/>
    <n v="600"/>
    <n v="52197.599999999999"/>
    <n v="74469"/>
    <n v="126666.6"/>
    <n v="3494.9"/>
    <n v="1321.6"/>
    <n v="4816.5"/>
    <n v="25.34"/>
    <n v="0.04"/>
    <n v="1304.2"/>
    <n v="4799.1000000000004"/>
    <n v="600.04"/>
    <n v="240"/>
    <n v="131465.70000000001"/>
    <n v="25.35"/>
    <n v="800"/>
  </r>
  <r>
    <s v="800_0.3_0.5_2000_1.0_order_5"/>
    <x v="2"/>
    <n v="0.3"/>
    <n v="0.5"/>
    <n v="2000"/>
    <n v="1"/>
    <n v="5"/>
    <x v="0"/>
    <n v="169328.4"/>
    <n v="68708.100000000006"/>
    <n v="100620.3"/>
    <n v="240"/>
    <n v="600.01"/>
    <n v="49950.9"/>
    <n v="73947.100000000006"/>
    <n v="123898"/>
    <n v="3492.8"/>
    <n v="1419.1"/>
    <n v="4911.8999999999996"/>
    <n v="23.93"/>
    <n v="0.05"/>
    <n v="1399.9"/>
    <n v="4892.7"/>
    <n v="600.04999999999995"/>
    <n v="240"/>
    <n v="128790.7"/>
    <n v="23.94"/>
    <n v="800"/>
  </r>
  <r>
    <s v="800_0.3_0.5_2000_2.0_order_1"/>
    <x v="2"/>
    <n v="0.3"/>
    <n v="0.5"/>
    <n v="2000"/>
    <n v="2"/>
    <n v="1"/>
    <x v="0"/>
    <n v="248948.8"/>
    <n v="101892.4"/>
    <n v="147056.4"/>
    <n v="240"/>
    <n v="600.01"/>
    <n v="73930.7"/>
    <n v="105619.8"/>
    <n v="179550.5"/>
    <n v="3419.8"/>
    <n v="1288.8"/>
    <n v="4708.6000000000004"/>
    <n v="25.99"/>
    <n v="0.04"/>
    <n v="1272.3"/>
    <n v="4692.1000000000004"/>
    <n v="600.04999999999995"/>
    <n v="240"/>
    <n v="184242.6"/>
    <n v="25.99"/>
    <n v="800"/>
  </r>
  <r>
    <s v="800_0.3_0.5_2000_2.0_order_2"/>
    <x v="2"/>
    <n v="0.3"/>
    <n v="0.5"/>
    <n v="2000"/>
    <n v="2"/>
    <n v="2"/>
    <x v="0"/>
    <n v="251798.1"/>
    <n v="99478.3"/>
    <n v="152319.79999999999"/>
    <n v="240"/>
    <n v="600.01"/>
    <n v="73174.600000000006"/>
    <n v="110195.2"/>
    <n v="183369.8"/>
    <n v="3491.3"/>
    <n v="1401.6"/>
    <n v="4892.8999999999996"/>
    <n v="25.23"/>
    <n v="0.04"/>
    <n v="1383.5"/>
    <n v="4874.8"/>
    <n v="600.04999999999995"/>
    <n v="240"/>
    <n v="188244.6"/>
    <n v="25.24"/>
    <n v="800"/>
  </r>
  <r>
    <s v="800_0.3_0.5_2000_2.0_order_3"/>
    <x v="2"/>
    <n v="0.3"/>
    <n v="0.5"/>
    <n v="2000"/>
    <n v="2"/>
    <n v="3"/>
    <x v="0"/>
    <n v="256798.8"/>
    <n v="104496.9"/>
    <n v="152301.9"/>
    <n v="240"/>
    <n v="600.01"/>
    <n v="75245.3"/>
    <n v="108780"/>
    <n v="184025.3"/>
    <n v="3429.4"/>
    <n v="1087.5999999999999"/>
    <n v="4517"/>
    <n v="26.58"/>
    <n v="0.05"/>
    <n v="1062"/>
    <n v="4491.3999999999996"/>
    <n v="600.04999999999995"/>
    <n v="240"/>
    <n v="188516.7"/>
    <n v="26.59"/>
    <n v="800"/>
  </r>
  <r>
    <s v="800_0.3_0.5_2000_2.0_order_4"/>
    <x v="2"/>
    <n v="0.3"/>
    <n v="0.5"/>
    <n v="2000"/>
    <n v="2"/>
    <n v="4"/>
    <x v="0"/>
    <n v="253933.9"/>
    <n v="102202.1"/>
    <n v="151731.79999999999"/>
    <n v="240"/>
    <n v="600.01"/>
    <n v="75140.100000000006"/>
    <n v="109748.6"/>
    <n v="184888.7"/>
    <n v="3418.7"/>
    <n v="1157.5"/>
    <n v="4576.2"/>
    <n v="25.39"/>
    <n v="0.04"/>
    <n v="1125.9000000000001"/>
    <n v="4544.6000000000004"/>
    <n v="600.04999999999995"/>
    <n v="240"/>
    <n v="189433.3"/>
    <n v="25.4"/>
    <n v="800"/>
  </r>
  <r>
    <s v="800_0.3_0.5_2000_2.0_order_5"/>
    <x v="2"/>
    <n v="0.3"/>
    <n v="0.5"/>
    <n v="2000"/>
    <n v="2"/>
    <n v="5"/>
    <x v="0"/>
    <n v="249086.1"/>
    <n v="101164.3"/>
    <n v="147921.79999999999"/>
    <n v="240"/>
    <n v="600.01"/>
    <n v="73509.7"/>
    <n v="106735.7"/>
    <n v="180245.4"/>
    <n v="3305.8"/>
    <n v="1135"/>
    <n v="4440.8"/>
    <n v="25.85"/>
    <n v="0.04"/>
    <n v="1124.0999999999999"/>
    <n v="4429.8999999999996"/>
    <n v="600.04"/>
    <n v="240"/>
    <n v="184675.3"/>
    <n v="25.86"/>
    <n v="800"/>
  </r>
  <r>
    <s v="800_0.3_0.5_2000_3.0_order_1"/>
    <x v="2"/>
    <n v="0.3"/>
    <n v="0.5"/>
    <n v="2000"/>
    <n v="3"/>
    <n v="1"/>
    <x v="0"/>
    <n v="310754.59999999998"/>
    <n v="128361.4"/>
    <n v="182393.2"/>
    <n v="240"/>
    <n v="600.02"/>
    <n v="95177.600000000006"/>
    <n v="132880.4"/>
    <n v="228058"/>
    <n v="3512.2"/>
    <n v="1323.1"/>
    <n v="4835.3"/>
    <n v="25.06"/>
    <n v="0.04"/>
    <n v="1298"/>
    <n v="4810.2"/>
    <n v="600.05999999999995"/>
    <n v="240"/>
    <n v="232868.2"/>
    <n v="25.06"/>
    <n v="800"/>
  </r>
  <r>
    <s v="800_0.3_0.5_2000_3.0_order_2"/>
    <x v="2"/>
    <n v="0.3"/>
    <n v="0.5"/>
    <n v="2000"/>
    <n v="3"/>
    <n v="2"/>
    <x v="0"/>
    <n v="313880.8"/>
    <n v="128693.3"/>
    <n v="185187.5"/>
    <n v="240"/>
    <n v="600"/>
    <n v="96925.8"/>
    <n v="135458.29999999999"/>
    <n v="232384.1"/>
    <n v="3418.1"/>
    <n v="1461.4"/>
    <n v="4879.5"/>
    <n v="24.41"/>
    <n v="0.04"/>
    <n v="1426.8"/>
    <n v="4844.8999999999996"/>
    <n v="600.04"/>
    <n v="240"/>
    <n v="237229"/>
    <n v="24.42"/>
    <n v="800"/>
  </r>
  <r>
    <s v="800_0.3_0.5_2000_3.0_order_3"/>
    <x v="2"/>
    <n v="0.3"/>
    <n v="0.5"/>
    <n v="2000"/>
    <n v="3"/>
    <n v="3"/>
    <x v="0"/>
    <n v="309386.8"/>
    <n v="122023.6"/>
    <n v="187363.20000000001"/>
    <n v="240"/>
    <n v="600.02"/>
    <n v="90086.2"/>
    <n v="136246"/>
    <n v="226332.2"/>
    <n v="3510.9"/>
    <n v="1410.7"/>
    <n v="4921.6000000000004"/>
    <n v="25.25"/>
    <n v="0.03"/>
    <n v="1388.7"/>
    <n v="4899.6000000000004"/>
    <n v="600.04999999999995"/>
    <n v="240"/>
    <n v="231231.8"/>
    <n v="25.26"/>
    <n v="800"/>
  </r>
  <r>
    <s v="800_0.3_0.5_2000_3.0_order_4"/>
    <x v="2"/>
    <n v="0.3"/>
    <n v="0.5"/>
    <n v="2000"/>
    <n v="3"/>
    <n v="4"/>
    <x v="0"/>
    <n v="310158.2"/>
    <n v="127750.1"/>
    <n v="182408.1"/>
    <n v="240"/>
    <n v="600.01"/>
    <n v="92994.6"/>
    <n v="130630"/>
    <n v="223624.6"/>
    <n v="3293.6"/>
    <n v="1166.9000000000001"/>
    <n v="4460.5"/>
    <n v="26.46"/>
    <n v="0.04"/>
    <n v="1110"/>
    <n v="4403.6000000000004"/>
    <n v="600.04"/>
    <n v="240"/>
    <n v="228028.2"/>
    <n v="26.48"/>
    <n v="800"/>
  </r>
  <r>
    <s v="800_0.3_0.5_2000_3.0_order_5"/>
    <x v="2"/>
    <n v="0.3"/>
    <n v="0.5"/>
    <n v="2000"/>
    <n v="3"/>
    <n v="5"/>
    <x v="0"/>
    <n v="314621.59999999998"/>
    <n v="129787.3"/>
    <n v="184834.3"/>
    <n v="240"/>
    <n v="600.01"/>
    <n v="94382.2"/>
    <n v="134745.9"/>
    <n v="229128.1"/>
    <n v="3514.4"/>
    <n v="1328.5"/>
    <n v="4842.8999999999996"/>
    <n v="25.63"/>
    <n v="0.05"/>
    <n v="1307.7"/>
    <n v="4822.1000000000004"/>
    <n v="600.05999999999995"/>
    <n v="240"/>
    <n v="233950.2"/>
    <n v="25.64"/>
    <n v="800"/>
  </r>
  <r>
    <s v="800_0.3_0.5_500_1.0_order_1"/>
    <x v="2"/>
    <n v="0.3"/>
    <n v="0.5"/>
    <n v="500"/>
    <n v="1"/>
    <n v="1"/>
    <x v="0"/>
    <n v="42104.1"/>
    <n v="17539.8"/>
    <n v="24564.3"/>
    <n v="240"/>
    <n v="600"/>
    <n v="11758"/>
    <n v="16496.400000000001"/>
    <n v="28254.400000000001"/>
    <n v="3666.3"/>
    <n v="1293.8"/>
    <n v="4960.1000000000004"/>
    <n v="21.11"/>
    <n v="0.03"/>
    <n v="1249.3"/>
    <n v="4915.6000000000004"/>
    <n v="600.03"/>
    <n v="240"/>
    <n v="33170"/>
    <n v="21.22"/>
    <n v="800"/>
  </r>
  <r>
    <s v="800_0.3_0.5_500_1.0_order_2"/>
    <x v="2"/>
    <n v="0.3"/>
    <n v="0.5"/>
    <n v="500"/>
    <n v="1"/>
    <n v="2"/>
    <x v="0"/>
    <n v="41779.599999999999"/>
    <n v="17994.900000000001"/>
    <n v="23784.7"/>
    <n v="240"/>
    <n v="600"/>
    <n v="12332.1"/>
    <n v="16317.2"/>
    <n v="28649.3"/>
    <n v="3533.6"/>
    <n v="1212.5999999999999"/>
    <n v="4746.2"/>
    <n v="20.07"/>
    <n v="0.03"/>
    <n v="1181.5"/>
    <n v="4715.1000000000004"/>
    <n v="600.03"/>
    <n v="240"/>
    <n v="33364.400000000001"/>
    <n v="20.14"/>
    <n v="800"/>
  </r>
  <r>
    <s v="800_0.3_0.5_500_1.0_order_3"/>
    <x v="2"/>
    <n v="0.3"/>
    <n v="0.5"/>
    <n v="500"/>
    <n v="1"/>
    <n v="3"/>
    <x v="0"/>
    <n v="40950.1"/>
    <n v="17179.099999999999"/>
    <n v="23771"/>
    <n v="240"/>
    <n v="600"/>
    <n v="11289.2"/>
    <n v="16222.4"/>
    <n v="27511.599999999999"/>
    <n v="3640.5"/>
    <n v="1213.2"/>
    <n v="4853.7"/>
    <n v="20.96"/>
    <n v="0.03"/>
    <n v="1188.5999999999999"/>
    <n v="4829.1000000000004"/>
    <n v="600.03"/>
    <n v="240"/>
    <n v="32340.7"/>
    <n v="21.02"/>
    <n v="800"/>
  </r>
  <r>
    <s v="800_0.3_0.5_500_1.0_order_4"/>
    <x v="2"/>
    <n v="0.3"/>
    <n v="0.5"/>
    <n v="500"/>
    <n v="1"/>
    <n v="4"/>
    <x v="0"/>
    <n v="41546.400000000001"/>
    <n v="16396.099999999999"/>
    <n v="25150.3"/>
    <n v="240"/>
    <n v="600"/>
    <n v="10991.7"/>
    <n v="16977"/>
    <n v="27968.7"/>
    <n v="3427.9"/>
    <n v="1118.0999999999999"/>
    <n v="4546"/>
    <n v="21.74"/>
    <n v="0.03"/>
    <n v="1112.7"/>
    <n v="4540.6000000000004"/>
    <n v="600.03"/>
    <n v="240"/>
    <n v="32509.3"/>
    <n v="21.75"/>
    <n v="800"/>
  </r>
  <r>
    <s v="800_0.3_0.5_500_1.0_order_5"/>
    <x v="2"/>
    <n v="0.3"/>
    <n v="0.5"/>
    <n v="500"/>
    <n v="1"/>
    <n v="5"/>
    <x v="0"/>
    <n v="42722"/>
    <n v="18044.599999999999"/>
    <n v="24677.4"/>
    <n v="240"/>
    <n v="600"/>
    <n v="12287.2"/>
    <n v="16697.400000000001"/>
    <n v="28984.6"/>
    <n v="3469.7"/>
    <n v="1078.9000000000001"/>
    <n v="4548.6000000000004"/>
    <n v="21.51"/>
    <n v="0.03"/>
    <n v="1074.7"/>
    <n v="4544.3999999999996"/>
    <n v="600.03"/>
    <n v="240"/>
    <n v="33529"/>
    <n v="21.52"/>
    <n v="800"/>
  </r>
  <r>
    <s v="800_0.3_0.5_500_2.0_order_1"/>
    <x v="2"/>
    <n v="0.3"/>
    <n v="0.5"/>
    <n v="500"/>
    <n v="2"/>
    <n v="1"/>
    <x v="0"/>
    <n v="60998.8"/>
    <n v="24909.4"/>
    <n v="36089.4"/>
    <n v="240"/>
    <n v="600"/>
    <n v="17049.8"/>
    <n v="25027.200000000001"/>
    <n v="42077"/>
    <n v="3548.2"/>
    <n v="1225.0999999999999"/>
    <n v="4773.3"/>
    <n v="23.19"/>
    <n v="0.04"/>
    <n v="1208.5999999999999"/>
    <n v="4756.8"/>
    <n v="600.04"/>
    <n v="240"/>
    <n v="46833.8"/>
    <n v="23.22"/>
    <n v="800"/>
  </r>
  <r>
    <s v="800_0.3_0.5_500_2.0_order_2"/>
    <x v="2"/>
    <n v="0.3"/>
    <n v="0.5"/>
    <n v="500"/>
    <n v="2"/>
    <n v="2"/>
    <x v="0"/>
    <n v="64804.6"/>
    <n v="25518.2"/>
    <n v="39286.400000000001"/>
    <n v="240"/>
    <n v="600"/>
    <n v="17428.599999999999"/>
    <n v="26570.400000000001"/>
    <n v="43999"/>
    <n v="3502"/>
    <n v="1113.5"/>
    <n v="4615.5"/>
    <n v="24.98"/>
    <n v="0.04"/>
    <n v="1079"/>
    <n v="4581"/>
    <n v="600.04"/>
    <n v="240"/>
    <n v="48580"/>
    <n v="25.04"/>
    <n v="800"/>
  </r>
  <r>
    <s v="800_0.3_0.5_500_2.0_order_3"/>
    <x v="2"/>
    <n v="0.3"/>
    <n v="0.5"/>
    <n v="500"/>
    <n v="2"/>
    <n v="3"/>
    <x v="0"/>
    <n v="63051.4"/>
    <n v="26785.9"/>
    <n v="36265.5"/>
    <n v="240"/>
    <n v="600"/>
    <n v="18376.8"/>
    <n v="24990.6"/>
    <n v="43367.4"/>
    <n v="3391.2"/>
    <n v="1147"/>
    <n v="4538.2"/>
    <n v="24.02"/>
    <n v="0.04"/>
    <n v="1105.3"/>
    <n v="4496.5"/>
    <n v="600.04"/>
    <n v="240"/>
    <n v="47863.9"/>
    <n v="24.09"/>
    <n v="800"/>
  </r>
  <r>
    <s v="800_0.3_0.5_500_2.0_order_4"/>
    <x v="2"/>
    <n v="0.3"/>
    <n v="0.5"/>
    <n v="500"/>
    <n v="2"/>
    <n v="4"/>
    <x v="0"/>
    <n v="62455.6"/>
    <n v="24925.4"/>
    <n v="37530.199999999997"/>
    <n v="240"/>
    <n v="600"/>
    <n v="17037.3"/>
    <n v="25964.400000000001"/>
    <n v="43001.7"/>
    <n v="3458.1"/>
    <n v="1267.5999999999999"/>
    <n v="4725.7"/>
    <n v="23.58"/>
    <n v="0.02"/>
    <n v="1254"/>
    <n v="4712.1000000000004"/>
    <n v="600.02"/>
    <n v="240"/>
    <n v="47713.8"/>
    <n v="23.6"/>
    <n v="800"/>
  </r>
  <r>
    <s v="800_0.3_0.5_500_2.0_order_5"/>
    <x v="2"/>
    <n v="0.3"/>
    <n v="0.5"/>
    <n v="500"/>
    <n v="2"/>
    <n v="5"/>
    <x v="0"/>
    <n v="63319.6"/>
    <n v="28112.7"/>
    <n v="35206.9"/>
    <n v="240"/>
    <n v="600"/>
    <n v="18918.5"/>
    <n v="24027.599999999999"/>
    <n v="42946.1"/>
    <n v="3414.3"/>
    <n v="1238.0999999999999"/>
    <n v="4652.3999999999996"/>
    <n v="24.83"/>
    <n v="0.04"/>
    <n v="1206.8"/>
    <n v="4621.1000000000004"/>
    <n v="600.04"/>
    <n v="240"/>
    <n v="47567.199999999997"/>
    <n v="24.88"/>
    <n v="800"/>
  </r>
  <r>
    <s v="800_0.3_0.5_500_3.0_order_1"/>
    <x v="2"/>
    <n v="0.3"/>
    <n v="0.5"/>
    <n v="500"/>
    <n v="3"/>
    <n v="1"/>
    <x v="0"/>
    <n v="76825.100000000006"/>
    <n v="32308.5"/>
    <n v="44516.6"/>
    <n v="240"/>
    <n v="600"/>
    <n v="22377.4"/>
    <n v="31106.9"/>
    <n v="53484.3"/>
    <n v="3429.4"/>
    <n v="1095.5"/>
    <n v="4524.8999999999996"/>
    <n v="24.49"/>
    <n v="0.03"/>
    <n v="1048.0999999999999"/>
    <n v="4477.5"/>
    <n v="600.04"/>
    <n v="240"/>
    <n v="57961.8"/>
    <n v="24.55"/>
    <n v="800"/>
  </r>
  <r>
    <s v="800_0.3_0.5_500_3.0_order_2"/>
    <x v="2"/>
    <n v="0.3"/>
    <n v="0.5"/>
    <n v="500"/>
    <n v="3"/>
    <n v="2"/>
    <x v="0"/>
    <n v="79939"/>
    <n v="31659.1"/>
    <n v="48279.9"/>
    <n v="240"/>
    <n v="600"/>
    <n v="22021.200000000001"/>
    <n v="33413.9"/>
    <n v="55435.1"/>
    <n v="3406.5"/>
    <n v="1264.5"/>
    <n v="4671"/>
    <n v="24.81"/>
    <n v="0.05"/>
    <n v="1229"/>
    <n v="4635.5"/>
    <n v="600.04999999999995"/>
    <n v="240"/>
    <n v="60070.6"/>
    <n v="24.85"/>
    <n v="800"/>
  </r>
  <r>
    <s v="800_0.3_0.5_500_3.0_order_3"/>
    <x v="2"/>
    <n v="0.3"/>
    <n v="0.5"/>
    <n v="500"/>
    <n v="3"/>
    <n v="3"/>
    <x v="0"/>
    <n v="79677.899999999994"/>
    <n v="32024.3"/>
    <n v="47653.599999999999"/>
    <n v="240"/>
    <n v="600"/>
    <n v="21709.8"/>
    <n v="32413.7"/>
    <n v="54123.5"/>
    <n v="3508.2"/>
    <n v="1174.7"/>
    <n v="4682.8999999999996"/>
    <n v="26.19"/>
    <n v="0.05"/>
    <n v="1162.2"/>
    <n v="4670.3999999999996"/>
    <n v="600.04999999999995"/>
    <n v="240"/>
    <n v="58793.9"/>
    <n v="26.21"/>
    <n v="800"/>
  </r>
  <r>
    <s v="800_0.3_0.5_500_3.0_order_4"/>
    <x v="2"/>
    <n v="0.3"/>
    <n v="0.5"/>
    <n v="500"/>
    <n v="3"/>
    <n v="4"/>
    <x v="0"/>
    <n v="78989.600000000006"/>
    <n v="31902.7"/>
    <n v="47086.9"/>
    <n v="240"/>
    <n v="600.01"/>
    <n v="22089.5"/>
    <n v="32499.9"/>
    <n v="54589.4"/>
    <n v="3436.1"/>
    <n v="1327.1"/>
    <n v="4763.2"/>
    <n v="24.86"/>
    <n v="0.03"/>
    <n v="1299.5999999999999"/>
    <n v="4735.7"/>
    <n v="600.04"/>
    <n v="240"/>
    <n v="59325.1"/>
    <n v="24.9"/>
    <n v="800"/>
  </r>
  <r>
    <s v="800_0.3_0.5_500_3.0_order_5"/>
    <x v="2"/>
    <n v="0.3"/>
    <n v="0.5"/>
    <n v="500"/>
    <n v="3"/>
    <n v="5"/>
    <x v="0"/>
    <n v="80569.2"/>
    <n v="33784.800000000003"/>
    <n v="46784.4"/>
    <n v="240"/>
    <n v="600.01"/>
    <n v="23688"/>
    <n v="32786"/>
    <n v="56474"/>
    <n v="3456.4"/>
    <n v="1309.5"/>
    <n v="4765.8999999999996"/>
    <n v="23.99"/>
    <n v="0.05"/>
    <n v="1290.3"/>
    <n v="4746.7"/>
    <n v="600.05999999999995"/>
    <n v="240"/>
    <n v="61220.7"/>
    <n v="24.01"/>
    <n v="800"/>
  </r>
  <r>
    <s v="800_0.4_0.5_1000_1.0_order_1"/>
    <x v="2"/>
    <n v="0.4"/>
    <n v="0.5"/>
    <n v="1000"/>
    <n v="1"/>
    <n v="1"/>
    <x v="0"/>
    <n v="86875.5"/>
    <n v="35462.5"/>
    <n v="51413"/>
    <n v="240"/>
    <n v="600"/>
    <n v="24030.9"/>
    <n v="35662.400000000001"/>
    <n v="59693.3"/>
    <n v="3436"/>
    <n v="1556.7"/>
    <n v="4992.7"/>
    <n v="25.54"/>
    <n v="0.04"/>
    <n v="1552.5"/>
    <n v="4988.5"/>
    <n v="600.04"/>
    <n v="240"/>
    <n v="64681.8"/>
    <n v="25.55"/>
    <n v="800"/>
  </r>
  <r>
    <s v="800_0.4_0.5_1000_1.0_order_2"/>
    <x v="2"/>
    <n v="0.4"/>
    <n v="0.5"/>
    <n v="1000"/>
    <n v="1"/>
    <n v="2"/>
    <x v="0"/>
    <n v="87343.7"/>
    <n v="35450.300000000003"/>
    <n v="51893.4"/>
    <n v="240"/>
    <n v="600"/>
    <n v="22932.5"/>
    <n v="34730.300000000003"/>
    <n v="57662.8"/>
    <n v="3500.2"/>
    <n v="1474.5"/>
    <n v="4974.7"/>
    <n v="28.29"/>
    <n v="0.04"/>
    <n v="1455.8"/>
    <n v="4956"/>
    <n v="600.04"/>
    <n v="240"/>
    <n v="62618.8"/>
    <n v="28.31"/>
    <n v="800"/>
  </r>
  <r>
    <s v="800_0.4_0.5_1000_1.0_order_3"/>
    <x v="2"/>
    <n v="0.4"/>
    <n v="0.5"/>
    <n v="1000"/>
    <n v="1"/>
    <n v="3"/>
    <x v="0"/>
    <n v="86584.4"/>
    <n v="35892.6"/>
    <n v="50691.8"/>
    <n v="240"/>
    <n v="600.01"/>
    <n v="23401.5"/>
    <n v="34123.199999999997"/>
    <n v="57524.7"/>
    <n v="3511.2"/>
    <n v="1502.9"/>
    <n v="5014.1000000000004"/>
    <n v="27.77"/>
    <n v="0.05"/>
    <n v="1491.8"/>
    <n v="5003"/>
    <n v="600.05999999999995"/>
    <n v="240"/>
    <n v="62527.7"/>
    <n v="27.78"/>
    <n v="800"/>
  </r>
  <r>
    <s v="800_0.4_0.5_1000_1.0_order_4"/>
    <x v="2"/>
    <n v="0.4"/>
    <n v="0.5"/>
    <n v="1000"/>
    <n v="1"/>
    <n v="4"/>
    <x v="0"/>
    <n v="84463.6"/>
    <n v="34051.300000000003"/>
    <n v="50412.3"/>
    <n v="240"/>
    <n v="600"/>
    <n v="22618.1"/>
    <n v="34156.6"/>
    <n v="56774.7"/>
    <n v="3441.6"/>
    <n v="1559.7"/>
    <n v="5001.3"/>
    <n v="26.86"/>
    <n v="0.05"/>
    <n v="1546"/>
    <n v="4987.6000000000004"/>
    <n v="600.04999999999995"/>
    <n v="240"/>
    <n v="61762.3"/>
    <n v="26.88"/>
    <n v="800"/>
  </r>
  <r>
    <s v="800_0.4_0.5_1000_1.0_order_5"/>
    <x v="2"/>
    <n v="0.4"/>
    <n v="0.5"/>
    <n v="1000"/>
    <n v="1"/>
    <n v="5"/>
    <x v="0"/>
    <n v="85389.5"/>
    <n v="35210.300000000003"/>
    <n v="50179.199999999997"/>
    <n v="240"/>
    <n v="600"/>
    <n v="23519.3"/>
    <n v="33943"/>
    <n v="57462.3"/>
    <n v="3627.6"/>
    <n v="1607.7"/>
    <n v="5235.3"/>
    <n v="26.57"/>
    <n v="0.06"/>
    <n v="1596.6"/>
    <n v="5224.2"/>
    <n v="600.05999999999995"/>
    <n v="240"/>
    <n v="62686.5"/>
    <n v="26.59"/>
    <n v="800"/>
  </r>
  <r>
    <s v="800_0.4_0.5_1000_2.0_order_1"/>
    <x v="2"/>
    <n v="0.4"/>
    <n v="0.5"/>
    <n v="1000"/>
    <n v="2"/>
    <n v="1"/>
    <x v="0"/>
    <n v="120010.4"/>
    <n v="50108.7"/>
    <n v="69901.7"/>
    <n v="240"/>
    <n v="600.01"/>
    <n v="34687.699999999997"/>
    <n v="47694.6"/>
    <n v="82382.3"/>
    <n v="3410.3"/>
    <n v="1375.3"/>
    <n v="4785.6000000000004"/>
    <n v="27.37"/>
    <n v="0.06"/>
    <n v="1345.9"/>
    <n v="4756.2"/>
    <n v="600.07000000000005"/>
    <n v="240"/>
    <n v="87138.5"/>
    <n v="27.39"/>
    <n v="800"/>
  </r>
  <r>
    <s v="800_0.4_0.5_1000_2.0_order_2"/>
    <x v="2"/>
    <n v="0.4"/>
    <n v="0.5"/>
    <n v="1000"/>
    <n v="2"/>
    <n v="2"/>
    <x v="0"/>
    <n v="122422.7"/>
    <n v="49651.199999999997"/>
    <n v="72771.5"/>
    <n v="240"/>
    <n v="600"/>
    <n v="35160.400000000001"/>
    <n v="49756.4"/>
    <n v="84916.800000000003"/>
    <n v="3254.4"/>
    <n v="1520.2"/>
    <n v="4774.6000000000004"/>
    <n v="26.74"/>
    <n v="7.0000000000000007E-2"/>
    <n v="1500.3"/>
    <n v="4754.7"/>
    <n v="600.07000000000005"/>
    <n v="240"/>
    <n v="89671.5"/>
    <n v="26.75"/>
    <n v="800"/>
  </r>
  <r>
    <s v="800_0.4_0.5_1000_2.0_order_3"/>
    <x v="2"/>
    <n v="0.4"/>
    <n v="0.5"/>
    <n v="1000"/>
    <n v="2"/>
    <n v="3"/>
    <x v="0"/>
    <n v="121057.1"/>
    <n v="49231.7"/>
    <n v="71825.399999999994"/>
    <n v="240"/>
    <n v="600.01"/>
    <n v="33600.6"/>
    <n v="49179.3"/>
    <n v="82779.899999999994"/>
    <n v="3352.1"/>
    <n v="1299.5999999999999"/>
    <n v="4651.7"/>
    <n v="27.78"/>
    <n v="0.06"/>
    <n v="1273.4000000000001"/>
    <n v="4625.5"/>
    <n v="600.05999999999995"/>
    <n v="240"/>
    <n v="87405.4"/>
    <n v="27.8"/>
    <n v="800"/>
  </r>
  <r>
    <s v="800_0.4_0.5_1000_2.0_order_4"/>
    <x v="2"/>
    <n v="0.4"/>
    <n v="0.5"/>
    <n v="1000"/>
    <n v="2"/>
    <n v="4"/>
    <x v="0"/>
    <n v="123447.4"/>
    <n v="51496.6"/>
    <n v="71950.8"/>
    <n v="240"/>
    <n v="600.01"/>
    <n v="34691.300000000003"/>
    <n v="48046.400000000001"/>
    <n v="82737.7"/>
    <n v="3526.1"/>
    <n v="1523.4"/>
    <n v="5049.5"/>
    <n v="28.89"/>
    <n v="7.0000000000000007E-2"/>
    <n v="1516.5"/>
    <n v="5042.6000000000004"/>
    <n v="600.09"/>
    <n v="240"/>
    <n v="87780.3"/>
    <n v="28.89"/>
    <n v="800"/>
  </r>
  <r>
    <s v="800_0.4_0.5_1000_2.0_order_5"/>
    <x v="2"/>
    <n v="0.4"/>
    <n v="0.5"/>
    <n v="1000"/>
    <n v="2"/>
    <n v="5"/>
    <x v="0"/>
    <n v="120041.2"/>
    <n v="49650.400000000001"/>
    <n v="70390.8"/>
    <n v="240"/>
    <n v="600"/>
    <n v="34030.1"/>
    <n v="46602.2"/>
    <n v="80632.3"/>
    <n v="3444.4"/>
    <n v="1497.1"/>
    <n v="4941.5"/>
    <n v="28.71"/>
    <n v="7.0000000000000007E-2"/>
    <n v="1475.9"/>
    <n v="4920.3"/>
    <n v="600.07000000000005"/>
    <n v="240"/>
    <n v="85552.6"/>
    <n v="28.73"/>
    <n v="800"/>
  </r>
  <r>
    <s v="800_0.4_0.5_1000_3.0_order_1"/>
    <x v="2"/>
    <n v="0.4"/>
    <n v="0.5"/>
    <n v="1000"/>
    <n v="3"/>
    <n v="1"/>
    <x v="0"/>
    <n v="146868"/>
    <n v="60175.9"/>
    <n v="86692.1"/>
    <n v="240"/>
    <n v="600.02"/>
    <n v="42249.1"/>
    <n v="58882.9"/>
    <n v="101132"/>
    <n v="3489.1"/>
    <n v="1367"/>
    <n v="4856.1000000000004"/>
    <n v="27.83"/>
    <n v="0.06"/>
    <n v="1335.3"/>
    <n v="4824.3999999999996"/>
    <n v="600.08000000000004"/>
    <n v="240"/>
    <n v="105956.4"/>
    <n v="27.86"/>
    <n v="800"/>
  </r>
  <r>
    <s v="800_0.4_0.5_1000_3.0_order_2"/>
    <x v="2"/>
    <n v="0.4"/>
    <n v="0.5"/>
    <n v="1000"/>
    <n v="3"/>
    <n v="2"/>
    <x v="0"/>
    <n v="152324.6"/>
    <n v="62718.5"/>
    <n v="89606.1"/>
    <n v="240"/>
    <n v="600.01"/>
    <n v="43062"/>
    <n v="59310.9"/>
    <n v="102372.9"/>
    <n v="3490.2"/>
    <n v="1462.5"/>
    <n v="4952.7"/>
    <n v="29.54"/>
    <n v="0.05"/>
    <n v="1440.6"/>
    <n v="4930.8"/>
    <n v="600.05999999999995"/>
    <n v="240"/>
    <n v="107303.7"/>
    <n v="29.56"/>
    <n v="800"/>
  </r>
  <r>
    <s v="800_0.4_0.5_1000_3.0_order_3"/>
    <x v="2"/>
    <n v="0.4"/>
    <n v="0.5"/>
    <n v="1000"/>
    <n v="3"/>
    <n v="3"/>
    <x v="0"/>
    <n v="157468.70000000001"/>
    <n v="63259.3"/>
    <n v="94209.4"/>
    <n v="240"/>
    <n v="600.02"/>
    <n v="44316.3"/>
    <n v="62321.8"/>
    <n v="106638.1"/>
    <n v="3474.5"/>
    <n v="1519.3"/>
    <n v="4993.8"/>
    <n v="29.11"/>
    <n v="0.06"/>
    <n v="1493"/>
    <n v="4967.5"/>
    <n v="600.08000000000004"/>
    <n v="240"/>
    <n v="111605.6"/>
    <n v="29.13"/>
    <n v="800"/>
  </r>
  <r>
    <s v="800_0.4_0.5_1000_3.0_order_4"/>
    <x v="2"/>
    <n v="0.4"/>
    <n v="0.5"/>
    <n v="1000"/>
    <n v="3"/>
    <n v="4"/>
    <x v="0"/>
    <n v="153712.1"/>
    <n v="61756.6"/>
    <n v="91955.5"/>
    <n v="240"/>
    <n v="600.01"/>
    <n v="42457.5"/>
    <n v="62521"/>
    <n v="104978.5"/>
    <n v="3532.3"/>
    <n v="1257.5999999999999"/>
    <n v="4789.8999999999996"/>
    <n v="28.59"/>
    <n v="7.0000000000000007E-2"/>
    <n v="1198"/>
    <n v="4730.3"/>
    <n v="600.08000000000004"/>
    <n v="240"/>
    <n v="109708.8"/>
    <n v="28.63"/>
    <n v="800"/>
  </r>
  <r>
    <s v="800_0.4_0.5_1000_3.0_order_5"/>
    <x v="2"/>
    <n v="0.4"/>
    <n v="0.5"/>
    <n v="1000"/>
    <n v="3"/>
    <n v="5"/>
    <x v="0"/>
    <n v="154868.70000000001"/>
    <n v="62106"/>
    <n v="92762.7"/>
    <n v="240"/>
    <n v="600.02"/>
    <n v="42890.3"/>
    <n v="60833.8"/>
    <n v="103724.1"/>
    <n v="3388.4"/>
    <n v="1436.1"/>
    <n v="4824.5"/>
    <n v="29.91"/>
    <n v="0.06"/>
    <n v="1422.4"/>
    <n v="4810.8"/>
    <n v="600.08000000000004"/>
    <n v="240"/>
    <n v="108534.9"/>
    <n v="29.92"/>
    <n v="800"/>
  </r>
  <r>
    <s v="800_0.4_0.5_2000_1.0_order_1"/>
    <x v="2"/>
    <n v="0.4"/>
    <n v="0.5"/>
    <n v="2000"/>
    <n v="1"/>
    <n v="1"/>
    <x v="0"/>
    <n v="170213.4"/>
    <n v="69005.2"/>
    <n v="101208.2"/>
    <n v="240"/>
    <n v="600.01"/>
    <n v="47443.199999999997"/>
    <n v="70272.399999999994"/>
    <n v="117715.6"/>
    <n v="3540.2"/>
    <n v="1606.6"/>
    <n v="5146.8"/>
    <n v="27.82"/>
    <n v="0.05"/>
    <n v="1599.6"/>
    <n v="5139.8"/>
    <n v="600.05999999999995"/>
    <n v="240"/>
    <n v="122855.4"/>
    <n v="27.82"/>
    <n v="800"/>
  </r>
  <r>
    <s v="800_0.4_0.5_2000_1.0_order_2"/>
    <x v="2"/>
    <n v="0.4"/>
    <n v="0.5"/>
    <n v="2000"/>
    <n v="1"/>
    <n v="2"/>
    <x v="0"/>
    <n v="169988.2"/>
    <n v="70466.899999999994"/>
    <n v="99521.3"/>
    <n v="240"/>
    <n v="600"/>
    <n v="48626.3"/>
    <n v="70653"/>
    <n v="119279.3"/>
    <n v="3528.9"/>
    <n v="1707"/>
    <n v="5235.8999999999996"/>
    <n v="26.75"/>
    <n v="0.05"/>
    <n v="1693.2"/>
    <n v="5222.1000000000004"/>
    <n v="600.04999999999995"/>
    <n v="240"/>
    <n v="124501.4"/>
    <n v="26.76"/>
    <n v="800"/>
  </r>
  <r>
    <s v="800_0.4_0.5_2000_1.0_order_3"/>
    <x v="2"/>
    <n v="0.4"/>
    <n v="0.5"/>
    <n v="2000"/>
    <n v="1"/>
    <n v="3"/>
    <x v="0"/>
    <n v="169951.6"/>
    <n v="69481.600000000006"/>
    <n v="100470"/>
    <n v="240"/>
    <n v="600"/>
    <n v="47987"/>
    <n v="71018.7"/>
    <n v="119005.7"/>
    <n v="3545.4"/>
    <n v="1670.5"/>
    <n v="5215.8999999999996"/>
    <n v="26.91"/>
    <n v="0.05"/>
    <n v="1643.3"/>
    <n v="5188.7"/>
    <n v="600.04999999999995"/>
    <n v="240"/>
    <n v="124194.4"/>
    <n v="26.92"/>
    <n v="800"/>
  </r>
  <r>
    <s v="800_0.4_0.5_2000_1.0_order_4"/>
    <x v="2"/>
    <n v="0.4"/>
    <n v="0.5"/>
    <n v="2000"/>
    <n v="1"/>
    <n v="4"/>
    <x v="0"/>
    <n v="165701.20000000001"/>
    <n v="67770.8"/>
    <n v="97930.4"/>
    <n v="240"/>
    <n v="600.01"/>
    <n v="47353.4"/>
    <n v="69552.3"/>
    <n v="116905.7"/>
    <n v="3441.8"/>
    <n v="1622.3"/>
    <n v="5064.1000000000004"/>
    <n v="26.39"/>
    <n v="0.04"/>
    <n v="1594.5"/>
    <n v="5036.3"/>
    <n v="600.04999999999995"/>
    <n v="240"/>
    <n v="121942"/>
    <n v="26.41"/>
    <n v="800"/>
  </r>
  <r>
    <s v="800_0.4_0.5_2000_1.0_order_5"/>
    <x v="2"/>
    <n v="0.4"/>
    <n v="0.5"/>
    <n v="2000"/>
    <n v="1"/>
    <n v="5"/>
    <x v="0"/>
    <n v="168020"/>
    <n v="71133"/>
    <n v="96887"/>
    <n v="240"/>
    <n v="600"/>
    <n v="47677.8"/>
    <n v="67384.2"/>
    <n v="115062"/>
    <n v="3539"/>
    <n v="1566.7"/>
    <n v="5105.7"/>
    <n v="28.48"/>
    <n v="0.05"/>
    <n v="1551.5"/>
    <n v="5090.5"/>
    <n v="600.04999999999995"/>
    <n v="240"/>
    <n v="120152.5"/>
    <n v="28.49"/>
    <n v="800"/>
  </r>
  <r>
    <s v="800_0.4_0.5_2000_2.0_order_1"/>
    <x v="2"/>
    <n v="0.4"/>
    <n v="0.5"/>
    <n v="2000"/>
    <n v="2"/>
    <n v="1"/>
    <x v="0"/>
    <n v="250362.9"/>
    <n v="98155.4"/>
    <n v="152207.5"/>
    <n v="240"/>
    <n v="600.02"/>
    <n v="69146.100000000006"/>
    <n v="104854.3"/>
    <n v="174000.4"/>
    <n v="3433.4"/>
    <n v="1443.5"/>
    <n v="4876.8999999999996"/>
    <n v="28.55"/>
    <n v="0.05"/>
    <n v="1437.9"/>
    <n v="4871.3"/>
    <n v="600.05999999999995"/>
    <n v="240"/>
    <n v="178871.7"/>
    <n v="28.56"/>
    <n v="800"/>
  </r>
  <r>
    <s v="800_0.4_0.5_2000_2.0_order_2"/>
    <x v="2"/>
    <n v="0.4"/>
    <n v="0.5"/>
    <n v="2000"/>
    <n v="2"/>
    <n v="2"/>
    <x v="0"/>
    <n v="250230.39999999999"/>
    <n v="100944"/>
    <n v="149286.39999999999"/>
    <n v="240"/>
    <n v="600.04"/>
    <n v="70955"/>
    <n v="101730.3"/>
    <n v="172685.3"/>
    <n v="3446.7"/>
    <n v="1504.5"/>
    <n v="4951.2"/>
    <n v="29.01"/>
    <n v="0.08"/>
    <n v="1491.9"/>
    <n v="4938.6000000000004"/>
    <n v="600.12"/>
    <n v="240"/>
    <n v="177623.9"/>
    <n v="29.02"/>
    <n v="800"/>
  </r>
  <r>
    <s v="800_0.4_0.5_2000_2.0_order_3"/>
    <x v="2"/>
    <n v="0.4"/>
    <n v="0.5"/>
    <n v="2000"/>
    <n v="2"/>
    <n v="3"/>
    <x v="0"/>
    <n v="247828"/>
    <n v="100347.6"/>
    <n v="147480.4"/>
    <n v="240"/>
    <n v="600.01"/>
    <n v="72179.100000000006"/>
    <n v="100220.3"/>
    <n v="172399.4"/>
    <n v="3396.9"/>
    <n v="1454.9"/>
    <n v="4851.8"/>
    <n v="28.48"/>
    <n v="0.05"/>
    <n v="1427.2"/>
    <n v="4824.1000000000004"/>
    <n v="600.04999999999995"/>
    <n v="240"/>
    <n v="177223.5"/>
    <n v="28.49"/>
    <n v="800"/>
  </r>
  <r>
    <s v="800_0.4_0.5_2000_2.0_order_4"/>
    <x v="2"/>
    <n v="0.4"/>
    <n v="0.5"/>
    <n v="2000"/>
    <n v="2"/>
    <n v="4"/>
    <x v="0"/>
    <n v="251946.4"/>
    <n v="102935.6"/>
    <n v="149010.79999999999"/>
    <n v="240"/>
    <n v="600.01"/>
    <n v="69974"/>
    <n v="101226.3"/>
    <n v="171200.3"/>
    <n v="3498.3"/>
    <n v="1487.9"/>
    <n v="4986.2"/>
    <n v="30.07"/>
    <n v="0.06"/>
    <n v="1482.3"/>
    <n v="4980.6000000000004"/>
    <n v="600.07000000000005"/>
    <n v="240"/>
    <n v="176180.9"/>
    <n v="30.07"/>
    <n v="800"/>
  </r>
  <r>
    <s v="800_0.4_0.5_2000_2.0_order_5"/>
    <x v="2"/>
    <n v="0.4"/>
    <n v="0.5"/>
    <n v="2000"/>
    <n v="2"/>
    <n v="5"/>
    <x v="0"/>
    <n v="245726.4"/>
    <n v="101268.2"/>
    <n v="144458.20000000001"/>
    <n v="240"/>
    <n v="600.01"/>
    <n v="70845"/>
    <n v="99153.9"/>
    <n v="169998.9"/>
    <n v="3520.3"/>
    <n v="1487.3"/>
    <n v="5007.6000000000004"/>
    <n v="28.78"/>
    <n v="7.0000000000000007E-2"/>
    <n v="1487.3"/>
    <n v="5007.6000000000004"/>
    <n v="600.07000000000005"/>
    <n v="240"/>
    <n v="175006.5"/>
    <n v="28.78"/>
    <n v="800"/>
  </r>
  <r>
    <s v="800_0.4_0.5_2000_3.0_order_1"/>
    <x v="2"/>
    <n v="0.4"/>
    <n v="0.5"/>
    <n v="2000"/>
    <n v="3"/>
    <n v="1"/>
    <x v="0"/>
    <n v="311641.90000000002"/>
    <n v="130002.5"/>
    <n v="181639.4"/>
    <n v="240"/>
    <n v="600.01"/>
    <n v="90738.9"/>
    <n v="122542.5"/>
    <n v="213281.4"/>
    <n v="3576.7"/>
    <n v="1352.5"/>
    <n v="4929.2"/>
    <n v="29.98"/>
    <n v="7.0000000000000007E-2"/>
    <n v="1311.6"/>
    <n v="4888.3"/>
    <n v="600.08000000000004"/>
    <n v="240"/>
    <n v="218169.7"/>
    <n v="29.99"/>
    <n v="800"/>
  </r>
  <r>
    <s v="800_0.4_0.5_2000_3.0_order_2"/>
    <x v="2"/>
    <n v="0.4"/>
    <n v="0.5"/>
    <n v="2000"/>
    <n v="3"/>
    <n v="2"/>
    <x v="0"/>
    <n v="305552.90000000002"/>
    <n v="126112.6"/>
    <n v="179440.3"/>
    <n v="240"/>
    <n v="600.05999999999995"/>
    <n v="87065.4"/>
    <n v="121415.1"/>
    <n v="208480.5"/>
    <n v="3472"/>
    <n v="1307.7"/>
    <n v="4779.7"/>
    <n v="30.21"/>
    <n v="0.06"/>
    <n v="1277"/>
    <n v="4749"/>
    <n v="600.12"/>
    <n v="240"/>
    <n v="213229.5"/>
    <n v="30.22"/>
    <n v="800"/>
  </r>
  <r>
    <s v="800_0.4_0.5_2000_3.0_order_3"/>
    <x v="2"/>
    <n v="0.4"/>
    <n v="0.5"/>
    <n v="2000"/>
    <n v="3"/>
    <n v="3"/>
    <x v="0"/>
    <n v="303425.09999999998"/>
    <n v="122185.60000000001"/>
    <n v="181239.5"/>
    <n v="240"/>
    <n v="600.01"/>
    <n v="86489.1"/>
    <n v="124209.5"/>
    <n v="210698.6"/>
    <n v="3370.2"/>
    <n v="1324.9"/>
    <n v="4695.1000000000004"/>
    <n v="29.01"/>
    <n v="0.09"/>
    <n v="1297.8"/>
    <n v="4668"/>
    <n v="600.1"/>
    <n v="240"/>
    <n v="215366.6"/>
    <n v="29.02"/>
    <n v="800"/>
  </r>
  <r>
    <s v="800_0.4_0.5_2000_3.0_order_4"/>
    <x v="2"/>
    <n v="0.4"/>
    <n v="0.5"/>
    <n v="2000"/>
    <n v="3"/>
    <n v="4"/>
    <x v="0"/>
    <n v="313216.59999999998"/>
    <n v="131697"/>
    <n v="181519.6"/>
    <n v="240"/>
    <n v="600.01"/>
    <n v="93267.7"/>
    <n v="124001.2"/>
    <n v="217268.9"/>
    <n v="3413.5"/>
    <n v="1487.4"/>
    <n v="4900.8999999999996"/>
    <n v="29.07"/>
    <n v="0.06"/>
    <n v="1481.8"/>
    <n v="4895.3"/>
    <n v="600.07000000000005"/>
    <n v="240"/>
    <n v="222164.2"/>
    <n v="29.07"/>
    <n v="800"/>
  </r>
  <r>
    <s v="800_0.4_0.5_2000_3.0_order_5"/>
    <x v="2"/>
    <n v="0.4"/>
    <n v="0.5"/>
    <n v="2000"/>
    <n v="3"/>
    <n v="5"/>
    <x v="0"/>
    <n v="303871.5"/>
    <n v="126862.1"/>
    <n v="177009.4"/>
    <n v="240"/>
    <n v="600.03"/>
    <n v="89459.9"/>
    <n v="118746.6"/>
    <n v="208206.5"/>
    <n v="3479"/>
    <n v="1499.3"/>
    <n v="4978.3"/>
    <n v="29.84"/>
    <n v="7.0000000000000007E-2"/>
    <n v="1486.8"/>
    <n v="4965.8"/>
    <n v="600.09"/>
    <n v="240"/>
    <n v="213172.3"/>
    <n v="29.85"/>
    <n v="800"/>
  </r>
  <r>
    <s v="800_0.4_0.5_500_1.0_order_1"/>
    <x v="2"/>
    <n v="0.4"/>
    <n v="0.5"/>
    <n v="500"/>
    <n v="1"/>
    <n v="1"/>
    <x v="0"/>
    <n v="40837.5"/>
    <n v="17869.3"/>
    <n v="22968.2"/>
    <n v="240"/>
    <n v="600"/>
    <n v="11063.9"/>
    <n v="14865"/>
    <n v="25928.9"/>
    <n v="3589.4"/>
    <n v="1482.2"/>
    <n v="5071.6000000000004"/>
    <n v="24.09"/>
    <n v="0.03"/>
    <n v="1475.3"/>
    <n v="5064.7"/>
    <n v="600.04"/>
    <n v="240"/>
    <n v="30993.599999999999"/>
    <n v="24.11"/>
    <n v="800"/>
  </r>
  <r>
    <s v="800_0.4_0.5_500_1.0_order_2"/>
    <x v="2"/>
    <n v="0.4"/>
    <n v="0.5"/>
    <n v="500"/>
    <n v="1"/>
    <n v="2"/>
    <x v="0"/>
    <n v="42627.6"/>
    <n v="17237.8"/>
    <n v="25389.8"/>
    <n v="240"/>
    <n v="600"/>
    <n v="10604.7"/>
    <n v="16225.5"/>
    <n v="26830.2"/>
    <n v="3450.3"/>
    <n v="1459"/>
    <n v="4909.3"/>
    <n v="25.54"/>
    <n v="0.05"/>
    <n v="1447.2"/>
    <n v="4897.5"/>
    <n v="600.04999999999995"/>
    <n v="240"/>
    <n v="31727.7"/>
    <n v="25.57"/>
    <n v="800"/>
  </r>
  <r>
    <s v="800_0.4_0.5_500_1.0_order_3"/>
    <x v="2"/>
    <n v="0.4"/>
    <n v="0.5"/>
    <n v="500"/>
    <n v="1"/>
    <n v="3"/>
    <x v="0"/>
    <n v="43861.8"/>
    <n v="17522.599999999999"/>
    <n v="26339.200000000001"/>
    <n v="240"/>
    <n v="600"/>
    <n v="11006.3"/>
    <n v="16284.4"/>
    <n v="27290.7"/>
    <n v="3383"/>
    <n v="1467.4"/>
    <n v="4850.3999999999996"/>
    <n v="26.72"/>
    <n v="0.04"/>
    <n v="1456.4"/>
    <n v="4839.3999999999996"/>
    <n v="600.04999999999995"/>
    <n v="240"/>
    <n v="32130.1"/>
    <n v="26.75"/>
    <n v="800"/>
  </r>
  <r>
    <s v="800_0.4_0.5_500_1.0_order_4"/>
    <x v="2"/>
    <n v="0.4"/>
    <n v="0.5"/>
    <n v="500"/>
    <n v="1"/>
    <n v="4"/>
    <x v="0"/>
    <n v="41801.800000000003"/>
    <n v="16903"/>
    <n v="24898.799999999999"/>
    <n v="240"/>
    <n v="600"/>
    <n v="10829.3"/>
    <n v="15812.4"/>
    <n v="26641.7"/>
    <n v="3441.1"/>
    <n v="1425.6"/>
    <n v="4866.7"/>
    <n v="24.62"/>
    <n v="0.05"/>
    <n v="1421.5"/>
    <n v="4862.6000000000004"/>
    <n v="600.04999999999995"/>
    <n v="240"/>
    <n v="31504.3"/>
    <n v="24.63"/>
    <n v="800"/>
  </r>
  <r>
    <s v="800_0.4_0.5_500_1.0_order_5"/>
    <x v="2"/>
    <n v="0.4"/>
    <n v="0.5"/>
    <n v="500"/>
    <n v="1"/>
    <n v="5"/>
    <x v="0"/>
    <n v="42102.1"/>
    <n v="17936.900000000001"/>
    <n v="24165.200000000001"/>
    <n v="240"/>
    <n v="600"/>
    <n v="10832.8"/>
    <n v="15658.7"/>
    <n v="26491.5"/>
    <n v="3533.9"/>
    <n v="1431.5"/>
    <n v="4965.3999999999996"/>
    <n v="25.28"/>
    <n v="0.04"/>
    <n v="1404"/>
    <n v="4937.8999999999996"/>
    <n v="600.04"/>
    <n v="240"/>
    <n v="31429.4"/>
    <n v="25.35"/>
    <n v="800"/>
  </r>
  <r>
    <s v="800_0.4_0.5_500_2.0_order_1"/>
    <x v="2"/>
    <n v="0.4"/>
    <n v="0.5"/>
    <n v="500"/>
    <n v="2"/>
    <n v="1"/>
    <x v="0"/>
    <n v="62386"/>
    <n v="25311.5"/>
    <n v="37074.5"/>
    <n v="240"/>
    <n v="600"/>
    <n v="16672.599999999999"/>
    <n v="24612.400000000001"/>
    <n v="41285"/>
    <n v="3397.5"/>
    <n v="1341.3"/>
    <n v="4738.8"/>
    <n v="26.23"/>
    <n v="0.03"/>
    <n v="1338.5"/>
    <n v="4736"/>
    <n v="600.03"/>
    <n v="240"/>
    <n v="46021"/>
    <n v="26.23"/>
    <n v="800"/>
  </r>
  <r>
    <s v="800_0.4_0.5_500_2.0_order_2"/>
    <x v="2"/>
    <n v="0.4"/>
    <n v="0.5"/>
    <n v="500"/>
    <n v="2"/>
    <n v="2"/>
    <x v="0"/>
    <n v="62963.7"/>
    <n v="25003.3"/>
    <n v="37960.400000000001"/>
    <n v="240"/>
    <n v="600"/>
    <n v="16346.9"/>
    <n v="24479.200000000001"/>
    <n v="40826.1"/>
    <n v="3571.4"/>
    <n v="1644.9"/>
    <n v="5216.3"/>
    <n v="26.87"/>
    <n v="0.05"/>
    <n v="1622.6"/>
    <n v="5194"/>
    <n v="600.05999999999995"/>
    <n v="240"/>
    <n v="46020.1"/>
    <n v="26.91"/>
    <n v="800"/>
  </r>
  <r>
    <s v="800_0.4_0.5_500_2.0_order_3"/>
    <x v="2"/>
    <n v="0.4"/>
    <n v="0.5"/>
    <n v="500"/>
    <n v="2"/>
    <n v="3"/>
    <x v="0"/>
    <n v="63392.6"/>
    <n v="24930.6"/>
    <n v="38462"/>
    <n v="240"/>
    <n v="600.01"/>
    <n v="17097.400000000001"/>
    <n v="25201.1"/>
    <n v="42298.5"/>
    <n v="3554.6"/>
    <n v="1413.5"/>
    <n v="4968.1000000000004"/>
    <n v="25.44"/>
    <n v="0.05"/>
    <n v="1396.8"/>
    <n v="4951.3999999999996"/>
    <n v="600.05999999999995"/>
    <n v="240"/>
    <n v="47249.9"/>
    <n v="25.46"/>
    <n v="800"/>
  </r>
  <r>
    <s v="800_0.4_0.5_500_2.0_order_4"/>
    <x v="2"/>
    <n v="0.4"/>
    <n v="0.5"/>
    <n v="500"/>
    <n v="2"/>
    <n v="4"/>
    <x v="0"/>
    <n v="62566.6"/>
    <n v="25917.8"/>
    <n v="36648.800000000003"/>
    <n v="240"/>
    <n v="600"/>
    <n v="17065.900000000001"/>
    <n v="23732.2"/>
    <n v="40798.1"/>
    <n v="3415"/>
    <n v="1404.7"/>
    <n v="4819.7"/>
    <n v="27.09"/>
    <n v="0.05"/>
    <n v="1377.1"/>
    <n v="4792.1000000000004"/>
    <n v="600.04999999999995"/>
    <n v="240"/>
    <n v="45590.2"/>
    <n v="27.13"/>
    <n v="800"/>
  </r>
  <r>
    <s v="800_0.4_0.5_500_2.0_order_5"/>
    <x v="2"/>
    <n v="0.4"/>
    <n v="0.5"/>
    <n v="500"/>
    <n v="2"/>
    <n v="5"/>
    <x v="0"/>
    <n v="60912.1"/>
    <n v="25149.8"/>
    <n v="35762.300000000003"/>
    <n v="240"/>
    <n v="600"/>
    <n v="16498.599999999999"/>
    <n v="22739.8"/>
    <n v="39238.400000000001"/>
    <n v="3481.3"/>
    <n v="1298"/>
    <n v="4779.3"/>
    <n v="27.74"/>
    <n v="0.04"/>
    <n v="1280"/>
    <n v="4761.3"/>
    <n v="600.04"/>
    <n v="240"/>
    <n v="43999.7"/>
    <n v="27.77"/>
    <n v="800"/>
  </r>
  <r>
    <s v="800_0.4_0.5_500_3.0_order_1"/>
    <x v="2"/>
    <n v="0.4"/>
    <n v="0.5"/>
    <n v="500"/>
    <n v="3"/>
    <n v="1"/>
    <x v="0"/>
    <n v="78190.600000000006"/>
    <n v="31020.5"/>
    <n v="47170.1"/>
    <n v="240"/>
    <n v="600"/>
    <n v="20483.400000000001"/>
    <n v="31140.7"/>
    <n v="51624.1"/>
    <n v="3478.7"/>
    <n v="1279.5999999999999"/>
    <n v="4758.3"/>
    <n v="27.89"/>
    <n v="0.06"/>
    <n v="1272.7"/>
    <n v="4751.3999999999996"/>
    <n v="600.05999999999995"/>
    <n v="240"/>
    <n v="56375.5"/>
    <n v="27.9"/>
    <n v="800"/>
  </r>
  <r>
    <s v="800_0.4_0.5_500_3.0_order_2"/>
    <x v="2"/>
    <n v="0.4"/>
    <n v="0.5"/>
    <n v="500"/>
    <n v="3"/>
    <n v="2"/>
    <x v="0"/>
    <n v="78179.5"/>
    <n v="31302.5"/>
    <n v="46877"/>
    <n v="240"/>
    <n v="600"/>
    <n v="20840.7"/>
    <n v="30853.1"/>
    <n v="51693.8"/>
    <n v="3365.6"/>
    <n v="1244.4000000000001"/>
    <n v="4610"/>
    <n v="27.98"/>
    <n v="0.06"/>
    <n v="1223.5999999999999"/>
    <n v="4589.2"/>
    <n v="600.05999999999995"/>
    <n v="240"/>
    <n v="56283"/>
    <n v="28.01"/>
    <n v="800"/>
  </r>
  <r>
    <s v="800_0.4_0.5_500_3.0_order_3"/>
    <x v="2"/>
    <n v="0.4"/>
    <n v="0.5"/>
    <n v="500"/>
    <n v="3"/>
    <n v="3"/>
    <x v="0"/>
    <n v="78884.100000000006"/>
    <n v="31125.200000000001"/>
    <n v="47758.9"/>
    <n v="240"/>
    <n v="600"/>
    <n v="20959"/>
    <n v="30687.1"/>
    <n v="51646.1"/>
    <n v="3364.5"/>
    <n v="1429.2"/>
    <n v="4793.7"/>
    <n v="28.45"/>
    <n v="0.05"/>
    <n v="1404.2"/>
    <n v="4768.7"/>
    <n v="600.05999999999995"/>
    <n v="240"/>
    <n v="56414.8"/>
    <n v="28.48"/>
    <n v="800"/>
  </r>
  <r>
    <s v="800_0.4_0.5_500_3.0_order_4"/>
    <x v="2"/>
    <n v="0.4"/>
    <n v="0.5"/>
    <n v="500"/>
    <n v="3"/>
    <n v="4"/>
    <x v="0"/>
    <n v="79111"/>
    <n v="30679.1"/>
    <n v="48431.9"/>
    <n v="240"/>
    <n v="600.01"/>
    <n v="20151.599999999999"/>
    <n v="32078.1"/>
    <n v="52229.7"/>
    <n v="3472.9"/>
    <n v="1092.7"/>
    <n v="4565.6000000000004"/>
    <n v="28.21"/>
    <n v="0.05"/>
    <n v="1055.5999999999999"/>
    <n v="4528.5"/>
    <n v="600.05999999999995"/>
    <n v="240"/>
    <n v="56758.2"/>
    <n v="28.25"/>
    <n v="800"/>
  </r>
  <r>
    <s v="800_0.4_0.5_500_3.0_order_5"/>
    <x v="2"/>
    <n v="0.4"/>
    <n v="0.5"/>
    <n v="500"/>
    <n v="3"/>
    <n v="5"/>
    <x v="0"/>
    <n v="75341"/>
    <n v="31353.200000000001"/>
    <n v="43987.8"/>
    <n v="240"/>
    <n v="600.01"/>
    <n v="20356.5"/>
    <n v="28326.400000000001"/>
    <n v="48682.9"/>
    <n v="3476.2"/>
    <n v="1372"/>
    <n v="4848.2"/>
    <n v="28.95"/>
    <n v="0.04"/>
    <n v="1355.5"/>
    <n v="4831.7"/>
    <n v="600.04999999999995"/>
    <n v="240"/>
    <n v="53514.6"/>
    <n v="28.97"/>
    <n v="800"/>
  </r>
  <r>
    <s v="8000_0.2_0.5_1000_1.0_order_1"/>
    <x v="3"/>
    <n v="0.2"/>
    <n v="0.5"/>
    <n v="1000"/>
    <n v="1"/>
    <n v="1"/>
    <x v="0"/>
    <n v="284028.3"/>
    <n v="113604.7"/>
    <n v="170423.6"/>
    <n v="2400"/>
    <n v="600"/>
    <n v="53583.7"/>
    <n v="80602.3"/>
    <n v="134186"/>
    <n v="87481.7"/>
    <n v="11168.9"/>
    <n v="98650.6"/>
    <n v="18.02"/>
    <n v="0.3"/>
    <n v="10287.299999999999"/>
    <n v="97769"/>
    <n v="600.29999999999995"/>
    <n v="2400"/>
    <n v="231955"/>
    <n v="18.329999999999998"/>
    <n v="8000"/>
  </r>
  <r>
    <s v="8000_0.2_0.5_1000_1.0_order_2"/>
    <x v="3"/>
    <n v="0.2"/>
    <n v="0.5"/>
    <n v="1000"/>
    <n v="1"/>
    <n v="2"/>
    <x v="0"/>
    <n v="287896"/>
    <n v="114328.4"/>
    <n v="173567.6"/>
    <n v="2400"/>
    <n v="600.01"/>
    <n v="54832.4"/>
    <n v="84241.1"/>
    <n v="139073.5"/>
    <n v="84248.5"/>
    <n v="11863.6"/>
    <n v="96112.1"/>
    <n v="18.309999999999999"/>
    <n v="0.44"/>
    <n v="10902.2"/>
    <n v="95150.7"/>
    <n v="600.44000000000005"/>
    <n v="2400"/>
    <n v="234224.2"/>
    <n v="18.64"/>
    <n v="8000"/>
  </r>
  <r>
    <s v="8000_0.2_0.5_1000_1.0_order_3"/>
    <x v="3"/>
    <n v="0.2"/>
    <n v="0.5"/>
    <n v="1000"/>
    <n v="1"/>
    <n v="3"/>
    <x v="0"/>
    <n v="300995"/>
    <n v="115406.7"/>
    <n v="185588.3"/>
    <n v="2400"/>
    <n v="600.01"/>
    <n v="57183.9"/>
    <n v="89007.7"/>
    <n v="146191.6"/>
    <n v="83471.899999999994"/>
    <n v="11366.8"/>
    <n v="94838.7"/>
    <n v="19.920000000000002"/>
    <n v="0.39"/>
    <n v="10291.299999999999"/>
    <n v="93763.199999999997"/>
    <n v="600.4"/>
    <n v="2399"/>
    <n v="239954.8"/>
    <n v="20.28"/>
    <n v="8000"/>
  </r>
  <r>
    <s v="8000_0.2_0.5_1000_1.0_order_4"/>
    <x v="3"/>
    <n v="0.2"/>
    <n v="0.5"/>
    <n v="1000"/>
    <n v="1"/>
    <n v="4"/>
    <x v="0"/>
    <n v="281856.2"/>
    <n v="115121.2"/>
    <n v="166735"/>
    <n v="2400"/>
    <n v="600.02"/>
    <n v="53693.1"/>
    <n v="79778.600000000006"/>
    <n v="133471.70000000001"/>
    <n v="87317.7"/>
    <n v="11756.9"/>
    <n v="99074.6"/>
    <n v="17.489999999999998"/>
    <n v="0.48"/>
    <n v="10830.4"/>
    <n v="98148.1"/>
    <n v="600.5"/>
    <n v="2400"/>
    <n v="231619.8"/>
    <n v="17.82"/>
    <n v="8000"/>
  </r>
  <r>
    <s v="8000_0.2_0.5_1000_1.0_order_5"/>
    <x v="3"/>
    <n v="0.2"/>
    <n v="0.5"/>
    <n v="1000"/>
    <n v="1"/>
    <n v="5"/>
    <x v="0"/>
    <n v="290451.90000000002"/>
    <n v="115475.8"/>
    <n v="174976.1"/>
    <n v="2400"/>
    <n v="600"/>
    <n v="55461.4"/>
    <n v="84809.3"/>
    <n v="140270.70000000001"/>
    <n v="86015.5"/>
    <n v="11137.2"/>
    <n v="97152.7"/>
    <n v="18.260000000000002"/>
    <n v="0.33"/>
    <n v="10064.1"/>
    <n v="96079.6"/>
    <n v="600.33000000000004"/>
    <n v="2400"/>
    <n v="236350.3"/>
    <n v="18.63"/>
    <n v="8000"/>
  </r>
  <r>
    <s v="8000_0.2_0.5_1000_2.0_order_1"/>
    <x v="3"/>
    <n v="0.2"/>
    <n v="0.5"/>
    <n v="1000"/>
    <n v="2"/>
    <n v="1"/>
    <x v="0"/>
    <n v="451665.2"/>
    <n v="173512.3"/>
    <n v="278152.90000000002"/>
    <n v="2400"/>
    <n v="600.01"/>
    <n v="90146.3"/>
    <n v="136718.79999999999"/>
    <n v="226865.1"/>
    <n v="88092.9"/>
    <n v="14952.7"/>
    <n v="103045.6"/>
    <n v="26.96"/>
    <n v="0.65"/>
    <n v="12893.8"/>
    <n v="100986.7"/>
    <n v="600.66"/>
    <n v="2400"/>
    <n v="327851.8"/>
    <n v="27.41"/>
    <n v="8000"/>
  </r>
  <r>
    <s v="8000_0.2_0.5_1000_2.0_order_2"/>
    <x v="3"/>
    <n v="0.2"/>
    <n v="0.5"/>
    <n v="1000"/>
    <n v="2"/>
    <n v="2"/>
    <x v="0"/>
    <n v="440100.8"/>
    <n v="164654.6"/>
    <n v="275446.2"/>
    <n v="2400"/>
    <n v="600"/>
    <n v="85760.6"/>
    <n v="133874.9"/>
    <n v="219635.5"/>
    <n v="87581.9"/>
    <n v="14220.5"/>
    <n v="101802.4"/>
    <n v="26.96"/>
    <n v="0.61"/>
    <n v="12110.5"/>
    <n v="99692.4"/>
    <n v="600.61"/>
    <n v="2400"/>
    <n v="319327.90000000002"/>
    <n v="27.44"/>
    <n v="8000"/>
  </r>
  <r>
    <s v="8000_0.2_0.5_1000_2.0_order_3"/>
    <x v="3"/>
    <n v="0.2"/>
    <n v="0.5"/>
    <n v="1000"/>
    <n v="2"/>
    <n v="3"/>
    <x v="0"/>
    <n v="437246.5"/>
    <n v="162976.70000000001"/>
    <n v="274269.8"/>
    <n v="2400"/>
    <n v="600.01"/>
    <n v="84373.2"/>
    <n v="137055.9"/>
    <n v="221429.1"/>
    <n v="88815.6"/>
    <n v="14546.9"/>
    <n v="103362.5"/>
    <n v="25.72"/>
    <n v="0.5"/>
    <n v="12485.6"/>
    <n v="101301.2"/>
    <n v="600.51"/>
    <n v="2400"/>
    <n v="322730.3"/>
    <n v="26.19"/>
    <n v="8000"/>
  </r>
  <r>
    <s v="8000_0.2_0.5_1000_2.0_order_4"/>
    <x v="3"/>
    <n v="0.2"/>
    <n v="0.5"/>
    <n v="1000"/>
    <n v="2"/>
    <n v="4"/>
    <x v="0"/>
    <n v="456550.1"/>
    <n v="164153.29999999999"/>
    <n v="292396.79999999999"/>
    <n v="2400"/>
    <n v="600.04"/>
    <n v="84145.7"/>
    <n v="145340.4"/>
    <n v="229486.1"/>
    <n v="88955.5"/>
    <n v="15567"/>
    <n v="104522.5"/>
    <n v="26.84"/>
    <n v="0.68"/>
    <n v="13731.1"/>
    <n v="102686.6"/>
    <n v="600.72"/>
    <n v="2400"/>
    <n v="332172.7"/>
    <n v="27.24"/>
    <n v="8000"/>
  </r>
  <r>
    <s v="8000_0.2_0.5_1000_2.0_order_5"/>
    <x v="3"/>
    <n v="0.2"/>
    <n v="0.5"/>
    <n v="1000"/>
    <n v="2"/>
    <n v="5"/>
    <x v="0"/>
    <n v="457523.20000000001"/>
    <n v="176183.7"/>
    <n v="281339.5"/>
    <n v="2400"/>
    <n v="600"/>
    <n v="89025.7"/>
    <n v="137977.4"/>
    <n v="227003.1"/>
    <n v="89576.2"/>
    <n v="16428.400000000001"/>
    <n v="106004.6"/>
    <n v="27.22"/>
    <n v="0.38"/>
    <n v="14074.8"/>
    <n v="103651"/>
    <n v="600.39"/>
    <n v="2400"/>
    <n v="330654.09999999998"/>
    <n v="27.73"/>
    <n v="8000"/>
  </r>
  <r>
    <s v="8000_0.2_0.5_1000_3.0_order_1"/>
    <x v="3"/>
    <n v="0.2"/>
    <n v="0.5"/>
    <n v="1000"/>
    <n v="3"/>
    <n v="1"/>
    <x v="0"/>
    <n v="593161.5"/>
    <n v="215760"/>
    <n v="377401.5"/>
    <n v="2400"/>
    <n v="600.02"/>
    <n v="116007"/>
    <n v="202340.2"/>
    <n v="318347.2"/>
    <n v="90072.2"/>
    <n v="18020.400000000001"/>
    <n v="108092.6"/>
    <n v="28.11"/>
    <n v="0.82"/>
    <n v="15743.2"/>
    <n v="105815.4"/>
    <n v="600.84"/>
    <n v="2400"/>
    <n v="424162.6"/>
    <n v="28.49"/>
    <n v="8000"/>
  </r>
  <r>
    <s v="8000_0.2_0.5_1000_3.0_order_2"/>
    <x v="3"/>
    <n v="0.2"/>
    <n v="0.5"/>
    <n v="1000"/>
    <n v="3"/>
    <n v="2"/>
    <x v="0"/>
    <n v="597665.69999999995"/>
    <n v="223856.5"/>
    <n v="373809.2"/>
    <n v="2400"/>
    <n v="600"/>
    <n v="120927.5"/>
    <n v="198355.8"/>
    <n v="319283.3"/>
    <n v="90908.800000000003"/>
    <n v="17903.400000000001"/>
    <n v="108812.2"/>
    <n v="28.37"/>
    <n v="0.77"/>
    <n v="15471.8"/>
    <n v="106380.6"/>
    <n v="600.77"/>
    <n v="2400"/>
    <n v="425663.9"/>
    <n v="28.78"/>
    <n v="8000"/>
  </r>
  <r>
    <s v="8000_0.2_0.5_1000_3.0_order_3"/>
    <x v="3"/>
    <n v="0.2"/>
    <n v="0.5"/>
    <n v="1000"/>
    <n v="3"/>
    <n v="3"/>
    <x v="0"/>
    <n v="583722.1"/>
    <n v="223799"/>
    <n v="359923.1"/>
    <n v="2400"/>
    <n v="600.03"/>
    <n v="118157.1"/>
    <n v="187644.4"/>
    <n v="305801.5"/>
    <n v="89794.4"/>
    <n v="16735.3"/>
    <n v="106529.7"/>
    <n v="29.36"/>
    <n v="0.64"/>
    <n v="14339.4"/>
    <n v="104133.8"/>
    <n v="600.67999999999995"/>
    <n v="2400"/>
    <n v="409935.3"/>
    <n v="29.77"/>
    <n v="8000"/>
  </r>
  <r>
    <s v="8000_0.2_0.5_1000_3.0_order_4"/>
    <x v="3"/>
    <n v="0.2"/>
    <n v="0.5"/>
    <n v="1000"/>
    <n v="3"/>
    <n v="4"/>
    <x v="0"/>
    <n v="587036.19999999995"/>
    <n v="229321.60000000001"/>
    <n v="357714.6"/>
    <n v="2400"/>
    <n v="600.02"/>
    <n v="119533.2"/>
    <n v="191451.6"/>
    <n v="310984.8"/>
    <n v="88172.7"/>
    <n v="17207.7"/>
    <n v="105380.4"/>
    <n v="29.07"/>
    <n v="0.75"/>
    <n v="14953.8"/>
    <n v="103126.5"/>
    <n v="600.77"/>
    <n v="2400"/>
    <n v="414111.3"/>
    <n v="29.46"/>
    <n v="8000"/>
  </r>
  <r>
    <s v="8000_0.2_0.5_1000_3.0_order_5"/>
    <x v="3"/>
    <n v="0.2"/>
    <n v="0.5"/>
    <n v="1000"/>
    <n v="3"/>
    <n v="5"/>
    <x v="0"/>
    <n v="592275.9"/>
    <n v="226754.8"/>
    <n v="365521.1"/>
    <n v="2400"/>
    <n v="600.01"/>
    <n v="121119.2"/>
    <n v="190603.8"/>
    <n v="311723"/>
    <n v="91670.7"/>
    <n v="18523.599999999999"/>
    <n v="110194.3"/>
    <n v="28.76"/>
    <n v="0.75"/>
    <n v="16119.3"/>
    <n v="107790"/>
    <n v="600.76"/>
    <n v="2400"/>
    <n v="419513"/>
    <n v="29.17"/>
    <n v="8000"/>
  </r>
  <r>
    <s v="8000_0.2_0.5_2000_1.0_order_1"/>
    <x v="3"/>
    <n v="0.2"/>
    <n v="0.5"/>
    <n v="2000"/>
    <n v="1"/>
    <n v="1"/>
    <x v="0"/>
    <n v="572946.6"/>
    <n v="225821.5"/>
    <n v="347125.1"/>
    <n v="2400"/>
    <n v="600"/>
    <n v="119318.7"/>
    <n v="178728.5"/>
    <n v="298047.2"/>
    <n v="103377.1"/>
    <n v="20010.400000000001"/>
    <n v="123387.5"/>
    <n v="26.44"/>
    <n v="0.44"/>
    <n v="18914"/>
    <n v="122291.1"/>
    <n v="600.44000000000005"/>
    <n v="2400"/>
    <n v="420338.3"/>
    <n v="26.64"/>
    <n v="8000"/>
  </r>
  <r>
    <s v="8000_0.2_0.5_2000_1.0_order_2"/>
    <x v="3"/>
    <n v="0.2"/>
    <n v="0.5"/>
    <n v="2000"/>
    <n v="1"/>
    <n v="2"/>
    <x v="0"/>
    <n v="581428.4"/>
    <n v="226042.1"/>
    <n v="355386.3"/>
    <n v="2400"/>
    <n v="600"/>
    <n v="123867"/>
    <n v="186219"/>
    <n v="310086"/>
    <n v="103447"/>
    <n v="19005.5"/>
    <n v="122452.5"/>
    <n v="25.61"/>
    <n v="0.51"/>
    <n v="18001.400000000001"/>
    <n v="121448.4"/>
    <n v="600.51"/>
    <n v="2400"/>
    <n v="431534.4"/>
    <n v="25.78"/>
    <n v="8000"/>
  </r>
  <r>
    <s v="8000_0.2_0.5_2000_1.0_order_3"/>
    <x v="3"/>
    <n v="0.2"/>
    <n v="0.5"/>
    <n v="2000"/>
    <n v="1"/>
    <n v="3"/>
    <x v="0"/>
    <n v="579172.6"/>
    <n v="229614.6"/>
    <n v="349558"/>
    <n v="2400"/>
    <n v="600.02"/>
    <n v="122972.4"/>
    <n v="182931.7"/>
    <n v="305904.09999999998"/>
    <n v="102517.4"/>
    <n v="20519.7"/>
    <n v="123037.1"/>
    <n v="25.94"/>
    <n v="0.5"/>
    <n v="19659.7"/>
    <n v="122177.1"/>
    <n v="600.52"/>
    <n v="2400"/>
    <n v="428081.2"/>
    <n v="26.09"/>
    <n v="8000"/>
  </r>
  <r>
    <s v="8000_0.2_0.5_2000_1.0_order_4"/>
    <x v="3"/>
    <n v="0.2"/>
    <n v="0.5"/>
    <n v="2000"/>
    <n v="1"/>
    <n v="4"/>
    <x v="0"/>
    <n v="566645.6"/>
    <n v="222393.3"/>
    <n v="344252.3"/>
    <n v="2400"/>
    <n v="600.05999999999995"/>
    <n v="120720.1"/>
    <n v="179883.9"/>
    <n v="300604"/>
    <n v="104208.7"/>
    <n v="20816.400000000001"/>
    <n v="125025.1"/>
    <n v="24.89"/>
    <n v="0.6"/>
    <n v="19710.599999999999"/>
    <n v="123919.3"/>
    <n v="600.66999999999996"/>
    <n v="2400"/>
    <n v="424523.3"/>
    <n v="25.08"/>
    <n v="8000"/>
  </r>
  <r>
    <s v="8000_0.2_0.5_2000_1.0_order_5"/>
    <x v="3"/>
    <n v="0.2"/>
    <n v="0.5"/>
    <n v="2000"/>
    <n v="1"/>
    <n v="5"/>
    <x v="0"/>
    <n v="577946.30000000005"/>
    <n v="226808.2"/>
    <n v="351138.1"/>
    <n v="2400"/>
    <n v="600.01"/>
    <n v="125902.1"/>
    <n v="184887.5"/>
    <n v="310789.59999999998"/>
    <n v="101545.8"/>
    <n v="19644.599999999999"/>
    <n v="121190.39999999999"/>
    <n v="25.26"/>
    <n v="0.45"/>
    <n v="18438.7"/>
    <n v="119984.5"/>
    <n v="600.46"/>
    <n v="2400"/>
    <n v="430774.1"/>
    <n v="25.46"/>
    <n v="8000"/>
  </r>
  <r>
    <s v="8000_0.2_0.5_2000_2.0_order_1"/>
    <x v="3"/>
    <n v="0.2"/>
    <n v="0.5"/>
    <n v="2000"/>
    <n v="2"/>
    <n v="1"/>
    <x v="0"/>
    <n v="886233.1"/>
    <n v="345610.9"/>
    <n v="540622.19999999995"/>
    <n v="2400"/>
    <n v="600.03"/>
    <n v="199362.7"/>
    <n v="303493.40000000002"/>
    <n v="502856.1"/>
    <n v="99108.4"/>
    <n v="23425"/>
    <n v="122533.4"/>
    <n v="29.43"/>
    <n v="0.9"/>
    <n v="20823.2"/>
    <n v="119931.6"/>
    <n v="600.92999999999995"/>
    <n v="2400"/>
    <n v="622787.69999999995"/>
    <n v="29.73"/>
    <n v="8000"/>
  </r>
  <r>
    <s v="8000_0.2_0.5_2000_2.0_order_2"/>
    <x v="3"/>
    <n v="0.2"/>
    <n v="0.5"/>
    <n v="2000"/>
    <n v="2"/>
    <n v="2"/>
    <x v="0"/>
    <n v="892256.8"/>
    <n v="337135.3"/>
    <n v="555121.5"/>
    <n v="2400"/>
    <n v="600.02"/>
    <n v="195483.3"/>
    <n v="311904.7"/>
    <n v="507388"/>
    <n v="99808.5"/>
    <n v="23517.8"/>
    <n v="123326.3"/>
    <n v="29.31"/>
    <n v="0.94"/>
    <n v="20509.7"/>
    <n v="120318.2"/>
    <n v="600.96"/>
    <n v="2400"/>
    <n v="627706.19999999995"/>
    <n v="29.65"/>
    <n v="8000"/>
  </r>
  <r>
    <s v="8000_0.2_0.5_2000_2.0_order_3"/>
    <x v="3"/>
    <n v="0.2"/>
    <n v="0.5"/>
    <n v="2000"/>
    <n v="2"/>
    <n v="3"/>
    <x v="0"/>
    <n v="915025.1"/>
    <n v="344856.5"/>
    <n v="570168.6"/>
    <n v="2400"/>
    <n v="600.02"/>
    <n v="196057.8"/>
    <n v="317781.8"/>
    <n v="513839.6"/>
    <n v="100032.2"/>
    <n v="23639.599999999999"/>
    <n v="123671.8"/>
    <n v="30.33"/>
    <n v="0.92"/>
    <n v="21000.6"/>
    <n v="121032.8"/>
    <n v="600.94000000000005"/>
    <n v="2400"/>
    <n v="634872.4"/>
    <n v="30.62"/>
    <n v="8000"/>
  </r>
  <r>
    <s v="8000_0.2_0.5_2000_2.0_order_4"/>
    <x v="3"/>
    <n v="0.2"/>
    <n v="0.5"/>
    <n v="2000"/>
    <n v="2"/>
    <n v="4"/>
    <x v="0"/>
    <n v="904841.1"/>
    <n v="328939.59999999998"/>
    <n v="575901.5"/>
    <n v="2400"/>
    <n v="600.03"/>
    <n v="192358.39999999999"/>
    <n v="323741.8"/>
    <n v="516100.2"/>
    <n v="99026.8"/>
    <n v="23904.799999999999"/>
    <n v="122931.6"/>
    <n v="29.38"/>
    <n v="0.83"/>
    <n v="20905.099999999999"/>
    <n v="119931.9"/>
    <n v="600.86"/>
    <n v="2400"/>
    <n v="636032.1"/>
    <n v="29.71"/>
    <n v="8000"/>
  </r>
  <r>
    <s v="8000_0.2_0.5_2000_2.0_order_5"/>
    <x v="3"/>
    <n v="0.2"/>
    <n v="0.5"/>
    <n v="2000"/>
    <n v="2"/>
    <n v="5"/>
    <x v="0"/>
    <n v="914600.1"/>
    <n v="350446.2"/>
    <n v="564153.9"/>
    <n v="2400"/>
    <n v="600.02"/>
    <n v="208097.1"/>
    <n v="316880.40000000002"/>
    <n v="524977.5"/>
    <n v="99125.9"/>
    <n v="22211.5"/>
    <n v="121337.4"/>
    <n v="29.33"/>
    <n v="0.74"/>
    <n v="19912.400000000001"/>
    <n v="119038.3"/>
    <n v="600.75"/>
    <n v="2400"/>
    <n v="644015.80000000005"/>
    <n v="29.58"/>
    <n v="8000"/>
  </r>
  <r>
    <s v="8000_0.2_0.5_2000_3.0_order_1"/>
    <x v="3"/>
    <n v="0.2"/>
    <n v="0.5"/>
    <n v="2000"/>
    <n v="3"/>
    <n v="1"/>
    <x v="0"/>
    <n v="1177757.2"/>
    <n v="449352.6"/>
    <n v="728404.6"/>
    <n v="2400"/>
    <n v="600.01"/>
    <n v="271653"/>
    <n v="439746.6"/>
    <n v="711399.6"/>
    <n v="95737.5"/>
    <n v="24822"/>
    <n v="120559.5"/>
    <n v="29.36"/>
    <n v="1.17"/>
    <n v="21769.3"/>
    <n v="117506.8"/>
    <n v="601.17999999999995"/>
    <n v="2400"/>
    <n v="828906.4"/>
    <n v="29.62"/>
    <n v="8000"/>
  </r>
  <r>
    <s v="8000_0.2_0.5_2000_3.0_order_2"/>
    <x v="3"/>
    <n v="0.2"/>
    <n v="0.5"/>
    <n v="2000"/>
    <n v="3"/>
    <n v="2"/>
    <x v="0"/>
    <n v="1164215.3999999999"/>
    <n v="455176.9"/>
    <n v="709038.5"/>
    <n v="2400"/>
    <n v="600.02"/>
    <n v="274857.8"/>
    <n v="424239.4"/>
    <n v="699097.2"/>
    <n v="96947.8"/>
    <n v="24817.200000000001"/>
    <n v="121765"/>
    <n v="29.49"/>
    <n v="0.92"/>
    <n v="21013.3"/>
    <n v="117961.1"/>
    <n v="600.94000000000005"/>
    <n v="2399"/>
    <n v="817058.3"/>
    <n v="29.82"/>
    <n v="8000"/>
  </r>
  <r>
    <s v="8000_0.2_0.5_2000_3.0_order_3"/>
    <x v="3"/>
    <n v="0.2"/>
    <n v="0.5"/>
    <n v="2000"/>
    <n v="3"/>
    <n v="3"/>
    <x v="0"/>
    <n v="1186733.8999999999"/>
    <n v="435508.8"/>
    <n v="751225.1"/>
    <n v="2400"/>
    <n v="600.04"/>
    <n v="260855.9"/>
    <n v="442094.9"/>
    <n v="702950.8"/>
    <n v="98261.4"/>
    <n v="24920.2"/>
    <n v="123181.6"/>
    <n v="30.39"/>
    <n v="1.1000000000000001"/>
    <n v="21218"/>
    <n v="119479.4"/>
    <n v="601.13"/>
    <n v="2400"/>
    <n v="822430.2"/>
    <n v="30.7"/>
    <n v="8000"/>
  </r>
  <r>
    <s v="8000_0.2_0.5_2000_3.0_order_4"/>
    <x v="3"/>
    <n v="0.2"/>
    <n v="0.5"/>
    <n v="2000"/>
    <n v="3"/>
    <n v="4"/>
    <x v="0"/>
    <n v="1163514.6000000001"/>
    <n v="442546.5"/>
    <n v="720968.1"/>
    <n v="2400"/>
    <n v="600.04999999999995"/>
    <n v="269395.8"/>
    <n v="433661.4"/>
    <n v="703057.2"/>
    <n v="95975.9"/>
    <n v="24122.3"/>
    <n v="120098.2"/>
    <n v="29.25"/>
    <n v="1.1399999999999999"/>
    <n v="20891.400000000001"/>
    <n v="116867.3"/>
    <n v="601.19000000000005"/>
    <n v="2400"/>
    <n v="819924.5"/>
    <n v="29.53"/>
    <n v="8000"/>
  </r>
  <r>
    <s v="8000_0.2_0.5_2000_3.0_order_5"/>
    <x v="3"/>
    <n v="0.2"/>
    <n v="0.5"/>
    <n v="2000"/>
    <n v="3"/>
    <n v="5"/>
    <x v="0"/>
    <n v="1171444.5"/>
    <n v="445181.7"/>
    <n v="726262.8"/>
    <n v="2400"/>
    <n v="600.02"/>
    <n v="269003"/>
    <n v="437485.8"/>
    <n v="706488.8"/>
    <n v="96441"/>
    <n v="24818.5"/>
    <n v="121259.5"/>
    <n v="29.34"/>
    <n v="0.54"/>
    <n v="21078.2"/>
    <n v="117519.2"/>
    <n v="600.55999999999995"/>
    <n v="2399"/>
    <n v="824008"/>
    <n v="29.66"/>
    <n v="8000"/>
  </r>
  <r>
    <s v="8000_0.2_0.5_500_1.0_order_1"/>
    <x v="3"/>
    <n v="0.2"/>
    <n v="0.5"/>
    <n v="500"/>
    <n v="1"/>
    <n v="1"/>
    <x v="0"/>
    <n v="147087"/>
    <n v="56509.5"/>
    <n v="90577.5"/>
    <n v="2400"/>
    <n v="600.01"/>
    <n v="20268.400000000001"/>
    <n v="35895.9"/>
    <n v="56164.3"/>
    <n v="78678.3"/>
    <n v="8048.7"/>
    <n v="86727"/>
    <n v="2.85"/>
    <n v="0.31"/>
    <n v="6713.5"/>
    <n v="85391.8"/>
    <n v="600.32000000000005"/>
    <n v="2400"/>
    <n v="141556.1"/>
    <n v="3.76"/>
    <n v="8000"/>
  </r>
  <r>
    <s v="8000_0.2_0.5_500_1.0_order_2"/>
    <x v="3"/>
    <n v="0.2"/>
    <n v="0.5"/>
    <n v="500"/>
    <n v="1"/>
    <n v="2"/>
    <x v="0"/>
    <n v="140233.70000000001"/>
    <n v="55542.9"/>
    <n v="84690.8"/>
    <n v="2400"/>
    <n v="600.02"/>
    <n v="19716"/>
    <n v="33328.199999999997"/>
    <n v="53044.2"/>
    <n v="79401.100000000006"/>
    <n v="8425.9"/>
    <n v="87827"/>
    <n v="-0.45"/>
    <n v="0.35"/>
    <n v="7411.3"/>
    <n v="86812.4"/>
    <n v="600.37"/>
    <n v="2400"/>
    <n v="139856.6"/>
    <n v="0.27"/>
    <n v="8000"/>
  </r>
  <r>
    <s v="8000_0.2_0.5_500_1.0_order_3"/>
    <x v="3"/>
    <n v="0.2"/>
    <n v="0.5"/>
    <n v="500"/>
    <n v="1"/>
    <n v="3"/>
    <x v="0"/>
    <n v="140525.6"/>
    <n v="54367.5"/>
    <n v="86158.1"/>
    <n v="2400"/>
    <n v="600.01"/>
    <n v="19465.400000000001"/>
    <n v="33892.5"/>
    <n v="53357.9"/>
    <n v="77974.600000000006"/>
    <n v="8465.2999999999993"/>
    <n v="86439.9"/>
    <n v="0.52"/>
    <n v="0.28999999999999998"/>
    <n v="7496.9"/>
    <n v="85471.5"/>
    <n v="600.29999999999995"/>
    <n v="2399"/>
    <n v="138829.4"/>
    <n v="1.21"/>
    <n v="8000"/>
  </r>
  <r>
    <s v="8000_0.2_0.5_500_1.0_order_4"/>
    <x v="3"/>
    <n v="0.2"/>
    <n v="0.5"/>
    <n v="500"/>
    <n v="1"/>
    <n v="4"/>
    <x v="0"/>
    <n v="151849.20000000001"/>
    <n v="56962.9"/>
    <n v="94886.3"/>
    <n v="2400"/>
    <n v="600.02"/>
    <n v="21211.5"/>
    <n v="36529.800000000003"/>
    <n v="57741.3"/>
    <n v="77861.8"/>
    <n v="8329"/>
    <n v="86190.8"/>
    <n v="5.21"/>
    <n v="0.26"/>
    <n v="7289.2"/>
    <n v="85151"/>
    <n v="600.28"/>
    <n v="2400"/>
    <n v="142892.29999999999"/>
    <n v="5.9"/>
    <n v="8000"/>
  </r>
  <r>
    <s v="8000_0.2_0.5_500_1.0_order_5"/>
    <x v="3"/>
    <n v="0.2"/>
    <n v="0.5"/>
    <n v="500"/>
    <n v="1"/>
    <n v="5"/>
    <x v="0"/>
    <n v="148628.79999999999"/>
    <n v="57255.199999999997"/>
    <n v="91373.6"/>
    <n v="2400"/>
    <n v="600.01"/>
    <n v="21093.200000000001"/>
    <n v="35568.400000000001"/>
    <n v="56661.599999999999"/>
    <n v="77606.5"/>
    <n v="8335.2999999999993"/>
    <n v="85941.8"/>
    <n v="4.05"/>
    <n v="0.28000000000000003"/>
    <n v="7280"/>
    <n v="84886.5"/>
    <n v="600.29"/>
    <n v="2400"/>
    <n v="141548.1"/>
    <n v="4.76"/>
    <n v="8000"/>
  </r>
  <r>
    <s v="8000_0.2_0.5_500_2.0_order_1"/>
    <x v="3"/>
    <n v="0.2"/>
    <n v="0.5"/>
    <n v="500"/>
    <n v="2"/>
    <n v="1"/>
    <x v="0"/>
    <n v="229302.1"/>
    <n v="94901.2"/>
    <n v="134400.9"/>
    <n v="2400"/>
    <n v="600.02"/>
    <n v="42082.5"/>
    <n v="60658.1"/>
    <n v="102740.6"/>
    <n v="75468.800000000003"/>
    <n v="7843.3"/>
    <n v="83312.100000000006"/>
    <n v="18.86"/>
    <n v="0.43"/>
    <n v="6235.6"/>
    <n v="81704.399999999994"/>
    <n v="600.45000000000005"/>
    <n v="2400"/>
    <n v="184445"/>
    <n v="19.559999999999999"/>
    <n v="8000"/>
  </r>
  <r>
    <s v="8000_0.2_0.5_500_2.0_order_2"/>
    <x v="3"/>
    <n v="0.2"/>
    <n v="0.5"/>
    <n v="500"/>
    <n v="2"/>
    <n v="2"/>
    <x v="0"/>
    <n v="226447.5"/>
    <n v="92815.2"/>
    <n v="133632.29999999999"/>
    <n v="2400"/>
    <n v="600.03"/>
    <n v="41104.6"/>
    <n v="59167.9"/>
    <n v="100272.5"/>
    <n v="76875.8"/>
    <n v="8506.2000000000007"/>
    <n v="85382"/>
    <n v="18.010000000000002"/>
    <n v="0.4"/>
    <n v="7039.5"/>
    <n v="83915.3"/>
    <n v="600.42999999999995"/>
    <n v="2400"/>
    <n v="184187.8"/>
    <n v="18.66"/>
    <n v="8000"/>
  </r>
  <r>
    <s v="8000_0.2_0.5_500_2.0_order_3"/>
    <x v="3"/>
    <n v="0.2"/>
    <n v="0.5"/>
    <n v="500"/>
    <n v="2"/>
    <n v="3"/>
    <x v="0"/>
    <n v="222263.2"/>
    <n v="93658.5"/>
    <n v="128604.7"/>
    <n v="2400"/>
    <n v="600.01"/>
    <n v="42030.5"/>
    <n v="59094.3"/>
    <n v="101124.8"/>
    <n v="76584.3"/>
    <n v="8802.9"/>
    <n v="85387.199999999997"/>
    <n v="16.09"/>
    <n v="0.39"/>
    <n v="7403.3"/>
    <n v="83987.6"/>
    <n v="600.4"/>
    <n v="2400"/>
    <n v="185112.4"/>
    <n v="16.71"/>
    <n v="8000"/>
  </r>
  <r>
    <s v="8000_0.2_0.5_500_2.0_order_4"/>
    <x v="3"/>
    <n v="0.2"/>
    <n v="0.5"/>
    <n v="500"/>
    <n v="2"/>
    <n v="4"/>
    <x v="0"/>
    <n v="229297.3"/>
    <n v="84967.3"/>
    <n v="144330"/>
    <n v="2400"/>
    <n v="600.03"/>
    <n v="38780.300000000003"/>
    <n v="64961"/>
    <n v="103741.3"/>
    <n v="76167.7"/>
    <n v="8886.2000000000007"/>
    <n v="85053.9"/>
    <n v="17.66"/>
    <n v="0.48"/>
    <n v="7427"/>
    <n v="83594.7"/>
    <n v="600.51"/>
    <n v="2400"/>
    <n v="187336"/>
    <n v="18.3"/>
    <n v="8000"/>
  </r>
  <r>
    <s v="8000_0.2_0.5_500_2.0_order_5"/>
    <x v="3"/>
    <n v="0.2"/>
    <n v="0.5"/>
    <n v="500"/>
    <n v="2"/>
    <n v="5"/>
    <x v="0"/>
    <n v="224542.5"/>
    <n v="82787.3"/>
    <n v="141755.20000000001"/>
    <n v="2400"/>
    <n v="600"/>
    <n v="38095.4"/>
    <n v="62141.3"/>
    <n v="100236.7"/>
    <n v="75803.199999999997"/>
    <n v="8360.9"/>
    <n v="84164.1"/>
    <n v="17.88"/>
    <n v="0.38"/>
    <n v="6747.2"/>
    <n v="82550.399999999994"/>
    <n v="600.38"/>
    <n v="2400"/>
    <n v="182787.1"/>
    <n v="18.600000000000001"/>
    <n v="8000"/>
  </r>
  <r>
    <s v="8000_0.2_0.5_500_3.0_order_1"/>
    <x v="3"/>
    <n v="0.2"/>
    <n v="0.5"/>
    <n v="500"/>
    <n v="3"/>
    <n v="1"/>
    <x v="0"/>
    <n v="292420.09999999998"/>
    <n v="108941.2"/>
    <n v="183478.9"/>
    <n v="2400"/>
    <n v="600.02"/>
    <n v="51954.400000000001"/>
    <n v="85311.7"/>
    <n v="137266.1"/>
    <n v="78878.899999999994"/>
    <n v="10703.5"/>
    <n v="89582.399999999994"/>
    <n v="22.42"/>
    <n v="0.46"/>
    <n v="8728.5"/>
    <n v="87607.4"/>
    <n v="600.48"/>
    <n v="2400"/>
    <n v="224873.5"/>
    <n v="23.1"/>
    <n v="8000"/>
  </r>
  <r>
    <s v="8000_0.2_0.5_500_3.0_order_2"/>
    <x v="3"/>
    <n v="0.2"/>
    <n v="0.5"/>
    <n v="500"/>
    <n v="3"/>
    <n v="2"/>
    <x v="0"/>
    <n v="282153.40000000002"/>
    <n v="107647.8"/>
    <n v="174505.60000000001"/>
    <n v="2400"/>
    <n v="600.01"/>
    <n v="51857.5"/>
    <n v="82635.600000000006"/>
    <n v="134493.1"/>
    <n v="76589.399999999994"/>
    <n v="9253.2000000000007"/>
    <n v="85842.6"/>
    <n v="21.91"/>
    <n v="0.52"/>
    <n v="7605.4"/>
    <n v="84194.8"/>
    <n v="600.53"/>
    <n v="2399"/>
    <n v="218687.9"/>
    <n v="22.49"/>
    <n v="8000"/>
  </r>
  <r>
    <s v="8000_0.2_0.5_500_3.0_order_3"/>
    <x v="3"/>
    <n v="0.2"/>
    <n v="0.5"/>
    <n v="500"/>
    <n v="3"/>
    <n v="3"/>
    <x v="0"/>
    <n v="286274.09999999998"/>
    <n v="110452.9"/>
    <n v="175821.2"/>
    <n v="2400"/>
    <n v="600"/>
    <n v="52776.800000000003"/>
    <n v="84443.3"/>
    <n v="137220.1"/>
    <n v="77397.399999999994"/>
    <n v="10035.200000000001"/>
    <n v="87432.6"/>
    <n v="21.53"/>
    <n v="0.44"/>
    <n v="8098"/>
    <n v="85495.4"/>
    <n v="600.45000000000005"/>
    <n v="2400"/>
    <n v="222715.5"/>
    <n v="22.2"/>
    <n v="8000"/>
  </r>
  <r>
    <s v="8000_0.2_0.5_500_3.0_order_4"/>
    <x v="3"/>
    <n v="0.2"/>
    <n v="0.5"/>
    <n v="500"/>
    <n v="3"/>
    <n v="4"/>
    <x v="0"/>
    <n v="295932.79999999999"/>
    <n v="120245.7"/>
    <n v="175687.1"/>
    <n v="2400"/>
    <n v="600.02"/>
    <n v="56247.3"/>
    <n v="81562.399999999994"/>
    <n v="137809.70000000001"/>
    <n v="79708.7"/>
    <n v="11169.6"/>
    <n v="90878.3"/>
    <n v="22.72"/>
    <n v="0.59"/>
    <n v="8891.6"/>
    <n v="88600.3"/>
    <n v="600.6"/>
    <n v="2400"/>
    <n v="226410"/>
    <n v="23.49"/>
    <n v="8000"/>
  </r>
  <r>
    <s v="8000_0.2_0.5_500_3.0_order_5"/>
    <x v="3"/>
    <n v="0.2"/>
    <n v="0.5"/>
    <n v="500"/>
    <n v="3"/>
    <n v="5"/>
    <x v="0"/>
    <n v="298989.2"/>
    <n v="113792.5"/>
    <n v="185196.7"/>
    <n v="2400"/>
    <n v="600.02"/>
    <n v="53690.1"/>
    <n v="87974.5"/>
    <n v="141664.6"/>
    <n v="80968.600000000006"/>
    <n v="10794"/>
    <n v="91762.6"/>
    <n v="21.93"/>
    <n v="0.49"/>
    <n v="8447"/>
    <n v="89415.6"/>
    <n v="600.51"/>
    <n v="2400"/>
    <n v="231080.2"/>
    <n v="22.71"/>
    <n v="8000"/>
  </r>
  <r>
    <s v="8000_0.3_0.5_1000_1.0_order_1"/>
    <x v="3"/>
    <n v="0.3"/>
    <n v="0.5"/>
    <n v="1000"/>
    <n v="1"/>
    <n v="1"/>
    <x v="0"/>
    <n v="286040.5"/>
    <n v="110201.1"/>
    <n v="175839.4"/>
    <n v="2400"/>
    <n v="600.04"/>
    <n v="49558.6"/>
    <n v="79737.399999999994"/>
    <n v="129296"/>
    <n v="86746.3"/>
    <n v="17237.599999999999"/>
    <n v="103983.9"/>
    <n v="18.45"/>
    <n v="0.81"/>
    <n v="16294.2"/>
    <n v="103040.5"/>
    <n v="600.85"/>
    <n v="2400"/>
    <n v="232336.5"/>
    <n v="18.77"/>
    <n v="8000"/>
  </r>
  <r>
    <s v="8000_0.3_0.5_1000_1.0_order_2"/>
    <x v="3"/>
    <n v="0.3"/>
    <n v="0.5"/>
    <n v="1000"/>
    <n v="1"/>
    <n v="2"/>
    <x v="0"/>
    <n v="292003.40000000002"/>
    <n v="110554.4"/>
    <n v="181449"/>
    <n v="2400"/>
    <n v="600.02"/>
    <n v="48587.6"/>
    <n v="83618"/>
    <n v="132205.6"/>
    <n v="87343"/>
    <n v="16963.8"/>
    <n v="104306.8"/>
    <n v="19"/>
    <n v="0.67"/>
    <n v="15614.1"/>
    <n v="102957.1"/>
    <n v="600.69000000000005"/>
    <n v="2400"/>
    <n v="235162.7"/>
    <n v="19.47"/>
    <n v="8000"/>
  </r>
  <r>
    <s v="8000_0.3_0.5_1000_1.0_order_3"/>
    <x v="3"/>
    <n v="0.3"/>
    <n v="0.5"/>
    <n v="1000"/>
    <n v="1"/>
    <n v="3"/>
    <x v="0"/>
    <n v="292940.79999999999"/>
    <n v="116162.1"/>
    <n v="176778.7"/>
    <n v="2400"/>
    <n v="600.02"/>
    <n v="53159.6"/>
    <n v="80218.100000000006"/>
    <n v="133377.70000000001"/>
    <n v="85996.800000000003"/>
    <n v="16705.099999999999"/>
    <n v="102701.9"/>
    <n v="19.41"/>
    <n v="0.8"/>
    <n v="15465.8"/>
    <n v="101462.6"/>
    <n v="600.80999999999995"/>
    <n v="2400"/>
    <n v="234840.3"/>
    <n v="19.829999999999998"/>
    <n v="8000"/>
  </r>
  <r>
    <s v="8000_0.3_0.5_1000_1.0_order_4"/>
    <x v="3"/>
    <n v="0.3"/>
    <n v="0.5"/>
    <n v="1000"/>
    <n v="1"/>
    <n v="4"/>
    <x v="0"/>
    <n v="280335.2"/>
    <n v="111676"/>
    <n v="168659.20000000001"/>
    <n v="2400"/>
    <n v="600.01"/>
    <n v="52095.199999999997"/>
    <n v="76873.100000000006"/>
    <n v="128968.3"/>
    <n v="85254.6"/>
    <n v="16865.5"/>
    <n v="102120.1"/>
    <n v="17.57"/>
    <n v="0.56999999999999995"/>
    <n v="15768.4"/>
    <n v="101023"/>
    <n v="600.57000000000005"/>
    <n v="2400"/>
    <n v="229991.3"/>
    <n v="17.96"/>
    <n v="8000"/>
  </r>
  <r>
    <s v="8000_0.3_0.5_1000_1.0_order_5"/>
    <x v="3"/>
    <n v="0.3"/>
    <n v="0.5"/>
    <n v="1000"/>
    <n v="1"/>
    <n v="5"/>
    <x v="0"/>
    <n v="286002.59999999998"/>
    <n v="115303.6"/>
    <n v="170699"/>
    <n v="2400"/>
    <n v="600"/>
    <n v="53995.6"/>
    <n v="78824.600000000006"/>
    <n v="132820.20000000001"/>
    <n v="85725.3"/>
    <n v="16354.6"/>
    <n v="102079.9"/>
    <n v="17.87"/>
    <n v="0.65"/>
    <n v="15078.6"/>
    <n v="100803.9"/>
    <n v="600.65"/>
    <n v="2400"/>
    <n v="233624.1"/>
    <n v="18.309999999999999"/>
    <n v="8000"/>
  </r>
  <r>
    <s v="8000_0.3_0.5_1000_2.0_order_1"/>
    <x v="3"/>
    <n v="0.3"/>
    <n v="0.5"/>
    <n v="1000"/>
    <n v="2"/>
    <n v="1"/>
    <x v="0"/>
    <n v="450971.9"/>
    <n v="169991.9"/>
    <n v="280980"/>
    <n v="2400"/>
    <n v="600.02"/>
    <n v="82799.600000000006"/>
    <n v="132137.20000000001"/>
    <n v="214936.8"/>
    <n v="89015"/>
    <n v="20286.2"/>
    <n v="109301.2"/>
    <n v="28.1"/>
    <n v="0.99"/>
    <n v="17663.5"/>
    <n v="106678.5"/>
    <n v="601.01"/>
    <n v="2400"/>
    <n v="321615.3"/>
    <n v="28.68"/>
    <n v="8000"/>
  </r>
  <r>
    <s v="8000_0.3_0.5_1000_2.0_order_2"/>
    <x v="3"/>
    <n v="0.3"/>
    <n v="0.5"/>
    <n v="1000"/>
    <n v="2"/>
    <n v="2"/>
    <x v="0"/>
    <n v="447112"/>
    <n v="171904"/>
    <n v="275208"/>
    <n v="2400"/>
    <n v="600.01"/>
    <n v="84653.4"/>
    <n v="129101.4"/>
    <n v="213754.8"/>
    <n v="90313.1"/>
    <n v="20517.3"/>
    <n v="110830.39999999999"/>
    <n v="27.4"/>
    <n v="1.25"/>
    <n v="17441.2"/>
    <n v="107754.3"/>
    <n v="601.26"/>
    <n v="2400"/>
    <n v="321509.09999999998"/>
    <n v="28.09"/>
    <n v="8000"/>
  </r>
  <r>
    <s v="8000_0.3_0.5_1000_2.0_order_3"/>
    <x v="3"/>
    <n v="0.3"/>
    <n v="0.5"/>
    <n v="1000"/>
    <n v="2"/>
    <n v="3"/>
    <x v="0"/>
    <n v="447008.9"/>
    <n v="167665.79999999999"/>
    <n v="279343.09999999998"/>
    <n v="2400"/>
    <n v="600.02"/>
    <n v="81408"/>
    <n v="129472.1"/>
    <n v="210880.1"/>
    <n v="91676.3"/>
    <n v="21208.6"/>
    <n v="112884.9"/>
    <n v="27.57"/>
    <n v="0.94"/>
    <n v="18091.5"/>
    <n v="109767.8"/>
    <n v="600.95000000000005"/>
    <n v="2400"/>
    <n v="320647.90000000002"/>
    <n v="28.27"/>
    <n v="8000"/>
  </r>
  <r>
    <s v="8000_0.3_0.5_1000_2.0_order_4"/>
    <x v="3"/>
    <n v="0.3"/>
    <n v="0.5"/>
    <n v="1000"/>
    <n v="2"/>
    <n v="4"/>
    <x v="0"/>
    <n v="441673.7"/>
    <n v="172616.6"/>
    <n v="269057.09999999998"/>
    <n v="2400"/>
    <n v="600"/>
    <n v="82147.399999999994"/>
    <n v="123145.9"/>
    <n v="205293.3"/>
    <n v="90194.6"/>
    <n v="21061"/>
    <n v="111255.6"/>
    <n v="28.33"/>
    <n v="0.96"/>
    <n v="18287.900000000001"/>
    <n v="108482.5"/>
    <n v="600.97"/>
    <n v="2400"/>
    <n v="313775.8"/>
    <n v="28.96"/>
    <n v="8000"/>
  </r>
  <r>
    <s v="8000_0.3_0.5_1000_2.0_order_5"/>
    <x v="3"/>
    <n v="0.3"/>
    <n v="0.5"/>
    <n v="1000"/>
    <n v="2"/>
    <n v="5"/>
    <x v="0"/>
    <n v="441622.8"/>
    <n v="175651.8"/>
    <n v="265971"/>
    <n v="2400"/>
    <n v="600"/>
    <n v="84924.800000000003"/>
    <n v="121828.2"/>
    <n v="206753"/>
    <n v="89234"/>
    <n v="21038.799999999999"/>
    <n v="110272.8"/>
    <n v="28.21"/>
    <n v="1.19"/>
    <n v="18442"/>
    <n v="107676"/>
    <n v="601.19000000000005"/>
    <n v="2400"/>
    <n v="314429"/>
    <n v="28.8"/>
    <n v="8000"/>
  </r>
  <r>
    <s v="8000_0.3_0.5_1000_3.0_order_1"/>
    <x v="3"/>
    <n v="0.3"/>
    <n v="0.5"/>
    <n v="1000"/>
    <n v="3"/>
    <n v="1"/>
    <x v="0"/>
    <n v="601966.4"/>
    <n v="222890"/>
    <n v="379076.4"/>
    <n v="2400"/>
    <n v="600.08000000000004"/>
    <n v="111205.2"/>
    <n v="184841.7"/>
    <n v="296046.90000000002"/>
    <n v="92117"/>
    <n v="25700.799999999999"/>
    <n v="117817.8"/>
    <n v="31.25"/>
    <n v="1.7"/>
    <n v="21692.6"/>
    <n v="113809.60000000001"/>
    <n v="601.77"/>
    <n v="2400"/>
    <n v="409856.5"/>
    <n v="31.91"/>
    <n v="8000"/>
  </r>
  <r>
    <s v="8000_0.3_0.5_1000_3.0_order_2"/>
    <x v="3"/>
    <n v="0.3"/>
    <n v="0.5"/>
    <n v="1000"/>
    <n v="3"/>
    <n v="2"/>
    <x v="0"/>
    <n v="565282.6"/>
    <n v="215214.2"/>
    <n v="350068.4"/>
    <n v="2400"/>
    <n v="600.01"/>
    <n v="109569.2"/>
    <n v="170935"/>
    <n v="280504.2"/>
    <n v="91271.6"/>
    <n v="25323.3"/>
    <n v="116594.9"/>
    <n v="29.75"/>
    <n v="1.63"/>
    <n v="21183.7"/>
    <n v="112455.3"/>
    <n v="601.64"/>
    <n v="2400"/>
    <n v="392959.5"/>
    <n v="30.48"/>
    <n v="8000"/>
  </r>
  <r>
    <s v="8000_0.3_0.5_1000_3.0_order_3"/>
    <x v="3"/>
    <n v="0.3"/>
    <n v="0.5"/>
    <n v="1000"/>
    <n v="3"/>
    <n v="3"/>
    <x v="0"/>
    <n v="586619.6"/>
    <n v="224384.6"/>
    <n v="362235"/>
    <n v="2400"/>
    <n v="600.02"/>
    <n v="112968.9"/>
    <n v="176998.2"/>
    <n v="289967.09999999998"/>
    <n v="90011.3"/>
    <n v="24436.799999999999"/>
    <n v="114448.1"/>
    <n v="31.06"/>
    <n v="1.7"/>
    <n v="20756.7"/>
    <n v="110768"/>
    <n v="601.72"/>
    <n v="2399"/>
    <n v="400735.1"/>
    <n v="31.69"/>
    <n v="8000"/>
  </r>
  <r>
    <s v="8000_0.3_0.5_1000_3.0_order_4"/>
    <x v="3"/>
    <n v="0.3"/>
    <n v="0.5"/>
    <n v="1000"/>
    <n v="3"/>
    <n v="4"/>
    <x v="0"/>
    <n v="588648.9"/>
    <n v="222740.3"/>
    <n v="365908.6"/>
    <n v="2400"/>
    <n v="600.01"/>
    <n v="112536.9"/>
    <n v="183214.9"/>
    <n v="295751.8"/>
    <n v="90784.2"/>
    <n v="25122.1"/>
    <n v="115906.3"/>
    <n v="30.07"/>
    <n v="1.54"/>
    <n v="21245.8"/>
    <n v="112030"/>
    <n v="601.54"/>
    <n v="2400"/>
    <n v="407781.8"/>
    <n v="30.73"/>
    <n v="8000"/>
  </r>
  <r>
    <s v="8000_0.3_0.5_1000_3.0_order_5"/>
    <x v="3"/>
    <n v="0.3"/>
    <n v="0.5"/>
    <n v="1000"/>
    <n v="3"/>
    <n v="5"/>
    <x v="0"/>
    <n v="594008.5"/>
    <n v="227482.3"/>
    <n v="366526.2"/>
    <n v="2400"/>
    <n v="600"/>
    <n v="114043.3"/>
    <n v="181354.6"/>
    <n v="295397.90000000002"/>
    <n v="91954.2"/>
    <n v="25179"/>
    <n v="117133.2"/>
    <n v="30.55"/>
    <n v="1.67"/>
    <n v="21705.8"/>
    <n v="113660"/>
    <n v="601.66999999999996"/>
    <n v="2400"/>
    <n v="409057.9"/>
    <n v="31.14"/>
    <n v="8000"/>
  </r>
  <r>
    <s v="8000_0.3_0.5_2000_1.0_order_1"/>
    <x v="3"/>
    <n v="0.3"/>
    <n v="0.5"/>
    <n v="2000"/>
    <n v="1"/>
    <n v="1"/>
    <x v="0"/>
    <n v="568393.69999999995"/>
    <n v="226327.4"/>
    <n v="342066.3"/>
    <n v="2400"/>
    <n v="600.01"/>
    <n v="116909.1"/>
    <n v="171205.8"/>
    <n v="288114.90000000002"/>
    <n v="101010.3"/>
    <n v="28887.4"/>
    <n v="129897.7"/>
    <n v="26.46"/>
    <n v="0.94"/>
    <n v="27481.200000000001"/>
    <n v="128491.5"/>
    <n v="600.95000000000005"/>
    <n v="2400"/>
    <n v="416606.4"/>
    <n v="26.7"/>
    <n v="8000"/>
  </r>
  <r>
    <s v="8000_0.3_0.5_2000_1.0_order_2"/>
    <x v="3"/>
    <n v="0.3"/>
    <n v="0.5"/>
    <n v="2000"/>
    <n v="1"/>
    <n v="2"/>
    <x v="0"/>
    <n v="563271"/>
    <n v="221108.7"/>
    <n v="342162.3"/>
    <n v="2400"/>
    <n v="600.04"/>
    <n v="115619.3"/>
    <n v="170011.9"/>
    <n v="285631.2"/>
    <n v="100399"/>
    <n v="30069.4"/>
    <n v="130468.4"/>
    <n v="26.13"/>
    <n v="1.31"/>
    <n v="28487.4"/>
    <n v="128886.39999999999"/>
    <n v="601.35"/>
    <n v="2400"/>
    <n v="414517.6"/>
    <n v="26.41"/>
    <n v="8000"/>
  </r>
  <r>
    <s v="8000_0.3_0.5_2000_1.0_order_3"/>
    <x v="3"/>
    <n v="0.3"/>
    <n v="0.5"/>
    <n v="2000"/>
    <n v="1"/>
    <n v="3"/>
    <x v="0"/>
    <n v="563771"/>
    <n v="216097"/>
    <n v="347674"/>
    <n v="2400"/>
    <n v="600.04"/>
    <n v="111023.3"/>
    <n v="172755"/>
    <n v="283778.3"/>
    <n v="103305.60000000001"/>
    <n v="30087.8"/>
    <n v="133393.4"/>
    <n v="26"/>
    <n v="1.08"/>
    <n v="28646.2"/>
    <n v="131951.79999999999"/>
    <n v="601.12"/>
    <n v="2400"/>
    <n v="415730.1"/>
    <n v="26.26"/>
    <n v="8000"/>
  </r>
  <r>
    <s v="8000_0.3_0.5_2000_1.0_order_4"/>
    <x v="3"/>
    <n v="0.3"/>
    <n v="0.5"/>
    <n v="2000"/>
    <n v="1"/>
    <n v="4"/>
    <x v="0"/>
    <n v="563641.4"/>
    <n v="223729.6"/>
    <n v="339911.8"/>
    <n v="2400"/>
    <n v="600.04999999999995"/>
    <n v="113061.2"/>
    <n v="167696.79999999999"/>
    <n v="280758"/>
    <n v="103187.9"/>
    <n v="28975.599999999999"/>
    <n v="132163.5"/>
    <n v="26.74"/>
    <n v="0.9"/>
    <n v="27993.4"/>
    <n v="131181.29999999999"/>
    <n v="600.94000000000005"/>
    <n v="2400"/>
    <n v="411939.3"/>
    <n v="26.91"/>
    <n v="8000"/>
  </r>
  <r>
    <s v="8000_0.3_0.5_2000_1.0_order_5"/>
    <x v="3"/>
    <n v="0.3"/>
    <n v="0.5"/>
    <n v="2000"/>
    <n v="1"/>
    <n v="5"/>
    <x v="0"/>
    <n v="569884.69999999995"/>
    <n v="222990.1"/>
    <n v="346894.6"/>
    <n v="2400"/>
    <n v="600.02"/>
    <n v="112381.4"/>
    <n v="172178.9"/>
    <n v="284560.3"/>
    <n v="102631.2"/>
    <n v="28984.1"/>
    <n v="131615.29999999999"/>
    <n v="26.97"/>
    <n v="0.82"/>
    <n v="27620.7"/>
    <n v="130251.9"/>
    <n v="600.84"/>
    <n v="2399"/>
    <n v="414812.2"/>
    <n v="27.21"/>
    <n v="8000"/>
  </r>
  <r>
    <s v="8000_0.3_0.5_2000_2.0_order_1"/>
    <x v="3"/>
    <n v="0.3"/>
    <n v="0.5"/>
    <n v="2000"/>
    <n v="2"/>
    <n v="1"/>
    <x v="0"/>
    <n v="889423.3"/>
    <n v="336772"/>
    <n v="552651.30000000005"/>
    <n v="2400"/>
    <n v="600.03"/>
    <n v="181742.6"/>
    <n v="285435.09999999998"/>
    <n v="467177.7"/>
    <n v="100725.4"/>
    <n v="34644.199999999997"/>
    <n v="135369.60000000001"/>
    <n v="32.25"/>
    <n v="1.7"/>
    <n v="31076.7"/>
    <n v="131802.1"/>
    <n v="601.73"/>
    <n v="2400"/>
    <n v="598979.80000000005"/>
    <n v="32.659999999999997"/>
    <n v="8000"/>
  </r>
  <r>
    <s v="8000_0.3_0.5_2000_2.0_order_2"/>
    <x v="3"/>
    <n v="0.3"/>
    <n v="0.5"/>
    <n v="2000"/>
    <n v="2"/>
    <n v="2"/>
    <x v="0"/>
    <n v="876499.4"/>
    <n v="335114.40000000002"/>
    <n v="541385"/>
    <n v="2400"/>
    <n v="600.04999999999995"/>
    <n v="183541.5"/>
    <n v="285919.59999999998"/>
    <n v="469461.1"/>
    <n v="98104.6"/>
    <n v="33533.199999999997"/>
    <n v="131637.79999999999"/>
    <n v="31.42"/>
    <n v="1.57"/>
    <n v="29898.400000000001"/>
    <n v="128003"/>
    <n v="601.62"/>
    <n v="2400"/>
    <n v="597464.1"/>
    <n v="31.84"/>
    <n v="8000"/>
  </r>
  <r>
    <s v="8000_0.3_0.5_2000_2.0_order_3"/>
    <x v="3"/>
    <n v="0.3"/>
    <n v="0.5"/>
    <n v="2000"/>
    <n v="2"/>
    <n v="3"/>
    <x v="0"/>
    <n v="929101.5"/>
    <n v="344356.1"/>
    <n v="584745.4"/>
    <n v="2400"/>
    <n v="600.02"/>
    <n v="187990"/>
    <n v="300695"/>
    <n v="488685"/>
    <n v="99862.2"/>
    <n v="34984"/>
    <n v="134846.20000000001"/>
    <n v="32.89"/>
    <n v="1.62"/>
    <n v="30709.8"/>
    <n v="130572"/>
    <n v="601.64"/>
    <n v="2400"/>
    <n v="619257"/>
    <n v="33.35"/>
    <n v="8000"/>
  </r>
  <r>
    <s v="8000_0.3_0.5_2000_2.0_order_4"/>
    <x v="3"/>
    <n v="0.3"/>
    <n v="0.5"/>
    <n v="2000"/>
    <n v="2"/>
    <n v="4"/>
    <x v="0"/>
    <n v="919221.2"/>
    <n v="344486.5"/>
    <n v="574734.69999999995"/>
    <n v="2400"/>
    <n v="600.02"/>
    <n v="187105.7"/>
    <n v="296841"/>
    <n v="483946.7"/>
    <n v="100266.7"/>
    <n v="33122.9"/>
    <n v="133389.6"/>
    <n v="32.840000000000003"/>
    <n v="1.73"/>
    <n v="29791.599999999999"/>
    <n v="130058.3"/>
    <n v="601.75"/>
    <n v="2400"/>
    <n v="614005"/>
    <n v="33.200000000000003"/>
    <n v="8000"/>
  </r>
  <r>
    <s v="8000_0.3_0.5_2000_2.0_order_5"/>
    <x v="3"/>
    <n v="0.3"/>
    <n v="0.5"/>
    <n v="2000"/>
    <n v="2"/>
    <n v="5"/>
    <x v="0"/>
    <n v="908955"/>
    <n v="343497.3"/>
    <n v="565457.69999999995"/>
    <n v="2400"/>
    <n v="600.03"/>
    <n v="188941.2"/>
    <n v="296380"/>
    <n v="485321.2"/>
    <n v="99748.800000000003"/>
    <n v="34308"/>
    <n v="134056.79999999999"/>
    <n v="31.86"/>
    <n v="1.66"/>
    <n v="30179.8"/>
    <n v="129928.6"/>
    <n v="601.70000000000005"/>
    <n v="2400"/>
    <n v="615249.80000000005"/>
    <n v="32.31"/>
    <n v="8000"/>
  </r>
  <r>
    <s v="8000_0.3_0.5_2000_3.0_order_1"/>
    <x v="3"/>
    <n v="0.3"/>
    <n v="0.5"/>
    <n v="2000"/>
    <n v="3"/>
    <n v="1"/>
    <x v="0"/>
    <n v="1143126.3999999999"/>
    <n v="438006.9"/>
    <n v="705119.5"/>
    <n v="2400"/>
    <n v="600.07000000000005"/>
    <n v="251839.5"/>
    <n v="395950.4"/>
    <n v="647789.9"/>
    <n v="95395"/>
    <n v="33078.699999999997"/>
    <n v="128473.7"/>
    <n v="32.090000000000003"/>
    <n v="1.6"/>
    <n v="28596.6"/>
    <n v="123991.6"/>
    <n v="601.66999999999996"/>
    <n v="2400"/>
    <n v="771781.5"/>
    <n v="32.49"/>
    <n v="8000"/>
  </r>
  <r>
    <s v="8000_0.3_0.5_2000_3.0_order_2"/>
    <x v="3"/>
    <n v="0.3"/>
    <n v="0.5"/>
    <n v="2000"/>
    <n v="3"/>
    <n v="2"/>
    <x v="0"/>
    <n v="1172864.3999999999"/>
    <n v="437807.1"/>
    <n v="735057.3"/>
    <n v="2400"/>
    <n v="600.04"/>
    <n v="247831.5"/>
    <n v="411257.5"/>
    <n v="659089"/>
    <n v="96591"/>
    <n v="32668.1"/>
    <n v="129259.1"/>
    <n v="32.78"/>
    <n v="1.65"/>
    <n v="28022.2"/>
    <n v="124613.2"/>
    <n v="601.69000000000005"/>
    <n v="2400"/>
    <n v="783702.2"/>
    <n v="33.18"/>
    <n v="8000"/>
  </r>
  <r>
    <s v="8000_0.3_0.5_2000_3.0_order_3"/>
    <x v="3"/>
    <n v="0.3"/>
    <n v="0.5"/>
    <n v="2000"/>
    <n v="3"/>
    <n v="3"/>
    <x v="0"/>
    <n v="1164182"/>
    <n v="438255.1"/>
    <n v="725926.9"/>
    <n v="2400"/>
    <n v="600.01"/>
    <n v="249487"/>
    <n v="410067.8"/>
    <n v="659554.80000000005"/>
    <n v="94520.3"/>
    <n v="32981.5"/>
    <n v="127501.8"/>
    <n v="32.39"/>
    <n v="2.1800000000000002"/>
    <n v="27809.200000000001"/>
    <n v="122329.5"/>
    <n v="602.20000000000005"/>
    <n v="2400"/>
    <n v="781884.3"/>
    <n v="32.840000000000003"/>
    <n v="8000"/>
  </r>
  <r>
    <s v="8000_0.3_0.5_2000_3.0_order_4"/>
    <x v="3"/>
    <n v="0.3"/>
    <n v="0.5"/>
    <n v="2000"/>
    <n v="3"/>
    <n v="4"/>
    <x v="0"/>
    <n v="1185376.8"/>
    <n v="453914.9"/>
    <n v="731461.9"/>
    <n v="2400"/>
    <n v="600.04999999999995"/>
    <n v="256558.5"/>
    <n v="405291.7"/>
    <n v="661850.19999999995"/>
    <n v="96888"/>
    <n v="32995.199999999997"/>
    <n v="129883.2"/>
    <n v="33.21"/>
    <n v="2.15"/>
    <n v="27228.6"/>
    <n v="124116.6"/>
    <n v="602.20000000000005"/>
    <n v="2400"/>
    <n v="785966.8"/>
    <n v="33.69"/>
    <n v="8000"/>
  </r>
  <r>
    <s v="8000_0.3_0.5_2000_3.0_order_5"/>
    <x v="3"/>
    <n v="0.3"/>
    <n v="0.5"/>
    <n v="2000"/>
    <n v="3"/>
    <n v="5"/>
    <x v="0"/>
    <n v="1186138"/>
    <n v="453406.1"/>
    <n v="732731.9"/>
    <n v="2400"/>
    <n v="600.02"/>
    <n v="259427"/>
    <n v="409869.6"/>
    <n v="669296.6"/>
    <n v="95070.7"/>
    <n v="32903.1"/>
    <n v="127973.8"/>
    <n v="32.78"/>
    <n v="1.38"/>
    <n v="28054"/>
    <n v="123124.7"/>
    <n v="601.4"/>
    <n v="2400"/>
    <n v="792421.3"/>
    <n v="33.19"/>
    <n v="8000"/>
  </r>
  <r>
    <s v="8000_0.3_0.5_500_1.0_order_1"/>
    <x v="3"/>
    <n v="0.3"/>
    <n v="0.5"/>
    <n v="500"/>
    <n v="1"/>
    <n v="1"/>
    <x v="0"/>
    <n v="144108.1"/>
    <n v="59553.1"/>
    <n v="84555"/>
    <n v="2400"/>
    <n v="600.02"/>
    <n v="19055.7"/>
    <n v="29603.3"/>
    <n v="48659"/>
    <n v="85886.2"/>
    <n v="14242"/>
    <n v="100128.2"/>
    <n v="-3.25"/>
    <n v="0.49"/>
    <n v="13497.6"/>
    <n v="99383.8"/>
    <n v="600.52"/>
    <n v="2400"/>
    <n v="148042.79999999999"/>
    <n v="-2.73"/>
    <n v="8000"/>
  </r>
  <r>
    <s v="8000_0.3_0.5_500_1.0_order_2"/>
    <x v="3"/>
    <n v="0.3"/>
    <n v="0.5"/>
    <n v="500"/>
    <n v="1"/>
    <n v="2"/>
    <x v="0"/>
    <n v="148634.9"/>
    <n v="56161.1"/>
    <n v="92473.8"/>
    <n v="2400"/>
    <n v="600.01"/>
    <n v="18295.2"/>
    <n v="33129.5"/>
    <n v="51424.7"/>
    <n v="82415.399999999994"/>
    <n v="12869.4"/>
    <n v="95284.800000000003"/>
    <n v="1.3"/>
    <n v="0.61"/>
    <n v="11775.7"/>
    <n v="94191.1"/>
    <n v="600.62"/>
    <n v="2400"/>
    <n v="145615.79999999999"/>
    <n v="2.0299999999999998"/>
    <n v="8000"/>
  </r>
  <r>
    <s v="8000_0.3_0.5_500_1.0_order_3"/>
    <x v="3"/>
    <n v="0.3"/>
    <n v="0.5"/>
    <n v="500"/>
    <n v="1"/>
    <n v="3"/>
    <x v="0"/>
    <n v="144262.39999999999"/>
    <n v="58086.3"/>
    <n v="86176.1"/>
    <n v="2400"/>
    <n v="600"/>
    <n v="19825.900000000001"/>
    <n v="30723.5"/>
    <n v="50549.4"/>
    <n v="83411.8"/>
    <n v="13241"/>
    <n v="96652.800000000003"/>
    <n v="-2.04"/>
    <n v="0.51"/>
    <n v="12037.6"/>
    <n v="95449.4"/>
    <n v="600.52"/>
    <n v="2400"/>
    <n v="145998.79999999999"/>
    <n v="-1.2"/>
    <n v="8000"/>
  </r>
  <r>
    <s v="8000_0.3_0.5_500_1.0_order_4"/>
    <x v="3"/>
    <n v="0.3"/>
    <n v="0.5"/>
    <n v="500"/>
    <n v="1"/>
    <n v="4"/>
    <x v="0"/>
    <n v="148149.79999999999"/>
    <n v="57952.5"/>
    <n v="90197.3"/>
    <n v="2400"/>
    <n v="600.03"/>
    <n v="19602.5"/>
    <n v="31716.7"/>
    <n v="51319.199999999997"/>
    <n v="82971.199999999997"/>
    <n v="13482.8"/>
    <n v="96454"/>
    <n v="0.25"/>
    <n v="0.47"/>
    <n v="12327.9"/>
    <n v="95299.1"/>
    <n v="600.5"/>
    <n v="2395"/>
    <n v="146618.29999999999"/>
    <n v="1.03"/>
    <n v="8000"/>
  </r>
  <r>
    <s v="8000_0.3_0.5_500_1.0_order_5"/>
    <x v="3"/>
    <n v="0.3"/>
    <n v="0.5"/>
    <n v="500"/>
    <n v="1"/>
    <n v="5"/>
    <x v="0"/>
    <n v="141610.70000000001"/>
    <n v="56169.4"/>
    <n v="85441.3"/>
    <n v="2400"/>
    <n v="600.01"/>
    <n v="18711.3"/>
    <n v="31634.9"/>
    <n v="50346.2"/>
    <n v="78274.5"/>
    <n v="12243.8"/>
    <n v="90518.3"/>
    <n v="0.53"/>
    <n v="0.49"/>
    <n v="11348.8"/>
    <n v="89623.3"/>
    <n v="600.5"/>
    <n v="2400"/>
    <n v="139969.5"/>
    <n v="1.1599999999999999"/>
    <n v="8000"/>
  </r>
  <r>
    <s v="8000_0.3_0.5_500_2.0_order_1"/>
    <x v="3"/>
    <n v="0.3"/>
    <n v="0.5"/>
    <n v="500"/>
    <n v="2"/>
    <n v="1"/>
    <x v="0"/>
    <n v="221975.5"/>
    <n v="84387.4"/>
    <n v="137588.1"/>
    <n v="2400"/>
    <n v="600.01"/>
    <n v="35907.699999999997"/>
    <n v="57204"/>
    <n v="93111.7"/>
    <n v="78625.100000000006"/>
    <n v="12377.1"/>
    <n v="91002.2"/>
    <n v="17.059999999999999"/>
    <n v="0.89"/>
    <n v="9674.5"/>
    <n v="88299.6"/>
    <n v="600.9"/>
    <n v="2400"/>
    <n v="181411.3"/>
    <n v="18.27"/>
    <n v="8000"/>
  </r>
  <r>
    <s v="8000_0.3_0.5_500_2.0_order_2"/>
    <x v="3"/>
    <n v="0.3"/>
    <n v="0.5"/>
    <n v="500"/>
    <n v="2"/>
    <n v="2"/>
    <x v="0"/>
    <n v="226878.6"/>
    <n v="84179.7"/>
    <n v="142698.9"/>
    <n v="2400"/>
    <n v="600.02"/>
    <n v="36529.699999999997"/>
    <n v="60113.3"/>
    <n v="96643"/>
    <n v="79805.100000000006"/>
    <n v="12900.7"/>
    <n v="92705.8"/>
    <n v="16.54"/>
    <n v="0.76"/>
    <n v="10426.299999999999"/>
    <n v="90231.4"/>
    <n v="600.79"/>
    <n v="2400"/>
    <n v="186874.4"/>
    <n v="17.63"/>
    <n v="8000"/>
  </r>
  <r>
    <s v="8000_0.3_0.5_500_2.0_order_3"/>
    <x v="3"/>
    <n v="0.3"/>
    <n v="0.5"/>
    <n v="500"/>
    <n v="2"/>
    <n v="3"/>
    <x v="0"/>
    <n v="225127.8"/>
    <n v="86872.8"/>
    <n v="138255"/>
    <n v="2400"/>
    <n v="600.03"/>
    <n v="36754.199999999997"/>
    <n v="56552"/>
    <n v="93306.2"/>
    <n v="78798.8"/>
    <n v="12187.4"/>
    <n v="90986.2"/>
    <n v="18.14"/>
    <n v="0.68"/>
    <n v="10139.700000000001"/>
    <n v="88938.5"/>
    <n v="600.71"/>
    <n v="2399"/>
    <n v="182244.7"/>
    <n v="19.05"/>
    <n v="8000"/>
  </r>
  <r>
    <s v="8000_0.3_0.5_500_2.0_order_4"/>
    <x v="3"/>
    <n v="0.3"/>
    <n v="0.5"/>
    <n v="500"/>
    <n v="2"/>
    <n v="4"/>
    <x v="0"/>
    <n v="219934.7"/>
    <n v="80894.3"/>
    <n v="139040.4"/>
    <n v="2400"/>
    <n v="600.01"/>
    <n v="35017.199999999997"/>
    <n v="57935.5"/>
    <n v="92952.7"/>
    <n v="78412.2"/>
    <n v="12909.4"/>
    <n v="91321.600000000006"/>
    <n v="16.21"/>
    <n v="0.74"/>
    <n v="10248"/>
    <n v="88660.2"/>
    <n v="600.76"/>
    <n v="2400"/>
    <n v="181612.9"/>
    <n v="17.420000000000002"/>
    <n v="8000"/>
  </r>
  <r>
    <s v="8000_0.3_0.5_500_2.0_order_5"/>
    <x v="3"/>
    <n v="0.3"/>
    <n v="0.5"/>
    <n v="500"/>
    <n v="2"/>
    <n v="5"/>
    <x v="0"/>
    <n v="232193.7"/>
    <n v="89018.4"/>
    <n v="143175.29999999999"/>
    <n v="2400"/>
    <n v="600.01"/>
    <n v="38153.800000000003"/>
    <n v="59407.3"/>
    <n v="97561.1"/>
    <n v="78198.3"/>
    <n v="11604.7"/>
    <n v="89803"/>
    <n v="19.309999999999999"/>
    <n v="0.5"/>
    <n v="9413.7000000000007"/>
    <n v="87612"/>
    <n v="600.51"/>
    <n v="2400"/>
    <n v="185173.1"/>
    <n v="20.25"/>
    <n v="8000"/>
  </r>
  <r>
    <s v="8000_0.3_0.5_500_3.0_order_1"/>
    <x v="3"/>
    <n v="0.3"/>
    <n v="0.5"/>
    <n v="500"/>
    <n v="3"/>
    <n v="1"/>
    <x v="0"/>
    <n v="286207.8"/>
    <n v="103330.3"/>
    <n v="182877.5"/>
    <n v="2400"/>
    <n v="600.04999999999995"/>
    <n v="46562.3"/>
    <n v="82590.3"/>
    <n v="129152.6"/>
    <n v="78994.899999999994"/>
    <n v="14791.3"/>
    <n v="93786.2"/>
    <n v="22.11"/>
    <n v="1.04"/>
    <n v="12024.4"/>
    <n v="91019.3"/>
    <n v="601.09"/>
    <n v="2400"/>
    <n v="220171.9"/>
    <n v="23.07"/>
    <n v="8000"/>
  </r>
  <r>
    <s v="8000_0.3_0.5_500_3.0_order_2"/>
    <x v="3"/>
    <n v="0.3"/>
    <n v="0.5"/>
    <n v="500"/>
    <n v="3"/>
    <n v="2"/>
    <x v="0"/>
    <n v="292783.7"/>
    <n v="109648.3"/>
    <n v="183135.4"/>
    <n v="2400"/>
    <n v="600.03"/>
    <n v="50351.9"/>
    <n v="82329.899999999994"/>
    <n v="132681.79999999999"/>
    <n v="79821.399999999994"/>
    <n v="14972.1"/>
    <n v="94793.5"/>
    <n v="22.31"/>
    <n v="0.91"/>
    <n v="12295.4"/>
    <n v="92116.800000000003"/>
    <n v="600.94000000000005"/>
    <n v="2399"/>
    <n v="224798.6"/>
    <n v="23.22"/>
    <n v="8000"/>
  </r>
  <r>
    <s v="8000_0.3_0.5_500_3.0_order_3"/>
    <x v="3"/>
    <n v="0.3"/>
    <n v="0.5"/>
    <n v="500"/>
    <n v="3"/>
    <n v="3"/>
    <x v="0"/>
    <n v="279304.09999999998"/>
    <n v="97293.7"/>
    <n v="182010.4"/>
    <n v="2400"/>
    <n v="600.02"/>
    <n v="44358.400000000001"/>
    <n v="81181.5"/>
    <n v="125539.9"/>
    <n v="77830.399999999994"/>
    <n v="14419.6"/>
    <n v="92250"/>
    <n v="22.02"/>
    <n v="0.97"/>
    <n v="12018.1"/>
    <n v="89848.5"/>
    <n v="600.99"/>
    <n v="2399"/>
    <n v="215388.4"/>
    <n v="22.88"/>
    <n v="8000"/>
  </r>
  <r>
    <s v="8000_0.3_0.5_500_3.0_order_4"/>
    <x v="3"/>
    <n v="0.3"/>
    <n v="0.5"/>
    <n v="500"/>
    <n v="3"/>
    <n v="4"/>
    <x v="0"/>
    <n v="288972.40000000002"/>
    <n v="109882.8"/>
    <n v="179089.6"/>
    <n v="2400"/>
    <n v="600"/>
    <n v="49083.1"/>
    <n v="75677.100000000006"/>
    <n v="124760.2"/>
    <n v="80014.100000000006"/>
    <n v="15241.1"/>
    <n v="95255.2"/>
    <n v="23.86"/>
    <n v="1.01"/>
    <n v="12764.1"/>
    <n v="92778.2"/>
    <n v="601.02"/>
    <n v="2400"/>
    <n v="217538.4"/>
    <n v="24.72"/>
    <n v="8000"/>
  </r>
  <r>
    <s v="8000_0.3_0.5_500_3.0_order_5"/>
    <x v="3"/>
    <n v="0.3"/>
    <n v="0.5"/>
    <n v="500"/>
    <n v="3"/>
    <n v="5"/>
    <x v="0"/>
    <n v="289757"/>
    <n v="106708"/>
    <n v="183049"/>
    <n v="2400"/>
    <n v="600.01"/>
    <n v="48125.4"/>
    <n v="79505.100000000006"/>
    <n v="127630.5"/>
    <n v="78793"/>
    <n v="14724"/>
    <n v="93517"/>
    <n v="23.68"/>
    <n v="0.93"/>
    <n v="12128.5"/>
    <n v="90921.5"/>
    <n v="600.94000000000005"/>
    <n v="2400"/>
    <n v="218552"/>
    <n v="24.57"/>
    <n v="8000"/>
  </r>
  <r>
    <s v="8000_0.4_0.5_1000_1.0_order_1"/>
    <x v="3"/>
    <n v="0.4"/>
    <n v="0.5"/>
    <n v="1000"/>
    <n v="1"/>
    <n v="1"/>
    <x v="0"/>
    <n v="278509.5"/>
    <n v="112049.60000000001"/>
    <n v="166459.9"/>
    <n v="2400"/>
    <n v="600.02"/>
    <n v="46771.6"/>
    <n v="69799.7"/>
    <n v="116571.3"/>
    <n v="87581.3"/>
    <n v="24116.1"/>
    <n v="111697.4"/>
    <n v="18.04"/>
    <n v="1.6"/>
    <n v="22711.9"/>
    <n v="110293.2"/>
    <n v="601.63"/>
    <n v="2400"/>
    <n v="226864.5"/>
    <n v="18.54"/>
    <n v="8000"/>
  </r>
  <r>
    <s v="8000_0.4_0.5_1000_1.0_order_2"/>
    <x v="3"/>
    <n v="0.4"/>
    <n v="0.5"/>
    <n v="1000"/>
    <n v="1"/>
    <n v="2"/>
    <x v="0"/>
    <n v="283492.90000000002"/>
    <n v="109140.8"/>
    <n v="174352.1"/>
    <n v="2400"/>
    <n v="600.01"/>
    <n v="44696.6"/>
    <n v="71672.100000000006"/>
    <n v="116368.7"/>
    <n v="90003.1"/>
    <n v="24542.7"/>
    <n v="114545.8"/>
    <n v="18.55"/>
    <n v="1.36"/>
    <n v="23084.400000000001"/>
    <n v="113087.5"/>
    <n v="601.37"/>
    <n v="2399"/>
    <n v="229456.2"/>
    <n v="19.059999999999999"/>
    <n v="8000"/>
  </r>
  <r>
    <s v="8000_0.4_0.5_1000_1.0_order_3"/>
    <x v="3"/>
    <n v="0.4"/>
    <n v="0.5"/>
    <n v="1000"/>
    <n v="1"/>
    <n v="3"/>
    <x v="0"/>
    <n v="288322.90000000002"/>
    <n v="112088.6"/>
    <n v="176234.3"/>
    <n v="2400"/>
    <n v="600.01"/>
    <n v="47185"/>
    <n v="72897.7"/>
    <n v="120082.7"/>
    <n v="86994"/>
    <n v="23901.5"/>
    <n v="110895.5"/>
    <n v="19.89"/>
    <n v="1.2"/>
    <n v="22441.3"/>
    <n v="109435.3"/>
    <n v="601.21"/>
    <n v="2400"/>
    <n v="229518"/>
    <n v="20.399999999999999"/>
    <n v="8000"/>
  </r>
  <r>
    <s v="8000_0.4_0.5_1000_1.0_order_4"/>
    <x v="3"/>
    <n v="0.4"/>
    <n v="0.5"/>
    <n v="1000"/>
    <n v="1"/>
    <n v="4"/>
    <x v="0"/>
    <n v="273858.09999999998"/>
    <n v="109017.3"/>
    <n v="164840.79999999999"/>
    <n v="2400"/>
    <n v="600"/>
    <n v="46213.1"/>
    <n v="68648.899999999994"/>
    <n v="114862"/>
    <n v="89027.199999999997"/>
    <n v="24655.3"/>
    <n v="113682.5"/>
    <n v="16.55"/>
    <n v="1.31"/>
    <n v="23161.599999999999"/>
    <n v="112188.8"/>
    <n v="601.32000000000005"/>
    <n v="2400"/>
    <n v="227050.8"/>
    <n v="17.09"/>
    <n v="8000"/>
  </r>
  <r>
    <s v="8000_0.4_0.5_1000_1.0_order_5"/>
    <x v="3"/>
    <n v="0.4"/>
    <n v="0.5"/>
    <n v="1000"/>
    <n v="1"/>
    <n v="5"/>
    <x v="0"/>
    <n v="283949.09999999998"/>
    <n v="113617.60000000001"/>
    <n v="170331.5"/>
    <n v="2400"/>
    <n v="600.04"/>
    <n v="49119.1"/>
    <n v="73144.7"/>
    <n v="122263.8"/>
    <n v="86290.9"/>
    <n v="23737.3"/>
    <n v="110028.2"/>
    <n v="18.190000000000001"/>
    <n v="1.34"/>
    <n v="22180.6"/>
    <n v="108471.5"/>
    <n v="601.39"/>
    <n v="2400"/>
    <n v="230735.3"/>
    <n v="18.739999999999998"/>
    <n v="8000"/>
  </r>
  <r>
    <s v="8000_0.4_0.5_1000_2.0_order_1"/>
    <x v="3"/>
    <n v="0.4"/>
    <n v="0.5"/>
    <n v="1000"/>
    <n v="2"/>
    <n v="1"/>
    <x v="0"/>
    <n v="435805.3"/>
    <n v="168093.4"/>
    <n v="267711.90000000002"/>
    <n v="2400"/>
    <n v="600.03"/>
    <n v="77630.2"/>
    <n v="116096.2"/>
    <n v="193726.4"/>
    <n v="87723.9"/>
    <n v="28915.599999999999"/>
    <n v="116639.5"/>
    <n v="28.78"/>
    <n v="1.78"/>
    <n v="25420.6"/>
    <n v="113144.5"/>
    <n v="601.79999999999995"/>
    <n v="2400"/>
    <n v="306870.90000000002"/>
    <n v="29.59"/>
    <n v="8000"/>
  </r>
  <r>
    <s v="8000_0.4_0.5_1000_2.0_order_2"/>
    <x v="3"/>
    <n v="0.4"/>
    <n v="0.5"/>
    <n v="1000"/>
    <n v="2"/>
    <n v="2"/>
    <x v="0"/>
    <n v="442496.5"/>
    <n v="166733.79999999999"/>
    <n v="275762.7"/>
    <n v="2400"/>
    <n v="600.04999999999995"/>
    <n v="76214.2"/>
    <n v="118808.9"/>
    <n v="195023.1"/>
    <n v="88225.3"/>
    <n v="27667.7"/>
    <n v="115893"/>
    <n v="29.74"/>
    <n v="1.88"/>
    <n v="23739"/>
    <n v="111964.3"/>
    <n v="601.92999999999995"/>
    <n v="2400"/>
    <n v="306987.40000000002"/>
    <n v="30.62"/>
    <n v="8000"/>
  </r>
  <r>
    <s v="8000_0.4_0.5_1000_2.0_order_3"/>
    <x v="3"/>
    <n v="0.4"/>
    <n v="0.5"/>
    <n v="1000"/>
    <n v="2"/>
    <n v="3"/>
    <x v="0"/>
    <n v="452037.4"/>
    <n v="182112.7"/>
    <n v="269924.7"/>
    <n v="2400"/>
    <n v="600.02"/>
    <n v="81481"/>
    <n v="112248.1"/>
    <n v="193729.1"/>
    <n v="89956.800000000003"/>
    <n v="28623.3"/>
    <n v="118580.1"/>
    <n v="30.91"/>
    <n v="2"/>
    <n v="25421.4"/>
    <n v="115378.2"/>
    <n v="602.02"/>
    <n v="2400"/>
    <n v="309107.3"/>
    <n v="31.62"/>
    <n v="8000"/>
  </r>
  <r>
    <s v="8000_0.4_0.5_1000_2.0_order_4"/>
    <x v="3"/>
    <n v="0.4"/>
    <n v="0.5"/>
    <n v="1000"/>
    <n v="2"/>
    <n v="4"/>
    <x v="0"/>
    <n v="441614.5"/>
    <n v="169950.8"/>
    <n v="271663.7"/>
    <n v="2400"/>
    <n v="600.02"/>
    <n v="76975.399999999994"/>
    <n v="118987"/>
    <n v="195962.4"/>
    <n v="90381.9"/>
    <n v="28696.3"/>
    <n v="119078.2"/>
    <n v="28.66"/>
    <n v="1.85"/>
    <n v="25758.2"/>
    <n v="116140.1"/>
    <n v="601.87"/>
    <n v="2400"/>
    <n v="312102.5"/>
    <n v="29.33"/>
    <n v="8000"/>
  </r>
  <r>
    <s v="8000_0.4_0.5_1000_2.0_order_5"/>
    <x v="3"/>
    <n v="0.4"/>
    <n v="0.5"/>
    <n v="1000"/>
    <n v="2"/>
    <n v="5"/>
    <x v="0"/>
    <n v="456297.9"/>
    <n v="162777.9"/>
    <n v="293520"/>
    <n v="2400"/>
    <n v="600.04999999999995"/>
    <n v="75417.2"/>
    <n v="124797.5"/>
    <n v="200214.7"/>
    <n v="89411.199999999997"/>
    <n v="28514.1"/>
    <n v="117925.3"/>
    <n v="30.28"/>
    <n v="1.7"/>
    <n v="25395.7"/>
    <n v="114806.9"/>
    <n v="601.74"/>
    <n v="2400"/>
    <n v="315021.59999999998"/>
    <n v="30.96"/>
    <n v="8000"/>
  </r>
  <r>
    <s v="8000_0.4_0.5_1000_3.0_order_1"/>
    <x v="3"/>
    <n v="0.4"/>
    <n v="0.5"/>
    <n v="1000"/>
    <n v="3"/>
    <n v="1"/>
    <x v="0"/>
    <n v="557435.6"/>
    <n v="222718.9"/>
    <n v="334716.7"/>
    <n v="2400"/>
    <n v="600"/>
    <n v="102266"/>
    <n v="151395.29999999999"/>
    <n v="253661.3"/>
    <n v="90044.1"/>
    <n v="31307.4"/>
    <n v="121351.5"/>
    <n v="32.729999999999997"/>
    <n v="2.15"/>
    <n v="27163.7"/>
    <n v="117207.8"/>
    <n v="602.16"/>
    <n v="2400"/>
    <n v="370869.1"/>
    <n v="33.47"/>
    <n v="8000"/>
  </r>
  <r>
    <s v="8000_0.4_0.5_1000_3.0_order_2"/>
    <x v="3"/>
    <n v="0.4"/>
    <n v="0.5"/>
    <n v="1000"/>
    <n v="3"/>
    <n v="2"/>
    <x v="0"/>
    <n v="581757.6"/>
    <n v="227255.3"/>
    <n v="354502.3"/>
    <n v="2400"/>
    <n v="600.01"/>
    <n v="105192.1"/>
    <n v="161971.4"/>
    <n v="267163.5"/>
    <n v="91523.3"/>
    <n v="31926.5"/>
    <n v="123449.8"/>
    <n v="32.86"/>
    <n v="2.4700000000000002"/>
    <n v="27072.799999999999"/>
    <n v="118596.1"/>
    <n v="602.48"/>
    <n v="2400"/>
    <n v="385759.6"/>
    <n v="33.69"/>
    <n v="8000"/>
  </r>
  <r>
    <s v="8000_0.4_0.5_1000_3.0_order_3"/>
    <x v="3"/>
    <n v="0.4"/>
    <n v="0.5"/>
    <n v="1000"/>
    <n v="3"/>
    <n v="3"/>
    <x v="0"/>
    <n v="567769.5"/>
    <n v="226650.8"/>
    <n v="341118.7"/>
    <n v="2400"/>
    <n v="600.03"/>
    <n v="104491.9"/>
    <n v="154184"/>
    <n v="258675.9"/>
    <n v="90496.5"/>
    <n v="30843.4"/>
    <n v="121339.9"/>
    <n v="33.07"/>
    <n v="2.25"/>
    <n v="26719.7"/>
    <n v="117216.2"/>
    <n v="602.28"/>
    <n v="2399"/>
    <n v="375892.1"/>
    <n v="33.79"/>
    <n v="8000"/>
  </r>
  <r>
    <s v="8000_0.4_0.5_1000_3.0_order_4"/>
    <x v="3"/>
    <n v="0.4"/>
    <n v="0.5"/>
    <n v="1000"/>
    <n v="3"/>
    <n v="4"/>
    <x v="0"/>
    <n v="578695.1"/>
    <n v="220248.4"/>
    <n v="358446.7"/>
    <n v="2400"/>
    <n v="600.02"/>
    <n v="102741.9"/>
    <n v="162893.6"/>
    <n v="265635.5"/>
    <n v="91463"/>
    <n v="33064.1"/>
    <n v="124527.1"/>
    <n v="32.58"/>
    <n v="2.11"/>
    <n v="28316.5"/>
    <n v="119779.5"/>
    <n v="602.13"/>
    <n v="2400"/>
    <n v="385415"/>
    <n v="33.4"/>
    <n v="8000"/>
  </r>
  <r>
    <s v="8000_0.4_0.5_1000_3.0_order_5"/>
    <x v="3"/>
    <n v="0.4"/>
    <n v="0.5"/>
    <n v="1000"/>
    <n v="3"/>
    <n v="5"/>
    <x v="0"/>
    <n v="590660.69999999995"/>
    <n v="215654.3"/>
    <n v="375006.4"/>
    <n v="2400"/>
    <n v="600.07000000000005"/>
    <n v="102439.6"/>
    <n v="172181.8"/>
    <n v="274621.40000000002"/>
    <n v="92178.5"/>
    <n v="32748.2"/>
    <n v="124926.7"/>
    <n v="32.36"/>
    <n v="1.96"/>
    <n v="28241.200000000001"/>
    <n v="120419.7"/>
    <n v="602.03"/>
    <n v="2400"/>
    <n v="395041.1"/>
    <n v="33.119999999999997"/>
    <n v="8000"/>
  </r>
  <r>
    <s v="8000_0.4_0.5_2000_1.0_order_1"/>
    <x v="3"/>
    <n v="0.4"/>
    <n v="0.5"/>
    <n v="2000"/>
    <n v="1"/>
    <n v="1"/>
    <x v="0"/>
    <n v="557823.1"/>
    <n v="221562.4"/>
    <n v="336260.7"/>
    <n v="2400"/>
    <n v="600"/>
    <n v="107620.8"/>
    <n v="155030.79999999999"/>
    <n v="262651.59999999998"/>
    <n v="102262.39999999999"/>
    <n v="39138.400000000001"/>
    <n v="141400.79999999999"/>
    <n v="27.57"/>
    <n v="1.1499999999999999"/>
    <n v="37644.800000000003"/>
    <n v="139907.20000000001"/>
    <n v="601.15"/>
    <n v="2400"/>
    <n v="402558.8"/>
    <n v="27.83"/>
    <n v="8000"/>
  </r>
  <r>
    <s v="8000_0.4_0.5_2000_1.0_order_2"/>
    <x v="3"/>
    <n v="0.4"/>
    <n v="0.5"/>
    <n v="2000"/>
    <n v="1"/>
    <n v="2"/>
    <x v="0"/>
    <n v="574477.4"/>
    <n v="217902.4"/>
    <n v="356575"/>
    <n v="2400"/>
    <n v="600.02"/>
    <n v="105367.1"/>
    <n v="161722.20000000001"/>
    <n v="267089.3"/>
    <n v="104064.7"/>
    <n v="40601.5"/>
    <n v="144666.20000000001"/>
    <n v="28.33"/>
    <n v="1.36"/>
    <n v="39326.1"/>
    <n v="143390.79999999999"/>
    <n v="601.38"/>
    <n v="2400"/>
    <n v="410480.1"/>
    <n v="28.55"/>
    <n v="8000"/>
  </r>
  <r>
    <s v="8000_0.4_0.5_2000_1.0_order_3"/>
    <x v="3"/>
    <n v="0.4"/>
    <n v="0.5"/>
    <n v="2000"/>
    <n v="1"/>
    <n v="3"/>
    <x v="0"/>
    <n v="568049.30000000005"/>
    <n v="222300.5"/>
    <n v="345748.8"/>
    <n v="2400"/>
    <n v="600.01"/>
    <n v="106239.3"/>
    <n v="159969"/>
    <n v="266208.3"/>
    <n v="103538.1"/>
    <n v="39318.699999999997"/>
    <n v="142856.79999999999"/>
    <n v="27.99"/>
    <n v="1.1499999999999999"/>
    <n v="38292.800000000003"/>
    <n v="141830.9"/>
    <n v="601.16"/>
    <n v="2400"/>
    <n v="408039.2"/>
    <n v="28.17"/>
    <n v="8000"/>
  </r>
  <r>
    <s v="8000_0.4_0.5_2000_1.0_order_4"/>
    <x v="3"/>
    <n v="0.4"/>
    <n v="0.5"/>
    <n v="2000"/>
    <n v="1"/>
    <n v="4"/>
    <x v="0"/>
    <n v="581912.6"/>
    <n v="225923.8"/>
    <n v="355988.8"/>
    <n v="2400"/>
    <n v="600.04"/>
    <n v="106511.2"/>
    <n v="164276.5"/>
    <n v="270787.7"/>
    <n v="103386.5"/>
    <n v="39189.800000000003"/>
    <n v="142576.29999999999"/>
    <n v="28.96"/>
    <n v="1.3"/>
    <n v="37603.5"/>
    <n v="140990"/>
    <n v="601.34"/>
    <n v="2400"/>
    <n v="411777.7"/>
    <n v="29.24"/>
    <n v="8000"/>
  </r>
  <r>
    <s v="8000_0.4_0.5_2000_1.0_order_5"/>
    <x v="3"/>
    <n v="0.4"/>
    <n v="0.5"/>
    <n v="2000"/>
    <n v="1"/>
    <n v="5"/>
    <x v="0"/>
    <n v="572459.9"/>
    <n v="219618.8"/>
    <n v="352841.1"/>
    <n v="2400"/>
    <n v="600.01"/>
    <n v="103092.8"/>
    <n v="163385.5"/>
    <n v="266478.3"/>
    <n v="102038"/>
    <n v="39136.300000000003"/>
    <n v="141174.29999999999"/>
    <n v="28.79"/>
    <n v="1.31"/>
    <n v="37558.300000000003"/>
    <n v="139596.29999999999"/>
    <n v="601.32000000000005"/>
    <n v="2400"/>
    <n v="406074.6"/>
    <n v="29.06"/>
    <n v="8000"/>
  </r>
  <r>
    <s v="8000_0.4_0.5_2000_2.0_order_1"/>
    <x v="3"/>
    <n v="0.4"/>
    <n v="0.5"/>
    <n v="2000"/>
    <n v="2"/>
    <n v="1"/>
    <x v="0"/>
    <n v="879041"/>
    <n v="331624.40000000002"/>
    <n v="547416.6"/>
    <n v="2400"/>
    <n v="600.08000000000004"/>
    <n v="168694.6"/>
    <n v="263259.40000000002"/>
    <n v="431954"/>
    <n v="99501.2"/>
    <n v="42063.8"/>
    <n v="141565"/>
    <n v="34.76"/>
    <n v="2.4500000000000002"/>
    <n v="38009"/>
    <n v="137510.20000000001"/>
    <n v="602.53"/>
    <n v="2400"/>
    <n v="569464.19999999995"/>
    <n v="35.22"/>
    <n v="8000"/>
  </r>
  <r>
    <s v="8000_0.4_0.5_2000_2.0_order_2"/>
    <x v="3"/>
    <n v="0.4"/>
    <n v="0.5"/>
    <n v="2000"/>
    <n v="2"/>
    <n v="2"/>
    <x v="0"/>
    <n v="895929.2"/>
    <n v="335858.2"/>
    <n v="560071"/>
    <n v="2400"/>
    <n v="600.01"/>
    <n v="170503"/>
    <n v="271152.40000000002"/>
    <n v="441655.4"/>
    <n v="100345.2"/>
    <n v="42121.3"/>
    <n v="142466.5"/>
    <n v="34.799999999999997"/>
    <n v="2.0099999999999998"/>
    <n v="38424.699999999997"/>
    <n v="138769.9"/>
    <n v="602.02"/>
    <n v="2400"/>
    <n v="580425.30000000005"/>
    <n v="35.22"/>
    <n v="8000"/>
  </r>
  <r>
    <s v="8000_0.4_0.5_2000_2.0_order_3"/>
    <x v="3"/>
    <n v="0.4"/>
    <n v="0.5"/>
    <n v="2000"/>
    <n v="2"/>
    <n v="3"/>
    <x v="0"/>
    <n v="882760.1"/>
    <n v="328520.5"/>
    <n v="554239.6"/>
    <n v="2400"/>
    <n v="600.03"/>
    <n v="165670.70000000001"/>
    <n v="265946.8"/>
    <n v="431617.5"/>
    <n v="99521.8"/>
    <n v="41287"/>
    <n v="140808.79999999999"/>
    <n v="35.15"/>
    <n v="2.42"/>
    <n v="37290.1"/>
    <n v="136811.9"/>
    <n v="602.45000000000005"/>
    <n v="2399"/>
    <n v="568429.4"/>
    <n v="35.61"/>
    <n v="8000"/>
  </r>
  <r>
    <s v="8000_0.4_0.5_2000_2.0_order_4"/>
    <x v="3"/>
    <n v="0.4"/>
    <n v="0.5"/>
    <n v="2000"/>
    <n v="2"/>
    <n v="4"/>
    <x v="0"/>
    <n v="890793.9"/>
    <n v="333769.09999999998"/>
    <n v="557024.80000000005"/>
    <n v="2400"/>
    <n v="600.04"/>
    <n v="168610.4"/>
    <n v="263335.2"/>
    <n v="431945.6"/>
    <n v="98278.5"/>
    <n v="41149.9"/>
    <n v="139428.4"/>
    <n v="35.86"/>
    <n v="1.94"/>
    <n v="37893.599999999999"/>
    <n v="136172.1"/>
    <n v="601.98"/>
    <n v="2400"/>
    <n v="568117.69999999995"/>
    <n v="36.22"/>
    <n v="8000"/>
  </r>
  <r>
    <s v="8000_0.4_0.5_2000_2.0_order_5"/>
    <x v="3"/>
    <n v="0.4"/>
    <n v="0.5"/>
    <n v="2000"/>
    <n v="2"/>
    <n v="5"/>
    <x v="0"/>
    <n v="911648.3"/>
    <n v="355200.1"/>
    <n v="556448.19999999995"/>
    <n v="2400"/>
    <n v="600.05999999999995"/>
    <n v="178801.6"/>
    <n v="270669.90000000002"/>
    <n v="449471.5"/>
    <n v="98883.6"/>
    <n v="42233.599999999999"/>
    <n v="141117.20000000001"/>
    <n v="35.22"/>
    <n v="2.15"/>
    <n v="38425.5"/>
    <n v="137309.1"/>
    <n v="602.21"/>
    <n v="2400"/>
    <n v="586780.6"/>
    <n v="35.64"/>
    <n v="8000"/>
  </r>
  <r>
    <s v="8000_0.4_0.5_2000_3.0_order_1"/>
    <x v="3"/>
    <n v="0.4"/>
    <n v="0.5"/>
    <n v="2000"/>
    <n v="3"/>
    <n v="1"/>
    <x v="0"/>
    <n v="1144134.7"/>
    <n v="435526.8"/>
    <n v="708607.9"/>
    <n v="2400"/>
    <n v="600.03"/>
    <n v="229662.8"/>
    <n v="362159.3"/>
    <n v="591822.1"/>
    <n v="95963.3"/>
    <n v="40406.5"/>
    <n v="136369.79999999999"/>
    <n v="36.35"/>
    <n v="2.2799999999999998"/>
    <n v="34807.4"/>
    <n v="130770.7"/>
    <n v="602.30999999999995"/>
    <n v="2399"/>
    <n v="722592.8"/>
    <n v="36.840000000000003"/>
    <n v="8000"/>
  </r>
  <r>
    <s v="8000_0.4_0.5_2000_3.0_order_2"/>
    <x v="3"/>
    <n v="0.4"/>
    <n v="0.5"/>
    <n v="2000"/>
    <n v="3"/>
    <n v="2"/>
    <x v="0"/>
    <n v="1169628.8"/>
    <n v="444905.8"/>
    <n v="724723"/>
    <n v="2400"/>
    <n v="600.04"/>
    <n v="235527.3"/>
    <n v="370311.1"/>
    <n v="605838.4"/>
    <n v="94636.2"/>
    <n v="40930.800000000003"/>
    <n v="135567"/>
    <n v="36.61"/>
    <n v="2.09"/>
    <n v="35198.300000000003"/>
    <n v="129834.5"/>
    <n v="602.13"/>
    <n v="2400"/>
    <n v="735672.9"/>
    <n v="37.1"/>
    <n v="8000"/>
  </r>
  <r>
    <s v="8000_0.4_0.5_2000_3.0_order_3"/>
    <x v="3"/>
    <n v="0.4"/>
    <n v="0.5"/>
    <n v="2000"/>
    <n v="3"/>
    <n v="3"/>
    <x v="0"/>
    <n v="1163270.8"/>
    <n v="449150.5"/>
    <n v="714120.3"/>
    <n v="2400"/>
    <n v="600.01"/>
    <n v="233957.9"/>
    <n v="364231"/>
    <n v="598188.9"/>
    <n v="95796.7"/>
    <n v="40896.5"/>
    <n v="136693.20000000001"/>
    <n v="36.83"/>
    <n v="2.68"/>
    <n v="34967.199999999997"/>
    <n v="130763.9"/>
    <n v="602.69000000000005"/>
    <n v="2400"/>
    <n v="728952.8"/>
    <n v="37.340000000000003"/>
    <n v="8000"/>
  </r>
  <r>
    <s v="8000_0.4_0.5_2000_3.0_order_4"/>
    <x v="3"/>
    <n v="0.4"/>
    <n v="0.5"/>
    <n v="2000"/>
    <n v="3"/>
    <n v="4"/>
    <x v="0"/>
    <n v="1180601.1000000001"/>
    <n v="442385.1"/>
    <n v="738216"/>
    <n v="2400"/>
    <n v="600.03"/>
    <n v="230321.9"/>
    <n v="378918.3"/>
    <n v="609240.19999999995"/>
    <n v="96257.7"/>
    <n v="42108.1"/>
    <n v="138365.79999999999"/>
    <n v="36.68"/>
    <n v="2.37"/>
    <n v="36559.699999999997"/>
    <n v="132817.4"/>
    <n v="602.39"/>
    <n v="2400"/>
    <n v="742057.6"/>
    <n v="37.15"/>
    <n v="8000"/>
  </r>
  <r>
    <s v="8000_0.4_0.5_2000_3.0_order_5"/>
    <x v="3"/>
    <n v="0.4"/>
    <n v="0.5"/>
    <n v="2000"/>
    <n v="3"/>
    <n v="5"/>
    <x v="0"/>
    <n v="1164364.2"/>
    <n v="446342.3"/>
    <n v="718021.9"/>
    <n v="2400"/>
    <n v="600.01"/>
    <n v="236729.7"/>
    <n v="369160.8"/>
    <n v="605890.5"/>
    <n v="96765.4"/>
    <n v="42363"/>
    <n v="139128.4"/>
    <n v="36.01"/>
    <n v="1.72"/>
    <n v="36725.699999999997"/>
    <n v="133491.1"/>
    <n v="601.72"/>
    <n v="2400"/>
    <n v="739381.6"/>
    <n v="36.5"/>
    <n v="8000"/>
  </r>
  <r>
    <s v="8000_0.4_0.5_500_1.0_order_1"/>
    <x v="3"/>
    <n v="0.4"/>
    <n v="0.5"/>
    <n v="500"/>
    <n v="1"/>
    <n v="1"/>
    <x v="0"/>
    <n v="137948.4"/>
    <n v="56686"/>
    <n v="81262.399999999994"/>
    <n v="2400"/>
    <n v="600.01"/>
    <n v="15428.8"/>
    <n v="21998.1"/>
    <n v="37426.9"/>
    <n v="95523.9"/>
    <n v="24749.3"/>
    <n v="120273.2"/>
    <n v="-14.32"/>
    <n v="0.85"/>
    <n v="24231.8"/>
    <n v="119755.7"/>
    <n v="600.86"/>
    <n v="2398"/>
    <n v="157182.6"/>
    <n v="-13.94"/>
    <n v="8000"/>
  </r>
  <r>
    <s v="8000_0.4_0.5_500_1.0_order_2"/>
    <x v="3"/>
    <n v="0.4"/>
    <n v="0.5"/>
    <n v="500"/>
    <n v="1"/>
    <n v="2"/>
    <x v="0"/>
    <n v="145133.4"/>
    <n v="57078.2"/>
    <n v="88055.2"/>
    <n v="2400"/>
    <n v="600.03"/>
    <n v="17565.599999999999"/>
    <n v="26015.7"/>
    <n v="43581.3"/>
    <n v="85944.2"/>
    <n v="20288.900000000001"/>
    <n v="106233.1"/>
    <n v="-3.23"/>
    <n v="1.01"/>
    <n v="19116.099999999999"/>
    <n v="105060.3"/>
    <n v="601.04"/>
    <n v="2396"/>
    <n v="148641.60000000001"/>
    <n v="-2.42"/>
    <n v="8000"/>
  </r>
  <r>
    <s v="8000_0.4_0.5_500_1.0_order_3"/>
    <x v="3"/>
    <n v="0.4"/>
    <n v="0.5"/>
    <n v="500"/>
    <n v="1"/>
    <n v="3"/>
    <x v="0"/>
    <n v="148208.79999999999"/>
    <n v="57969.9"/>
    <n v="90238.9"/>
    <n v="2400"/>
    <n v="600.01"/>
    <n v="16930.2"/>
    <n v="27420.3"/>
    <n v="44350.5"/>
    <n v="90278.8"/>
    <n v="21865.200000000001"/>
    <n v="112144"/>
    <n v="-5.59"/>
    <n v="0.95"/>
    <n v="20840.7"/>
    <n v="111119.5"/>
    <n v="600.96"/>
    <n v="2399"/>
    <n v="155470"/>
    <n v="-4.9000000000000004"/>
    <n v="8000"/>
  </r>
  <r>
    <s v="8000_0.4_0.5_500_1.0_order_4"/>
    <x v="3"/>
    <n v="0.4"/>
    <n v="0.5"/>
    <n v="500"/>
    <n v="1"/>
    <n v="4"/>
    <x v="0"/>
    <n v="140471.79999999999"/>
    <n v="55659.4"/>
    <n v="84812.4"/>
    <n v="2400"/>
    <n v="600"/>
    <n v="14633.6"/>
    <n v="24952.5"/>
    <n v="39586.1"/>
    <n v="90347.9"/>
    <n v="22133.1"/>
    <n v="112481"/>
    <n v="-8.25"/>
    <n v="1.04"/>
    <n v="21125.5"/>
    <n v="111473.4"/>
    <n v="601.04"/>
    <n v="2388"/>
    <n v="151059.5"/>
    <n v="-7.54"/>
    <n v="8000"/>
  </r>
  <r>
    <s v="8000_0.4_0.5_500_1.0_order_5"/>
    <x v="3"/>
    <n v="0.4"/>
    <n v="0.5"/>
    <n v="500"/>
    <n v="1"/>
    <n v="5"/>
    <x v="0"/>
    <n v="143922.29999999999"/>
    <n v="56113.3"/>
    <n v="87809"/>
    <n v="2400"/>
    <n v="600"/>
    <n v="16252.7"/>
    <n v="25824.9"/>
    <n v="42077.599999999999"/>
    <n v="89853.3"/>
    <n v="22501.7"/>
    <n v="112355"/>
    <n v="-7.3"/>
    <n v="0.95"/>
    <n v="21376.400000000001"/>
    <n v="111229.7"/>
    <n v="600.95000000000005"/>
    <n v="2399"/>
    <n v="153307.29999999999"/>
    <n v="-6.52"/>
    <n v="8000"/>
  </r>
  <r>
    <s v="8000_0.4_0.5_500_2.0_order_1"/>
    <x v="3"/>
    <n v="0.4"/>
    <n v="0.5"/>
    <n v="500"/>
    <n v="2"/>
    <n v="1"/>
    <x v="0"/>
    <n v="229282.4"/>
    <n v="85888.4"/>
    <n v="143394"/>
    <n v="2400"/>
    <n v="600.01"/>
    <n v="34735.9"/>
    <n v="56633"/>
    <n v="91368.9"/>
    <n v="78952.5"/>
    <n v="18023.900000000001"/>
    <n v="96976.4"/>
    <n v="17.850000000000001"/>
    <n v="1.42"/>
    <n v="15004"/>
    <n v="93956.5"/>
    <n v="601.42999999999995"/>
    <n v="2400"/>
    <n v="185325.4"/>
    <n v="19.170000000000002"/>
    <n v="8000"/>
  </r>
  <r>
    <s v="8000_0.4_0.5_500_2.0_order_2"/>
    <x v="3"/>
    <n v="0.4"/>
    <n v="0.5"/>
    <n v="500"/>
    <n v="2"/>
    <n v="2"/>
    <x v="0"/>
    <n v="219348.1"/>
    <n v="82554.600000000006"/>
    <n v="136793.5"/>
    <n v="2400"/>
    <n v="600.04"/>
    <n v="33964"/>
    <n v="51962.3"/>
    <n v="85926.3"/>
    <n v="79843.8"/>
    <n v="17862.2"/>
    <n v="97706"/>
    <n v="16.28"/>
    <n v="1.61"/>
    <n v="14721.6"/>
    <n v="94565.4"/>
    <n v="601.65"/>
    <n v="2400"/>
    <n v="180491.7"/>
    <n v="17.71"/>
    <n v="8000"/>
  </r>
  <r>
    <s v="8000_0.4_0.5_500_2.0_order_3"/>
    <x v="3"/>
    <n v="0.4"/>
    <n v="0.5"/>
    <n v="500"/>
    <n v="2"/>
    <n v="3"/>
    <x v="0"/>
    <n v="220193.1"/>
    <n v="86632.4"/>
    <n v="133560.70000000001"/>
    <n v="2400"/>
    <n v="600"/>
    <n v="33561.1"/>
    <n v="51859.199999999997"/>
    <n v="85420.3"/>
    <n v="81553"/>
    <n v="17983.8"/>
    <n v="99536.8"/>
    <n v="16"/>
    <n v="1.45"/>
    <n v="15028.1"/>
    <n v="96581.1"/>
    <n v="601.45000000000005"/>
    <n v="2400"/>
    <n v="182001.4"/>
    <n v="17.34"/>
    <n v="8000"/>
  </r>
  <r>
    <s v="8000_0.4_0.5_500_2.0_order_4"/>
    <x v="3"/>
    <n v="0.4"/>
    <n v="0.5"/>
    <n v="500"/>
    <n v="2"/>
    <n v="4"/>
    <x v="0"/>
    <n v="204104.4"/>
    <n v="78709.2"/>
    <n v="125395.2"/>
    <n v="2400"/>
    <n v="600"/>
    <n v="30063.9"/>
    <n v="46566.9"/>
    <n v="76630.8"/>
    <n v="78728.3"/>
    <n v="18185"/>
    <n v="96913.3"/>
    <n v="14.97"/>
    <n v="1.32"/>
    <n v="15306.3"/>
    <n v="94034.6"/>
    <n v="601.32000000000005"/>
    <n v="2400"/>
    <n v="170665.4"/>
    <n v="16.38"/>
    <n v="8000"/>
  </r>
  <r>
    <s v="8000_0.4_0.5_500_2.0_order_5"/>
    <x v="3"/>
    <n v="0.4"/>
    <n v="0.5"/>
    <n v="500"/>
    <n v="2"/>
    <n v="5"/>
    <x v="0"/>
    <n v="232301.2"/>
    <n v="86860"/>
    <n v="145441.20000000001"/>
    <n v="2400"/>
    <n v="600.05999999999995"/>
    <n v="35089.599999999999"/>
    <n v="57089.7"/>
    <n v="92179.3"/>
    <n v="78166.399999999994"/>
    <n v="17728.7"/>
    <n v="95895.1"/>
    <n v="19.04"/>
    <n v="1.31"/>
    <n v="14775.5"/>
    <n v="92941.9"/>
    <n v="601.36"/>
    <n v="2400"/>
    <n v="185121.2"/>
    <n v="20.309999999999999"/>
    <n v="8000"/>
  </r>
  <r>
    <s v="8000_0.4_0.5_500_3.0_order_1"/>
    <x v="3"/>
    <n v="0.4"/>
    <n v="0.5"/>
    <n v="500"/>
    <n v="3"/>
    <n v="1"/>
    <x v="0"/>
    <n v="296222.40000000002"/>
    <n v="117972.9"/>
    <n v="178249.5"/>
    <n v="2400"/>
    <n v="600.01"/>
    <n v="47804.2"/>
    <n v="71532.399999999994"/>
    <n v="119336.6"/>
    <n v="82161.2"/>
    <n v="21086.7"/>
    <n v="103247.9"/>
    <n v="24.86"/>
    <n v="1.7"/>
    <n v="17387.400000000001"/>
    <n v="99548.6"/>
    <n v="601.72"/>
    <n v="2400"/>
    <n v="218885.2"/>
    <n v="26.11"/>
    <n v="8000"/>
  </r>
  <r>
    <s v="8000_0.4_0.5_500_3.0_order_2"/>
    <x v="3"/>
    <n v="0.4"/>
    <n v="0.5"/>
    <n v="500"/>
    <n v="3"/>
    <n v="2"/>
    <x v="0"/>
    <n v="292071.5"/>
    <n v="117693.5"/>
    <n v="174378"/>
    <n v="2400"/>
    <n v="600.01"/>
    <n v="48785.3"/>
    <n v="69826.7"/>
    <n v="118612"/>
    <n v="78682.2"/>
    <n v="20279.5"/>
    <n v="98961.7"/>
    <n v="25.51"/>
    <n v="1.91"/>
    <n v="16533.5"/>
    <n v="95215.7"/>
    <n v="601.91999999999996"/>
    <n v="2400"/>
    <n v="213827.7"/>
    <n v="26.79"/>
    <n v="8000"/>
  </r>
  <r>
    <s v="8000_0.4_0.5_500_3.0_order_3"/>
    <x v="3"/>
    <n v="0.4"/>
    <n v="0.5"/>
    <n v="500"/>
    <n v="3"/>
    <n v="3"/>
    <x v="0"/>
    <n v="284594.5"/>
    <n v="104800.7"/>
    <n v="179793.8"/>
    <n v="2400"/>
    <n v="600.01"/>
    <n v="43230"/>
    <n v="72197.8"/>
    <n v="115427.8"/>
    <n v="79487.7"/>
    <n v="19974.099999999999"/>
    <n v="99461.8"/>
    <n v="24.49"/>
    <n v="1.67"/>
    <n v="16140.4"/>
    <n v="95628.1"/>
    <n v="601.67999999999995"/>
    <n v="2400"/>
    <n v="211055.9"/>
    <n v="25.84"/>
    <n v="8000"/>
  </r>
  <r>
    <s v="8000_0.4_0.5_500_3.0_order_4"/>
    <x v="3"/>
    <n v="0.4"/>
    <n v="0.5"/>
    <n v="500"/>
    <n v="3"/>
    <n v="4"/>
    <x v="0"/>
    <n v="291141.09999999998"/>
    <n v="116731.8"/>
    <n v="174409.3"/>
    <n v="2400"/>
    <n v="600.04999999999995"/>
    <n v="48218.2"/>
    <n v="70442.3"/>
    <n v="118660.5"/>
    <n v="81586.2"/>
    <n v="20551.2"/>
    <n v="102137.4"/>
    <n v="24.16"/>
    <n v="1.96"/>
    <n v="16674.7"/>
    <n v="98260.9"/>
    <n v="602.01"/>
    <n v="2400"/>
    <n v="216921.4"/>
    <n v="25.49"/>
    <n v="8000"/>
  </r>
  <r>
    <s v="8000_0.4_0.5_500_3.0_order_5"/>
    <x v="3"/>
    <n v="0.4"/>
    <n v="0.5"/>
    <n v="500"/>
    <n v="3"/>
    <n v="5"/>
    <x v="0"/>
    <n v="298157.2"/>
    <n v="109464.7"/>
    <n v="188692.5"/>
    <n v="2400"/>
    <n v="600"/>
    <n v="45102.7"/>
    <n v="75935"/>
    <n v="121037.7"/>
    <n v="81679.5"/>
    <n v="20359.400000000001"/>
    <n v="102038.9"/>
    <n v="25.18"/>
    <n v="1.58"/>
    <n v="16708.3"/>
    <n v="98387.8"/>
    <n v="601.58000000000004"/>
    <n v="2400"/>
    <n v="219425.5"/>
    <n v="26.41"/>
    <n v="8000"/>
  </r>
  <r>
    <s v="2000_0.2_0.5_1000_1.0_order_1"/>
    <x v="0"/>
    <n v="0.2"/>
    <n v="0.5"/>
    <n v="1000"/>
    <n v="1"/>
    <n v="1"/>
    <x v="1"/>
    <n v="143148.20000000001"/>
    <n v="59273.2"/>
    <n v="83875"/>
    <n v="600"/>
    <n v="0.2"/>
    <n v="43579.4"/>
    <n v="64725.7"/>
    <n v="108305.1"/>
    <n v="12996.4"/>
    <n v="3489.1"/>
    <n v="16485.5"/>
    <n v="12.82"/>
    <n v="0.02"/>
    <n v="3327.2"/>
    <n v="16323.6"/>
    <n v="0.23"/>
    <n v="598"/>
    <n v="124628.7"/>
    <n v="12.94"/>
    <n v="2000"/>
  </r>
  <r>
    <s v="2000_0.2_0.5_1000_1.0_order_2"/>
    <x v="0"/>
    <n v="0.2"/>
    <n v="0.5"/>
    <n v="1000"/>
    <n v="1"/>
    <n v="2"/>
    <x v="1"/>
    <n v="146066.9"/>
    <n v="58967.199999999997"/>
    <n v="87099.7"/>
    <n v="600"/>
    <n v="0.21"/>
    <n v="44809.4"/>
    <n v="68776.399999999994"/>
    <n v="113585.8"/>
    <n v="12405.8"/>
    <n v="3535.5"/>
    <n v="15941.3"/>
    <n v="11.32"/>
    <n v="0.02"/>
    <n v="3332.5"/>
    <n v="15738.3"/>
    <n v="0.24"/>
    <n v="541"/>
    <n v="129324.1"/>
    <n v="11.46"/>
    <n v="2000"/>
  </r>
  <r>
    <s v="2000_0.2_0.5_1000_1.0_order_3"/>
    <x v="0"/>
    <n v="0.2"/>
    <n v="0.5"/>
    <n v="1000"/>
    <n v="1"/>
    <n v="3"/>
    <x v="1"/>
    <n v="149207.6"/>
    <n v="59172.800000000003"/>
    <n v="90034.8"/>
    <n v="600"/>
    <n v="0.23"/>
    <n v="44860.3"/>
    <n v="70156.800000000003"/>
    <n v="115017.1"/>
    <n v="11595.6"/>
    <n v="3121.7"/>
    <n v="14717.3"/>
    <n v="13.05"/>
    <n v="0.02"/>
    <n v="2934.5"/>
    <n v="14530.1"/>
    <n v="0.25"/>
    <n v="511"/>
    <n v="129547.2"/>
    <n v="13.18"/>
    <n v="2000"/>
  </r>
  <r>
    <s v="2000_0.2_0.5_1000_1.0_order_4"/>
    <x v="0"/>
    <n v="0.2"/>
    <n v="0.5"/>
    <n v="1000"/>
    <n v="1"/>
    <n v="4"/>
    <x v="1"/>
    <n v="153789.20000000001"/>
    <n v="63196.800000000003"/>
    <n v="90592.4"/>
    <n v="600"/>
    <n v="0.25"/>
    <n v="45696.6"/>
    <n v="68588.3"/>
    <n v="114284.9"/>
    <n v="13733.6"/>
    <n v="3647.4"/>
    <n v="17381"/>
    <n v="14.39"/>
    <n v="0.02"/>
    <n v="3400.5"/>
    <n v="17134.099999999999"/>
    <n v="0.27"/>
    <n v="600"/>
    <n v="131419"/>
    <n v="14.55"/>
    <n v="2000"/>
  </r>
  <r>
    <s v="2000_0.2_0.5_1000_1.0_order_5"/>
    <x v="0"/>
    <n v="0.2"/>
    <n v="0.5"/>
    <n v="1000"/>
    <n v="1"/>
    <n v="5"/>
    <x v="1"/>
    <n v="148706.20000000001"/>
    <n v="59702"/>
    <n v="89004.2"/>
    <n v="600"/>
    <n v="0.25"/>
    <n v="44729.9"/>
    <n v="68563.399999999994"/>
    <n v="113293.3"/>
    <n v="13570.9"/>
    <n v="3571.2"/>
    <n v="17142.099999999999"/>
    <n v="12.29"/>
    <n v="0.02"/>
    <n v="3342.9"/>
    <n v="16913.8"/>
    <n v="0.27"/>
    <n v="600"/>
    <n v="130207.1"/>
    <n v="12.44"/>
    <n v="2000"/>
  </r>
  <r>
    <s v="2000_0.2_0.5_1000_2.0_order_1"/>
    <x v="0"/>
    <n v="0.2"/>
    <n v="0.5"/>
    <n v="1000"/>
    <n v="2"/>
    <n v="1"/>
    <x v="1"/>
    <n v="224341"/>
    <n v="90336.7"/>
    <n v="134004.29999999999"/>
    <n v="600"/>
    <n v="0.41"/>
    <n v="71652.7"/>
    <n v="110202.9"/>
    <n v="181855.6"/>
    <n v="12853.6"/>
    <n v="3788.1"/>
    <n v="16641.7"/>
    <n v="11.52"/>
    <n v="0.03"/>
    <n v="3489.6"/>
    <n v="16343.2"/>
    <n v="0.44"/>
    <n v="569"/>
    <n v="198198.8"/>
    <n v="11.65"/>
    <n v="2000"/>
  </r>
  <r>
    <s v="2000_0.2_0.5_1000_2.0_order_2"/>
    <x v="0"/>
    <n v="0.2"/>
    <n v="0.5"/>
    <n v="1000"/>
    <n v="2"/>
    <n v="2"/>
    <x v="1"/>
    <n v="220474.4"/>
    <n v="85625.4"/>
    <n v="134849"/>
    <n v="600"/>
    <n v="0.36"/>
    <n v="67362.3"/>
    <n v="108730.9"/>
    <n v="176093.2"/>
    <n v="12899.1"/>
    <n v="3889.5"/>
    <n v="16788.599999999999"/>
    <n v="12.52"/>
    <n v="0.04"/>
    <n v="3509.4"/>
    <n v="16408.5"/>
    <n v="0.4"/>
    <n v="591"/>
    <n v="192501.7"/>
    <n v="12.69"/>
    <n v="2000"/>
  </r>
  <r>
    <s v="2000_0.2_0.5_1000_2.0_order_3"/>
    <x v="0"/>
    <n v="0.2"/>
    <n v="0.5"/>
    <n v="1000"/>
    <n v="2"/>
    <n v="3"/>
    <x v="1"/>
    <n v="220428.7"/>
    <n v="86108.800000000003"/>
    <n v="134319.9"/>
    <n v="600"/>
    <n v="0.35"/>
    <n v="69182.3"/>
    <n v="112320.4"/>
    <n v="181502.7"/>
    <n v="12273.4"/>
    <n v="3383.1"/>
    <n v="15656.5"/>
    <n v="10.56"/>
    <n v="0.03"/>
    <n v="3183.2"/>
    <n v="15456.6"/>
    <n v="0.38"/>
    <n v="569"/>
    <n v="196959.3"/>
    <n v="10.65"/>
    <n v="2000"/>
  </r>
  <r>
    <s v="2000_0.2_0.5_1000_2.0_order_4"/>
    <x v="0"/>
    <n v="0.2"/>
    <n v="0.5"/>
    <n v="1000"/>
    <n v="2"/>
    <n v="4"/>
    <x v="1"/>
    <n v="210055.4"/>
    <n v="82377.100000000006"/>
    <n v="127678.3"/>
    <n v="600"/>
    <n v="0.34"/>
    <n v="66751.899999999994"/>
    <n v="107056.2"/>
    <n v="173808.1"/>
    <n v="10133.299999999999"/>
    <n v="3399.9"/>
    <n v="13533.2"/>
    <n v="10.81"/>
    <n v="0.04"/>
    <n v="3203.8"/>
    <n v="13337.1"/>
    <n v="0.38"/>
    <n v="481"/>
    <n v="187145.2"/>
    <n v="10.91"/>
    <n v="2000"/>
  </r>
  <r>
    <s v="2000_0.2_0.5_1000_2.0_order_5"/>
    <x v="0"/>
    <n v="0.2"/>
    <n v="0.5"/>
    <n v="1000"/>
    <n v="2"/>
    <n v="5"/>
    <x v="1"/>
    <n v="223013.3"/>
    <n v="88414.3"/>
    <n v="134599"/>
    <n v="600"/>
    <n v="0.32"/>
    <n v="70595.100000000006"/>
    <n v="110543.5"/>
    <n v="181138.6"/>
    <n v="12700"/>
    <n v="4007.3"/>
    <n v="16707.3"/>
    <n v="11.29"/>
    <n v="0.05"/>
    <n v="3736.2"/>
    <n v="16436.2"/>
    <n v="0.37"/>
    <n v="571"/>
    <n v="197574.8"/>
    <n v="11.41"/>
    <n v="2000"/>
  </r>
  <r>
    <s v="2000_0.2_0.5_1000_3.0_order_1"/>
    <x v="0"/>
    <n v="0.2"/>
    <n v="0.5"/>
    <n v="1000"/>
    <n v="3"/>
    <n v="1"/>
    <x v="1"/>
    <n v="283040.5"/>
    <n v="115997.2"/>
    <n v="167043.29999999999"/>
    <n v="600"/>
    <n v="0.53"/>
    <n v="95296.8"/>
    <n v="142651.9"/>
    <n v="237948.7"/>
    <n v="12649.5"/>
    <n v="3829"/>
    <n v="16478.5"/>
    <n v="10.11"/>
    <n v="0.05"/>
    <n v="3623.4"/>
    <n v="16272.9"/>
    <n v="0.57999999999999996"/>
    <n v="570"/>
    <n v="254221.6"/>
    <n v="10.18"/>
    <n v="2000"/>
  </r>
  <r>
    <s v="2000_0.2_0.5_1000_3.0_order_2"/>
    <x v="0"/>
    <n v="0.2"/>
    <n v="0.5"/>
    <n v="1000"/>
    <n v="3"/>
    <n v="2"/>
    <x v="1"/>
    <n v="287067.8"/>
    <n v="115740.2"/>
    <n v="171327.6"/>
    <n v="600"/>
    <n v="0.47"/>
    <n v="95134.5"/>
    <n v="143969.29999999999"/>
    <n v="239103.8"/>
    <n v="11976"/>
    <n v="3900.5"/>
    <n v="15876.5"/>
    <n v="11.18"/>
    <n v="0.06"/>
    <n v="3725.2"/>
    <n v="15701.2"/>
    <n v="0.53"/>
    <n v="555"/>
    <n v="254805"/>
    <n v="11.24"/>
    <n v="2000"/>
  </r>
  <r>
    <s v="2000_0.2_0.5_1000_3.0_order_3"/>
    <x v="0"/>
    <n v="0.2"/>
    <n v="0.5"/>
    <n v="1000"/>
    <n v="3"/>
    <n v="3"/>
    <x v="1"/>
    <n v="275704.5"/>
    <n v="112434.7"/>
    <n v="163269.79999999999"/>
    <n v="600"/>
    <n v="0.52"/>
    <n v="91734.9"/>
    <n v="138953.79999999999"/>
    <n v="230688.7"/>
    <n v="12267.9"/>
    <n v="3555.6"/>
    <n v="15823.5"/>
    <n v="10.59"/>
    <n v="0.05"/>
    <n v="3302.4"/>
    <n v="15570.3"/>
    <n v="0.56000000000000005"/>
    <n v="563"/>
    <n v="246259"/>
    <n v="10.68"/>
    <n v="2000"/>
  </r>
  <r>
    <s v="2000_0.2_0.5_1000_3.0_order_4"/>
    <x v="0"/>
    <n v="0.2"/>
    <n v="0.5"/>
    <n v="1000"/>
    <n v="3"/>
    <n v="4"/>
    <x v="1"/>
    <n v="282330.5"/>
    <n v="110718.7"/>
    <n v="171611.8"/>
    <n v="600"/>
    <n v="0.53"/>
    <n v="91995.199999999997"/>
    <n v="147534.29999999999"/>
    <n v="239529.5"/>
    <n v="10219.700000000001"/>
    <n v="3594.5"/>
    <n v="13814.2"/>
    <n v="10.27"/>
    <n v="0.05"/>
    <n v="3357.8"/>
    <n v="13577.5"/>
    <n v="0.56999999999999995"/>
    <n v="480"/>
    <n v="253107"/>
    <n v="10.35"/>
    <n v="2000"/>
  </r>
  <r>
    <s v="2000_0.2_0.5_1000_3.0_order_5"/>
    <x v="0"/>
    <n v="0.2"/>
    <n v="0.5"/>
    <n v="1000"/>
    <n v="3"/>
    <n v="5"/>
    <x v="1"/>
    <n v="283217.40000000002"/>
    <n v="112913.8"/>
    <n v="170303.6"/>
    <n v="600"/>
    <n v="0.55000000000000004"/>
    <n v="91243.7"/>
    <n v="142064.70000000001"/>
    <n v="233308.4"/>
    <n v="12931.5"/>
    <n v="3948"/>
    <n v="16879.5"/>
    <n v="11.66"/>
    <n v="0.05"/>
    <n v="3652.8"/>
    <n v="16584.3"/>
    <n v="0.59"/>
    <n v="594"/>
    <n v="249892.7"/>
    <n v="11.77"/>
    <n v="2000"/>
  </r>
  <r>
    <s v="2000_0.2_0.5_2000_1.0_order_1"/>
    <x v="0"/>
    <n v="0.2"/>
    <n v="0.5"/>
    <n v="2000"/>
    <n v="1"/>
    <n v="1"/>
    <x v="1"/>
    <n v="294766.8"/>
    <n v="117148.4"/>
    <n v="177618.4"/>
    <n v="600"/>
    <n v="0.34"/>
    <n v="91615.9"/>
    <n v="143509.9"/>
    <n v="235125.8"/>
    <n v="12001.9"/>
    <n v="3637.1"/>
    <n v="15639"/>
    <n v="14.93"/>
    <n v="0.03"/>
    <n v="3455.2"/>
    <n v="15457.1"/>
    <n v="0.37"/>
    <n v="541"/>
    <n v="250582.9"/>
    <n v="14.99"/>
    <n v="2000"/>
  </r>
  <r>
    <s v="2000_0.2_0.5_2000_1.0_order_2"/>
    <x v="0"/>
    <n v="0.2"/>
    <n v="0.5"/>
    <n v="2000"/>
    <n v="1"/>
    <n v="2"/>
    <x v="1"/>
    <n v="298715.5"/>
    <n v="118446.39999999999"/>
    <n v="180269.1"/>
    <n v="600"/>
    <n v="0.34"/>
    <n v="90696.1"/>
    <n v="141644.79999999999"/>
    <n v="232340.9"/>
    <n v="13142.4"/>
    <n v="3639.9"/>
    <n v="16782.3"/>
    <n v="16.600000000000001"/>
    <n v="0.03"/>
    <n v="3383.3"/>
    <n v="16525.7"/>
    <n v="0.37"/>
    <n v="599"/>
    <n v="248866.6"/>
    <n v="16.690000000000001"/>
    <n v="2000"/>
  </r>
  <r>
    <s v="2000_0.2_0.5_2000_1.0_order_3"/>
    <x v="0"/>
    <n v="0.2"/>
    <n v="0.5"/>
    <n v="2000"/>
    <n v="1"/>
    <n v="3"/>
    <x v="1"/>
    <n v="291372.59999999998"/>
    <n v="115923.7"/>
    <n v="175448.9"/>
    <n v="600"/>
    <n v="0.28000000000000003"/>
    <n v="91388"/>
    <n v="141863.1"/>
    <n v="233251.1"/>
    <n v="11215"/>
    <n v="3695.8"/>
    <n v="14910.8"/>
    <n v="14.83"/>
    <n v="0.04"/>
    <n v="3439.6"/>
    <n v="14654.6"/>
    <n v="0.32"/>
    <n v="535"/>
    <n v="247905.7"/>
    <n v="14.92"/>
    <n v="2000"/>
  </r>
  <r>
    <s v="2000_0.2_0.5_2000_1.0_order_4"/>
    <x v="0"/>
    <n v="0.2"/>
    <n v="0.5"/>
    <n v="2000"/>
    <n v="1"/>
    <n v="4"/>
    <x v="1"/>
    <n v="294821.8"/>
    <n v="116489.4"/>
    <n v="178332.4"/>
    <n v="600"/>
    <n v="0.28999999999999998"/>
    <n v="91993.9"/>
    <n v="144959.79999999999"/>
    <n v="236953.7"/>
    <n v="13157.7"/>
    <n v="3578.6"/>
    <n v="16736.3"/>
    <n v="13.95"/>
    <n v="0.03"/>
    <n v="3298"/>
    <n v="16455.7"/>
    <n v="0.33"/>
    <n v="598"/>
    <n v="253409.4"/>
    <n v="14.05"/>
    <n v="2000"/>
  </r>
  <r>
    <s v="2000_0.2_0.5_2000_1.0_order_5"/>
    <x v="0"/>
    <n v="0.2"/>
    <n v="0.5"/>
    <n v="2000"/>
    <n v="1"/>
    <n v="5"/>
    <x v="1"/>
    <n v="290639.59999999998"/>
    <n v="114516.4"/>
    <n v="176123.2"/>
    <n v="600"/>
    <n v="0.31"/>
    <n v="88188.6"/>
    <n v="139850.9"/>
    <n v="228039.5"/>
    <n v="12827.5"/>
    <n v="3928.9"/>
    <n v="16756.400000000001"/>
    <n v="15.77"/>
    <n v="0.03"/>
    <n v="3694.8"/>
    <n v="16522.3"/>
    <n v="0.35"/>
    <n v="598"/>
    <n v="244561.8"/>
    <n v="15.85"/>
    <n v="2000"/>
  </r>
  <r>
    <s v="2000_0.2_0.5_2000_2.0_order_1"/>
    <x v="0"/>
    <n v="0.2"/>
    <n v="0.5"/>
    <n v="2000"/>
    <n v="2"/>
    <n v="1"/>
    <x v="1"/>
    <n v="429372.1"/>
    <n v="169836.6"/>
    <n v="259535.5"/>
    <n v="600"/>
    <n v="0.56999999999999995"/>
    <n v="141180.20000000001"/>
    <n v="222277.7"/>
    <n v="363457.9"/>
    <n v="11931.9"/>
    <n v="3766.7"/>
    <n v="15698.6"/>
    <n v="11.7"/>
    <n v="0.06"/>
    <n v="3566"/>
    <n v="15497.9"/>
    <n v="0.63"/>
    <n v="561"/>
    <n v="378955.8"/>
    <n v="11.74"/>
    <n v="2000"/>
  </r>
  <r>
    <s v="2000_0.2_0.5_2000_2.0_order_2"/>
    <x v="0"/>
    <n v="0.2"/>
    <n v="0.5"/>
    <n v="2000"/>
    <n v="2"/>
    <n v="2"/>
    <x v="1"/>
    <n v="449279.9"/>
    <n v="176283.8"/>
    <n v="272996.09999999998"/>
    <n v="600"/>
    <n v="0.6"/>
    <n v="141962.9"/>
    <n v="227229"/>
    <n v="369191.9"/>
    <n v="12241.7"/>
    <n v="4240.1000000000004"/>
    <n v="16481.8"/>
    <n v="14.16"/>
    <n v="0.05"/>
    <n v="3744.3"/>
    <n v="15986"/>
    <n v="0.65"/>
    <n v="560"/>
    <n v="385177.9"/>
    <n v="14.27"/>
    <n v="2000"/>
  </r>
  <r>
    <s v="2000_0.2_0.5_2000_2.0_order_3"/>
    <x v="0"/>
    <n v="0.2"/>
    <n v="0.5"/>
    <n v="2000"/>
    <n v="2"/>
    <n v="3"/>
    <x v="1"/>
    <n v="434628.2"/>
    <n v="169462.1"/>
    <n v="265166.09999999998"/>
    <n v="600"/>
    <n v="0.54"/>
    <n v="136581"/>
    <n v="223748"/>
    <n v="360329"/>
    <n v="12004.6"/>
    <n v="4335.6000000000004"/>
    <n v="16340.2"/>
    <n v="13.34"/>
    <n v="0.05"/>
    <n v="4064.2"/>
    <n v="16068.8"/>
    <n v="0.59"/>
    <n v="545"/>
    <n v="376397.8"/>
    <n v="13.4"/>
    <n v="2000"/>
  </r>
  <r>
    <s v="2000_0.2_0.5_2000_2.0_order_4"/>
    <x v="0"/>
    <n v="0.2"/>
    <n v="0.5"/>
    <n v="2000"/>
    <n v="2"/>
    <n v="4"/>
    <x v="1"/>
    <n v="434426.7"/>
    <n v="171944.5"/>
    <n v="262482.2"/>
    <n v="600"/>
    <n v="0.54"/>
    <n v="139506.79999999999"/>
    <n v="222467.8"/>
    <n v="361974.6"/>
    <n v="11461.2"/>
    <n v="4092.3"/>
    <n v="15553.5"/>
    <n v="13.1"/>
    <n v="0.05"/>
    <n v="3742.1"/>
    <n v="15203.3"/>
    <n v="0.59"/>
    <n v="527"/>
    <n v="377177.9"/>
    <n v="13.18"/>
    <n v="2000"/>
  </r>
  <r>
    <s v="2000_0.2_0.5_2000_2.0_order_5"/>
    <x v="0"/>
    <n v="0.2"/>
    <n v="0.5"/>
    <n v="2000"/>
    <n v="2"/>
    <n v="5"/>
    <x v="1"/>
    <n v="445237.3"/>
    <n v="173515.2"/>
    <n v="271722.09999999998"/>
    <n v="600"/>
    <n v="0.56000000000000005"/>
    <n v="141264.70000000001"/>
    <n v="229295.9"/>
    <n v="370560.6"/>
    <n v="11674.2"/>
    <n v="3824.4"/>
    <n v="15498.6"/>
    <n v="13.29"/>
    <n v="0.06"/>
    <n v="3480.5"/>
    <n v="15154.7"/>
    <n v="0.62"/>
    <n v="543"/>
    <n v="385715.3"/>
    <n v="13.37"/>
    <n v="2000"/>
  </r>
  <r>
    <s v="2000_0.2_0.5_2000_3.0_order_1"/>
    <x v="0"/>
    <n v="0.2"/>
    <n v="0.5"/>
    <n v="2000"/>
    <n v="3"/>
    <n v="1"/>
    <x v="1"/>
    <n v="567589.1"/>
    <n v="227659.9"/>
    <n v="339929.2"/>
    <n v="600"/>
    <n v="1.04"/>
    <n v="193358.8"/>
    <n v="294068.5"/>
    <n v="487427.3"/>
    <n v="11696.4"/>
    <n v="3847.8"/>
    <n v="15544.2"/>
    <n v="11.38"/>
    <n v="0.06"/>
    <n v="3553.5"/>
    <n v="15249.9"/>
    <n v="1.1000000000000001"/>
    <n v="546"/>
    <n v="502677.2"/>
    <n v="11.44"/>
    <n v="2000"/>
  </r>
  <r>
    <s v="2000_0.2_0.5_2000_3.0_order_2"/>
    <x v="0"/>
    <n v="0.2"/>
    <n v="0.5"/>
    <n v="2000"/>
    <n v="3"/>
    <n v="2"/>
    <x v="1"/>
    <n v="574652.6"/>
    <n v="228791.7"/>
    <n v="345860.9"/>
    <n v="600"/>
    <n v="1.01"/>
    <n v="190559.2"/>
    <n v="298846.5"/>
    <n v="489405.7"/>
    <n v="12255.8"/>
    <n v="4096.5"/>
    <n v="16352.3"/>
    <n v="11.99"/>
    <n v="0.05"/>
    <n v="3772.2"/>
    <n v="16028"/>
    <n v="1.06"/>
    <n v="563"/>
    <n v="505433.7"/>
    <n v="12.05"/>
    <n v="2000"/>
  </r>
  <r>
    <s v="2000_0.2_0.5_2000_3.0_order_3"/>
    <x v="0"/>
    <n v="0.2"/>
    <n v="0.5"/>
    <n v="2000"/>
    <n v="3"/>
    <n v="3"/>
    <x v="1"/>
    <n v="569085.69999999995"/>
    <n v="222208.8"/>
    <n v="346876.9"/>
    <n v="600"/>
    <n v="1.08"/>
    <n v="184926.7"/>
    <n v="297105.59999999998"/>
    <n v="482032.3"/>
    <n v="11608"/>
    <n v="4042.7"/>
    <n v="15650.7"/>
    <n v="12.55"/>
    <n v="0.06"/>
    <n v="3734.2"/>
    <n v="15342.2"/>
    <n v="1.1399999999999999"/>
    <n v="526"/>
    <n v="497374.5"/>
    <n v="12.6"/>
    <n v="2000"/>
  </r>
  <r>
    <s v="2000_0.2_0.5_2000_3.0_order_4"/>
    <x v="0"/>
    <n v="0.2"/>
    <n v="0.5"/>
    <n v="2000"/>
    <n v="3"/>
    <n v="4"/>
    <x v="1"/>
    <n v="568129.1"/>
    <n v="230045.8"/>
    <n v="338083.3"/>
    <n v="600"/>
    <n v="0.98"/>
    <n v="189308.1"/>
    <n v="289178.7"/>
    <n v="478486.8"/>
    <n v="12317.8"/>
    <n v="3885.1"/>
    <n v="16202.9"/>
    <n v="12.93"/>
    <n v="0.06"/>
    <n v="3683.5"/>
    <n v="16001.3"/>
    <n v="1.04"/>
    <n v="562"/>
    <n v="494488.1"/>
    <n v="12.96"/>
    <n v="2000"/>
  </r>
  <r>
    <s v="2000_0.2_0.5_2000_3.0_order_5"/>
    <x v="0"/>
    <n v="0.2"/>
    <n v="0.5"/>
    <n v="2000"/>
    <n v="3"/>
    <n v="5"/>
    <x v="1"/>
    <n v="568907.69999999995"/>
    <n v="232908.3"/>
    <n v="335999.4"/>
    <n v="600"/>
    <n v="1.02"/>
    <n v="195500.6"/>
    <n v="289043.40000000002"/>
    <n v="484544"/>
    <n v="11162.9"/>
    <n v="3883.5"/>
    <n v="15046.4"/>
    <n v="12.18"/>
    <n v="0.05"/>
    <n v="3653"/>
    <n v="14815.9"/>
    <n v="1.07"/>
    <n v="524"/>
    <n v="499359.9"/>
    <n v="12.22"/>
    <n v="2000"/>
  </r>
  <r>
    <s v="2000_0.2_0.5_500_1.0_order_1"/>
    <x v="0"/>
    <n v="0.2"/>
    <n v="0.5"/>
    <n v="500"/>
    <n v="1"/>
    <n v="1"/>
    <x v="1"/>
    <n v="72828.100000000006"/>
    <n v="30131.8"/>
    <n v="42696.3"/>
    <n v="600"/>
    <n v="0.2"/>
    <n v="22767.599999999999"/>
    <n v="33676.5"/>
    <n v="56444.1"/>
    <n v="8421.2999999999993"/>
    <n v="1876.1"/>
    <n v="10297.4"/>
    <n v="8.36"/>
    <n v="0.01"/>
    <n v="1771.4"/>
    <n v="10192.700000000001"/>
    <n v="0.21"/>
    <n v="362"/>
    <n v="66636.800000000003"/>
    <n v="8.5"/>
    <n v="2000"/>
  </r>
  <r>
    <s v="2000_0.2_0.5_500_1.0_order_2"/>
    <x v="0"/>
    <n v="0.2"/>
    <n v="0.5"/>
    <n v="500"/>
    <n v="1"/>
    <n v="2"/>
    <x v="1"/>
    <n v="73709.399999999994"/>
    <n v="30448"/>
    <n v="43261.4"/>
    <n v="600"/>
    <n v="0.2"/>
    <n v="24518"/>
    <n v="36776.6"/>
    <n v="61294.6"/>
    <n v="5663.6"/>
    <n v="1138.4000000000001"/>
    <n v="6802"/>
    <n v="7.61"/>
    <n v="0"/>
    <n v="1078"/>
    <n v="6741.6"/>
    <n v="0.2"/>
    <n v="227"/>
    <n v="68036.2"/>
    <n v="7.7"/>
    <n v="2000"/>
  </r>
  <r>
    <s v="2000_0.2_0.5_500_1.0_order_3"/>
    <x v="0"/>
    <n v="0.2"/>
    <n v="0.5"/>
    <n v="500"/>
    <n v="1"/>
    <n v="3"/>
    <x v="1"/>
    <n v="73291.199999999997"/>
    <n v="29361"/>
    <n v="43930.2"/>
    <n v="600"/>
    <n v="0.19"/>
    <n v="22247.8"/>
    <n v="33318.800000000003"/>
    <n v="55566.6"/>
    <n v="11235.1"/>
    <n v="2424.1"/>
    <n v="13659.2"/>
    <n v="5.55"/>
    <n v="0.02"/>
    <n v="2298.1999999999998"/>
    <n v="13533.3"/>
    <n v="0.21"/>
    <n v="474"/>
    <n v="69099.899999999994"/>
    <n v="5.72"/>
    <n v="2000"/>
  </r>
  <r>
    <s v="2000_0.2_0.5_500_1.0_order_4"/>
    <x v="0"/>
    <n v="0.2"/>
    <n v="0.5"/>
    <n v="500"/>
    <n v="1"/>
    <n v="4"/>
    <x v="1"/>
    <n v="70840.800000000003"/>
    <n v="28183.5"/>
    <n v="42657.3"/>
    <n v="600"/>
    <n v="0.21"/>
    <n v="20815.3"/>
    <n v="32964.699999999997"/>
    <n v="53780"/>
    <n v="9576.2000000000007"/>
    <n v="2220.8000000000002"/>
    <n v="11797"/>
    <n v="7.43"/>
    <n v="0.01"/>
    <n v="2031.1"/>
    <n v="11607.3"/>
    <n v="0.22"/>
    <n v="405"/>
    <n v="65387.3"/>
    <n v="7.7"/>
    <n v="2000"/>
  </r>
  <r>
    <s v="2000_0.2_0.5_500_1.0_order_5"/>
    <x v="0"/>
    <n v="0.2"/>
    <n v="0.5"/>
    <n v="500"/>
    <n v="1"/>
    <n v="5"/>
    <x v="1"/>
    <n v="71315"/>
    <n v="28392.400000000001"/>
    <n v="42922.6"/>
    <n v="600"/>
    <n v="0.18"/>
    <n v="21069.599999999999"/>
    <n v="34233.599999999999"/>
    <n v="55303.199999999997"/>
    <n v="8591.6"/>
    <n v="2342.8000000000002"/>
    <n v="10934.4"/>
    <n v="7.12"/>
    <n v="0.01"/>
    <n v="2207.6"/>
    <n v="10799.2"/>
    <n v="0.19"/>
    <n v="357"/>
    <n v="66102.399999999994"/>
    <n v="7.31"/>
    <n v="2000"/>
  </r>
  <r>
    <s v="2000_0.2_0.5_500_2.0_order_1"/>
    <x v="0"/>
    <n v="0.2"/>
    <n v="0.5"/>
    <n v="500"/>
    <n v="2"/>
    <n v="1"/>
    <x v="1"/>
    <n v="109987.8"/>
    <n v="45375.9"/>
    <n v="64611.9"/>
    <n v="600"/>
    <n v="0.26"/>
    <n v="34987.9"/>
    <n v="50360.2"/>
    <n v="85348.1"/>
    <n v="12803.7"/>
    <n v="3177.9"/>
    <n v="15981.6"/>
    <n v="7.87"/>
    <n v="0.02"/>
    <n v="2991.6"/>
    <n v="15795.3"/>
    <n v="0.28000000000000003"/>
    <n v="541"/>
    <n v="101143.4"/>
    <n v="8.0399999999999991"/>
    <n v="2000"/>
  </r>
  <r>
    <s v="2000_0.2_0.5_500_2.0_order_2"/>
    <x v="0"/>
    <n v="0.2"/>
    <n v="0.5"/>
    <n v="500"/>
    <n v="2"/>
    <n v="2"/>
    <x v="1"/>
    <n v="111693.6"/>
    <n v="43333.7"/>
    <n v="68359.899999999994"/>
    <n v="600"/>
    <n v="0.24"/>
    <n v="32750.5"/>
    <n v="52292"/>
    <n v="85042.5"/>
    <n v="12712"/>
    <n v="3355.2"/>
    <n v="16067.2"/>
    <n v="9.48"/>
    <n v="0.02"/>
    <n v="3192.9"/>
    <n v="15904.9"/>
    <n v="0.26"/>
    <n v="571"/>
    <n v="100947.4"/>
    <n v="9.6199999999999992"/>
    <n v="2000"/>
  </r>
  <r>
    <s v="2000_0.2_0.5_500_2.0_order_3"/>
    <x v="0"/>
    <n v="0.2"/>
    <n v="0.5"/>
    <n v="500"/>
    <n v="2"/>
    <n v="3"/>
    <x v="1"/>
    <n v="105271.7"/>
    <n v="43538.6"/>
    <n v="61733.1"/>
    <n v="600"/>
    <n v="0.27"/>
    <n v="33375.599999999999"/>
    <n v="49158.8"/>
    <n v="82534.399999999994"/>
    <n v="12048.1"/>
    <n v="2953.2"/>
    <n v="15001.3"/>
    <n v="7.35"/>
    <n v="0.02"/>
    <n v="2819.9"/>
    <n v="14868"/>
    <n v="0.28000000000000003"/>
    <n v="541"/>
    <n v="97402.4"/>
    <n v="7.48"/>
    <n v="2000"/>
  </r>
  <r>
    <s v="2000_0.2_0.5_500_2.0_order_4"/>
    <x v="0"/>
    <n v="0.2"/>
    <n v="0.5"/>
    <n v="500"/>
    <n v="2"/>
    <n v="4"/>
    <x v="1"/>
    <n v="114285.5"/>
    <n v="42781.8"/>
    <n v="71503.7"/>
    <n v="600"/>
    <n v="0.28000000000000003"/>
    <n v="35210.400000000001"/>
    <n v="59757.2"/>
    <n v="94967.6"/>
    <n v="8714"/>
    <n v="2529.3000000000002"/>
    <n v="11243.3"/>
    <n v="7.07"/>
    <n v="0.01"/>
    <n v="2418.6999999999998"/>
    <n v="11132.7"/>
    <n v="0.28999999999999998"/>
    <n v="375"/>
    <n v="106100.3"/>
    <n v="7.16"/>
    <n v="2000"/>
  </r>
  <r>
    <s v="2000_0.2_0.5_500_2.0_order_5"/>
    <x v="0"/>
    <n v="0.2"/>
    <n v="0.5"/>
    <n v="500"/>
    <n v="2"/>
    <n v="5"/>
    <x v="1"/>
    <n v="111707.3"/>
    <n v="45068.7"/>
    <n v="66638.600000000006"/>
    <n v="600"/>
    <n v="0.26"/>
    <n v="35030.300000000003"/>
    <n v="52969.2"/>
    <n v="87999.5"/>
    <n v="12082.3"/>
    <n v="2978.2"/>
    <n v="15060.5"/>
    <n v="7.74"/>
    <n v="0.02"/>
    <n v="2870.8"/>
    <n v="14953.1"/>
    <n v="0.27"/>
    <n v="510"/>
    <n v="102952.6"/>
    <n v="7.84"/>
    <n v="2000"/>
  </r>
  <r>
    <s v="2000_0.2_0.5_500_3.0_order_1"/>
    <x v="0"/>
    <n v="0.2"/>
    <n v="0.5"/>
    <n v="500"/>
    <n v="3"/>
    <n v="1"/>
    <x v="1"/>
    <n v="138293.29999999999"/>
    <n v="53910.1"/>
    <n v="84383.2"/>
    <n v="600"/>
    <n v="0.36"/>
    <n v="41331"/>
    <n v="69039.899999999994"/>
    <n v="110370.9"/>
    <n v="13241.7"/>
    <n v="3495.1"/>
    <n v="16736.8"/>
    <n v="8.09"/>
    <n v="0.03"/>
    <n v="3342.6"/>
    <n v="16584.3"/>
    <n v="0.38"/>
    <n v="593"/>
    <n v="126955.2"/>
    <n v="8.1999999999999993"/>
    <n v="2000"/>
  </r>
  <r>
    <s v="2000_0.2_0.5_500_3.0_order_2"/>
    <x v="0"/>
    <n v="0.2"/>
    <n v="0.5"/>
    <n v="500"/>
    <n v="3"/>
    <n v="2"/>
    <x v="1"/>
    <n v="139556.20000000001"/>
    <n v="57942.1"/>
    <n v="81614.100000000006"/>
    <n v="600"/>
    <n v="0.37"/>
    <n v="45357.9"/>
    <n v="65475"/>
    <n v="110832.9"/>
    <n v="13215"/>
    <n v="3324.8"/>
    <n v="16539.8"/>
    <n v="8.73"/>
    <n v="0.03"/>
    <n v="3166.4"/>
    <n v="16381.4"/>
    <n v="0.4"/>
    <n v="600"/>
    <n v="127214.3"/>
    <n v="8.84"/>
    <n v="2000"/>
  </r>
  <r>
    <s v="2000_0.2_0.5_500_3.0_order_3"/>
    <x v="0"/>
    <n v="0.2"/>
    <n v="0.5"/>
    <n v="500"/>
    <n v="3"/>
    <n v="3"/>
    <x v="1"/>
    <n v="140624"/>
    <n v="57347.7"/>
    <n v="83276.3"/>
    <n v="600"/>
    <n v="0.38"/>
    <n v="46334"/>
    <n v="69037.7"/>
    <n v="115371.7"/>
    <n v="11646"/>
    <n v="3290.2"/>
    <n v="14936.2"/>
    <n v="7.34"/>
    <n v="0.03"/>
    <n v="3031"/>
    <n v="14677"/>
    <n v="0.41"/>
    <n v="558"/>
    <n v="130048.7"/>
    <n v="7.52"/>
    <n v="2000"/>
  </r>
  <r>
    <s v="2000_0.2_0.5_500_3.0_order_4"/>
    <x v="0"/>
    <n v="0.2"/>
    <n v="0.5"/>
    <n v="500"/>
    <n v="3"/>
    <n v="4"/>
    <x v="1"/>
    <n v="139265.5"/>
    <n v="58904"/>
    <n v="80361.5"/>
    <n v="600"/>
    <n v="0.37"/>
    <n v="47305.5"/>
    <n v="65902.100000000006"/>
    <n v="113207.6"/>
    <n v="13194.3"/>
    <n v="3750.4"/>
    <n v="16944.7"/>
    <n v="6.54"/>
    <n v="0.03"/>
    <n v="3515.5"/>
    <n v="16709.8"/>
    <n v="0.4"/>
    <n v="599"/>
    <n v="129917.4"/>
    <n v="6.71"/>
    <n v="2000"/>
  </r>
  <r>
    <s v="2000_0.2_0.5_500_3.0_order_5"/>
    <x v="0"/>
    <n v="0.2"/>
    <n v="0.5"/>
    <n v="500"/>
    <n v="3"/>
    <n v="5"/>
    <x v="1"/>
    <n v="150784.5"/>
    <n v="62011.8"/>
    <n v="88772.7"/>
    <n v="600"/>
    <n v="0.38"/>
    <n v="50117.4"/>
    <n v="74370.8"/>
    <n v="124488.2"/>
    <n v="11141.3"/>
    <n v="3256.9"/>
    <n v="14398.2"/>
    <n v="7.89"/>
    <n v="0.03"/>
    <n v="2991.8"/>
    <n v="14133.1"/>
    <n v="0.41"/>
    <n v="504"/>
    <n v="138621.29999999999"/>
    <n v="8.07"/>
    <n v="2000"/>
  </r>
  <r>
    <s v="2000_0.3_0.5_1000_1.0_order_1"/>
    <x v="0"/>
    <n v="0.3"/>
    <n v="0.5"/>
    <n v="1000"/>
    <n v="1"/>
    <n v="1"/>
    <x v="1"/>
    <n v="143469.20000000001"/>
    <n v="56871.8"/>
    <n v="86597.4"/>
    <n v="600"/>
    <n v="0.19"/>
    <n v="39418.400000000001"/>
    <n v="63142.1"/>
    <n v="102560.5"/>
    <n v="13508.4"/>
    <n v="5038.3"/>
    <n v="18546.7"/>
    <n v="15.59"/>
    <n v="0.06"/>
    <n v="4806.1000000000004"/>
    <n v="18314.5"/>
    <n v="0.25"/>
    <n v="597"/>
    <n v="120875"/>
    <n v="15.75"/>
    <n v="2000"/>
  </r>
  <r>
    <s v="2000_0.3_0.5_1000_1.0_order_2"/>
    <x v="0"/>
    <n v="0.3"/>
    <n v="0.5"/>
    <n v="1000"/>
    <n v="1"/>
    <n v="2"/>
    <x v="1"/>
    <n v="151717.5"/>
    <n v="60829.1"/>
    <n v="90888.4"/>
    <n v="600"/>
    <n v="0.24"/>
    <n v="40464.800000000003"/>
    <n v="64530.1"/>
    <n v="104994.9"/>
    <n v="14119.4"/>
    <n v="4799.8999999999996"/>
    <n v="18919.3"/>
    <n v="18.329999999999998"/>
    <n v="0.04"/>
    <n v="4629.7"/>
    <n v="18749.099999999999"/>
    <n v="0.28000000000000003"/>
    <n v="600"/>
    <n v="123744"/>
    <n v="18.440000000000001"/>
    <n v="2000"/>
  </r>
  <r>
    <s v="2000_0.3_0.5_1000_1.0_order_3"/>
    <x v="0"/>
    <n v="0.3"/>
    <n v="0.5"/>
    <n v="1000"/>
    <n v="1"/>
    <n v="3"/>
    <x v="1"/>
    <n v="147202.29999999999"/>
    <n v="59853.2"/>
    <n v="87349.1"/>
    <n v="600"/>
    <n v="0.21"/>
    <n v="41521.4"/>
    <n v="62304.800000000003"/>
    <n v="103826.2"/>
    <n v="12871.6"/>
    <n v="4828"/>
    <n v="17699.599999999999"/>
    <n v="17.440000000000001"/>
    <n v="0.05"/>
    <n v="4534.3999999999996"/>
    <n v="17406"/>
    <n v="0.26"/>
    <n v="566"/>
    <n v="121232.2"/>
    <n v="17.64"/>
    <n v="2000"/>
  </r>
  <r>
    <s v="2000_0.3_0.5_1000_1.0_order_4"/>
    <x v="0"/>
    <n v="0.3"/>
    <n v="0.5"/>
    <n v="1000"/>
    <n v="1"/>
    <n v="4"/>
    <x v="1"/>
    <n v="144352.9"/>
    <n v="59480.4"/>
    <n v="84872.5"/>
    <n v="600"/>
    <n v="0.2"/>
    <n v="40382.9"/>
    <n v="60364.2"/>
    <n v="100747.1"/>
    <n v="13430.4"/>
    <n v="5086.5"/>
    <n v="18516.900000000001"/>
    <n v="17.38"/>
    <n v="0.06"/>
    <n v="4883.2"/>
    <n v="18313.599999999999"/>
    <n v="0.26"/>
    <n v="570"/>
    <n v="119060.7"/>
    <n v="17.52"/>
    <n v="2000"/>
  </r>
  <r>
    <s v="2000_0.3_0.5_1000_1.0_order_5"/>
    <x v="0"/>
    <n v="0.3"/>
    <n v="0.5"/>
    <n v="1000"/>
    <n v="1"/>
    <n v="5"/>
    <x v="1"/>
    <n v="148278.39999999999"/>
    <n v="59478.6"/>
    <n v="88799.8"/>
    <n v="600"/>
    <n v="0.19"/>
    <n v="41633.800000000003"/>
    <n v="64424.800000000003"/>
    <n v="106058.6"/>
    <n v="12543.6"/>
    <n v="4648.1000000000004"/>
    <n v="17191.7"/>
    <n v="16.88"/>
    <n v="0.05"/>
    <n v="4533.8"/>
    <n v="17077.400000000001"/>
    <n v="0.24"/>
    <n v="541"/>
    <n v="123136"/>
    <n v="16.96"/>
    <n v="2000"/>
  </r>
  <r>
    <s v="2000_0.3_0.5_1000_2.0_order_1"/>
    <x v="0"/>
    <n v="0.3"/>
    <n v="0.5"/>
    <n v="1000"/>
    <n v="2"/>
    <n v="1"/>
    <x v="1"/>
    <n v="226019.20000000001"/>
    <n v="89595.9"/>
    <n v="136423.29999999999"/>
    <n v="600"/>
    <n v="0.33"/>
    <n v="65176.4"/>
    <n v="103869.5"/>
    <n v="169045.9"/>
    <n v="13345"/>
    <n v="5587.5"/>
    <n v="18932.5"/>
    <n v="16.829999999999998"/>
    <n v="0.09"/>
    <n v="5316"/>
    <n v="18661"/>
    <n v="0.42"/>
    <n v="582"/>
    <n v="187706.9"/>
    <n v="16.95"/>
    <n v="2000"/>
  </r>
  <r>
    <s v="2000_0.3_0.5_1000_2.0_order_2"/>
    <x v="0"/>
    <n v="0.3"/>
    <n v="0.5"/>
    <n v="1000"/>
    <n v="2"/>
    <n v="2"/>
    <x v="1"/>
    <n v="220764"/>
    <n v="89826.2"/>
    <n v="130937.8"/>
    <n v="600"/>
    <n v="0.35"/>
    <n v="65547.3"/>
    <n v="100701.4"/>
    <n v="166248.70000000001"/>
    <n v="13494.8"/>
    <n v="5438.7"/>
    <n v="18933.5"/>
    <n v="16.12"/>
    <n v="0.09"/>
    <n v="5156.3999999999996"/>
    <n v="18651.2"/>
    <n v="0.44"/>
    <n v="600"/>
    <n v="184899.9"/>
    <n v="16.25"/>
    <n v="2000"/>
  </r>
  <r>
    <s v="2000_0.3_0.5_1000_2.0_order_3"/>
    <x v="0"/>
    <n v="0.3"/>
    <n v="0.5"/>
    <n v="1000"/>
    <n v="2"/>
    <n v="3"/>
    <x v="1"/>
    <n v="224411.9"/>
    <n v="89500.3"/>
    <n v="134911.6"/>
    <n v="600"/>
    <n v="0.35"/>
    <n v="66186.7"/>
    <n v="103369.7"/>
    <n v="169556.4"/>
    <n v="13760.6"/>
    <n v="5324.2"/>
    <n v="19084.8"/>
    <n v="15.94"/>
    <n v="0.09"/>
    <n v="5142.7"/>
    <n v="18903.3"/>
    <n v="0.44"/>
    <n v="600"/>
    <n v="188459.7"/>
    <n v="16.02"/>
    <n v="2000"/>
  </r>
  <r>
    <s v="2000_0.3_0.5_1000_2.0_order_4"/>
    <x v="0"/>
    <n v="0.3"/>
    <n v="0.5"/>
    <n v="1000"/>
    <n v="2"/>
    <n v="4"/>
    <x v="1"/>
    <n v="226364.1"/>
    <n v="92915.3"/>
    <n v="133448.79999999999"/>
    <n v="600"/>
    <n v="0.39"/>
    <n v="68559.3"/>
    <n v="104858.3"/>
    <n v="173417.60000000001"/>
    <n v="13411.4"/>
    <n v="5032.6000000000004"/>
    <n v="18444"/>
    <n v="15.24"/>
    <n v="0.09"/>
    <n v="4878.3999999999996"/>
    <n v="18289.8"/>
    <n v="0.48"/>
    <n v="597"/>
    <n v="191707.4"/>
    <n v="15.31"/>
    <n v="2000"/>
  </r>
  <r>
    <s v="2000_0.3_0.5_1000_2.0_order_5"/>
    <x v="0"/>
    <n v="0.3"/>
    <n v="0.5"/>
    <n v="1000"/>
    <n v="2"/>
    <n v="5"/>
    <x v="1"/>
    <n v="223723.8"/>
    <n v="88167.2"/>
    <n v="135556.6"/>
    <n v="600"/>
    <n v="0.36"/>
    <n v="65451.199999999997"/>
    <n v="104412.8"/>
    <n v="169864"/>
    <n v="12837.3"/>
    <n v="5293.4"/>
    <n v="18130.7"/>
    <n v="15.97"/>
    <n v="0.08"/>
    <n v="5062.5"/>
    <n v="17899.8"/>
    <n v="0.45"/>
    <n v="584"/>
    <n v="187763.8"/>
    <n v="16.07"/>
    <n v="2000"/>
  </r>
  <r>
    <s v="2000_0.3_0.5_1000_3.0_order_1"/>
    <x v="0"/>
    <n v="0.3"/>
    <n v="0.5"/>
    <n v="1000"/>
    <n v="3"/>
    <n v="1"/>
    <x v="1"/>
    <n v="288442.5"/>
    <n v="113101.1"/>
    <n v="175341.4"/>
    <n v="600"/>
    <n v="0.55000000000000004"/>
    <n v="87421.7"/>
    <n v="141340.1"/>
    <n v="228761.8"/>
    <n v="13386.4"/>
    <n v="5639"/>
    <n v="19025.400000000001"/>
    <n v="14.09"/>
    <n v="0.11"/>
    <n v="5431.8"/>
    <n v="18818.2"/>
    <n v="0.66"/>
    <n v="584"/>
    <n v="247580"/>
    <n v="14.17"/>
    <n v="2000"/>
  </r>
  <r>
    <s v="2000_0.3_0.5_1000_3.0_order_2"/>
    <x v="0"/>
    <n v="0.3"/>
    <n v="0.5"/>
    <n v="1000"/>
    <n v="3"/>
    <n v="2"/>
    <x v="1"/>
    <n v="287701.09999999998"/>
    <n v="113553.1"/>
    <n v="174148"/>
    <n v="600"/>
    <n v="0.55000000000000004"/>
    <n v="85784.5"/>
    <n v="136258.5"/>
    <n v="222043"/>
    <n v="12810.1"/>
    <n v="5809.6"/>
    <n v="18619.7"/>
    <n v="16.350000000000001"/>
    <n v="0.09"/>
    <n v="5536.3"/>
    <n v="18346.400000000001"/>
    <n v="0.64"/>
    <n v="568"/>
    <n v="240389.4"/>
    <n v="16.440000000000001"/>
    <n v="2000"/>
  </r>
  <r>
    <s v="2000_0.3_0.5_1000_3.0_order_3"/>
    <x v="0"/>
    <n v="0.3"/>
    <n v="0.5"/>
    <n v="1000"/>
    <n v="3"/>
    <n v="3"/>
    <x v="1"/>
    <n v="274857.09999999998"/>
    <n v="108945.7"/>
    <n v="165911.4"/>
    <n v="600"/>
    <n v="0.57999999999999996"/>
    <n v="84109.1"/>
    <n v="135181.20000000001"/>
    <n v="219290.3"/>
    <n v="12599.4"/>
    <n v="5336.4"/>
    <n v="17935.8"/>
    <n v="13.69"/>
    <n v="0.1"/>
    <n v="5164"/>
    <n v="17763.400000000001"/>
    <n v="0.67"/>
    <n v="572"/>
    <n v="237053.7"/>
    <n v="13.75"/>
    <n v="2000"/>
  </r>
  <r>
    <s v="2000_0.3_0.5_1000_3.0_order_4"/>
    <x v="0"/>
    <n v="0.3"/>
    <n v="0.5"/>
    <n v="1000"/>
    <n v="3"/>
    <n v="4"/>
    <x v="1"/>
    <n v="292725.7"/>
    <n v="118548.5"/>
    <n v="174177.2"/>
    <n v="600"/>
    <n v="0.63"/>
    <n v="92193.9"/>
    <n v="139774.70000000001"/>
    <n v="231968.6"/>
    <n v="12664.1"/>
    <n v="5554"/>
    <n v="18218.099999999999"/>
    <n v="14.53"/>
    <n v="0.1"/>
    <n v="5301.6"/>
    <n v="17965.7"/>
    <n v="0.73"/>
    <n v="562"/>
    <n v="249934.3"/>
    <n v="14.62"/>
    <n v="2000"/>
  </r>
  <r>
    <s v="2000_0.3_0.5_1000_3.0_order_5"/>
    <x v="0"/>
    <n v="0.3"/>
    <n v="0.5"/>
    <n v="1000"/>
    <n v="3"/>
    <n v="5"/>
    <x v="1"/>
    <n v="279635.3"/>
    <n v="110407.9"/>
    <n v="169227.4"/>
    <n v="600"/>
    <n v="0.54"/>
    <n v="85522.6"/>
    <n v="136808.79999999999"/>
    <n v="222331.4"/>
    <n v="12729.9"/>
    <n v="5482.8"/>
    <n v="18212.7"/>
    <n v="13.98"/>
    <n v="0.11"/>
    <n v="5308.8"/>
    <n v="18038.7"/>
    <n v="0.65"/>
    <n v="573"/>
    <n v="240370.1"/>
    <n v="14.04"/>
    <n v="2000"/>
  </r>
  <r>
    <s v="2000_0.3_0.5_2000_1.0_order_1"/>
    <x v="0"/>
    <n v="0.3"/>
    <n v="0.5"/>
    <n v="2000"/>
    <n v="1"/>
    <n v="1"/>
    <x v="1"/>
    <n v="289583.90000000002"/>
    <n v="121580.7"/>
    <n v="168003.20000000001"/>
    <n v="600"/>
    <n v="0.31"/>
    <n v="87788.4"/>
    <n v="124285.1"/>
    <n v="212073.5"/>
    <n v="13073.5"/>
    <n v="5546.7"/>
    <n v="18620.2"/>
    <n v="20.34"/>
    <n v="0.1"/>
    <n v="5233.2"/>
    <n v="18306.7"/>
    <n v="0.41"/>
    <n v="575"/>
    <n v="230380.2"/>
    <n v="20.440000000000001"/>
    <n v="2000"/>
  </r>
  <r>
    <s v="2000_0.3_0.5_2000_1.0_order_2"/>
    <x v="0"/>
    <n v="0.3"/>
    <n v="0.5"/>
    <n v="2000"/>
    <n v="1"/>
    <n v="2"/>
    <x v="1"/>
    <n v="300140.09999999998"/>
    <n v="119249.7"/>
    <n v="180890.4"/>
    <n v="600"/>
    <n v="0.28999999999999998"/>
    <n v="83553.5"/>
    <n v="132688.70000000001"/>
    <n v="216242.2"/>
    <n v="13357.6"/>
    <n v="5608.7"/>
    <n v="18966.3"/>
    <n v="21.63"/>
    <n v="0.09"/>
    <n v="5392.4"/>
    <n v="18750"/>
    <n v="0.38"/>
    <n v="596"/>
    <n v="234992.2"/>
    <n v="21.71"/>
    <n v="2000"/>
  </r>
  <r>
    <s v="2000_0.3_0.5_2000_1.0_order_3"/>
    <x v="0"/>
    <n v="0.3"/>
    <n v="0.5"/>
    <n v="2000"/>
    <n v="1"/>
    <n v="3"/>
    <x v="1"/>
    <n v="290338.59999999998"/>
    <n v="115863.1"/>
    <n v="174475.5"/>
    <n v="600"/>
    <n v="0.28999999999999998"/>
    <n v="84552.1"/>
    <n v="131922.5"/>
    <n v="216474.6"/>
    <n v="12621.8"/>
    <n v="5555.5"/>
    <n v="18177.3"/>
    <n v="19.18"/>
    <n v="0.08"/>
    <n v="5266.6"/>
    <n v="17888.400000000001"/>
    <n v="0.37"/>
    <n v="580"/>
    <n v="234363"/>
    <n v="19.28"/>
    <n v="2000"/>
  </r>
  <r>
    <s v="2000_0.3_0.5_2000_1.0_order_4"/>
    <x v="0"/>
    <n v="0.3"/>
    <n v="0.5"/>
    <n v="2000"/>
    <n v="1"/>
    <n v="4"/>
    <x v="1"/>
    <n v="295767.40000000002"/>
    <n v="117585.9"/>
    <n v="178181.5"/>
    <n v="600"/>
    <n v="0.28999999999999998"/>
    <n v="85262.1"/>
    <n v="133374.1"/>
    <n v="218636.2"/>
    <n v="13068.1"/>
    <n v="5406.4"/>
    <n v="18474.5"/>
    <n v="19.829999999999998"/>
    <n v="0.08"/>
    <n v="5100.5"/>
    <n v="18168.599999999999"/>
    <n v="0.37"/>
    <n v="580"/>
    <n v="236804.8"/>
    <n v="19.940000000000001"/>
    <n v="2000"/>
  </r>
  <r>
    <s v="2000_0.3_0.5_2000_1.0_order_5"/>
    <x v="0"/>
    <n v="0.3"/>
    <n v="0.5"/>
    <n v="2000"/>
    <n v="1"/>
    <n v="5"/>
    <x v="1"/>
    <n v="304712"/>
    <n v="117046.9"/>
    <n v="187665.1"/>
    <n v="600"/>
    <n v="0.3"/>
    <n v="83572.899999999994"/>
    <n v="140695.20000000001"/>
    <n v="224268.1"/>
    <n v="13380.6"/>
    <n v="5486.4"/>
    <n v="18867"/>
    <n v="20.21"/>
    <n v="0.09"/>
    <n v="5170"/>
    <n v="18550.599999999999"/>
    <n v="0.39"/>
    <n v="597"/>
    <n v="242818.7"/>
    <n v="20.309999999999999"/>
    <n v="2000"/>
  </r>
  <r>
    <s v="2000_0.3_0.5_2000_2.0_order_1"/>
    <x v="0"/>
    <n v="0.3"/>
    <n v="0.5"/>
    <n v="2000"/>
    <n v="2"/>
    <n v="1"/>
    <x v="1"/>
    <n v="439539.6"/>
    <n v="174410.9"/>
    <n v="265128.7"/>
    <n v="600"/>
    <n v="0.65"/>
    <n v="131131.6"/>
    <n v="206013.9"/>
    <n v="337145.5"/>
    <n v="12547.4"/>
    <n v="5594"/>
    <n v="18141.400000000001"/>
    <n v="19.170000000000002"/>
    <n v="0.1"/>
    <n v="5319.8"/>
    <n v="17867.2"/>
    <n v="0.75"/>
    <n v="568"/>
    <n v="355012.7"/>
    <n v="19.23"/>
    <n v="2000"/>
  </r>
  <r>
    <s v="2000_0.3_0.5_2000_2.0_order_2"/>
    <x v="0"/>
    <n v="0.3"/>
    <n v="0.5"/>
    <n v="2000"/>
    <n v="2"/>
    <n v="2"/>
    <x v="1"/>
    <n v="439572.5"/>
    <n v="169352"/>
    <n v="270220.5"/>
    <n v="600"/>
    <n v="0.66"/>
    <n v="126030.8"/>
    <n v="215293.6"/>
    <n v="341324.4"/>
    <n v="13075.8"/>
    <n v="5915"/>
    <n v="18990.8"/>
    <n v="18.03"/>
    <n v="0.12"/>
    <n v="5608.1"/>
    <n v="18683.900000000001"/>
    <n v="0.79"/>
    <n v="583"/>
    <n v="360008.3"/>
    <n v="18.100000000000001"/>
    <n v="2000"/>
  </r>
  <r>
    <s v="2000_0.3_0.5_2000_2.0_order_3"/>
    <x v="0"/>
    <n v="0.3"/>
    <n v="0.5"/>
    <n v="2000"/>
    <n v="2"/>
    <n v="3"/>
    <x v="1"/>
    <n v="444091.5"/>
    <n v="175675.5"/>
    <n v="268416"/>
    <n v="600"/>
    <n v="0.68"/>
    <n v="134632.6"/>
    <n v="211876.9"/>
    <n v="346509.5"/>
    <n v="12121.4"/>
    <n v="5583.6"/>
    <n v="17705"/>
    <n v="17.989999999999998"/>
    <n v="0.11"/>
    <n v="5260.5"/>
    <n v="17381.900000000001"/>
    <n v="0.79"/>
    <n v="554"/>
    <n v="363891.4"/>
    <n v="18.059999999999999"/>
    <n v="2000"/>
  </r>
  <r>
    <s v="2000_0.3_0.5_2000_2.0_order_4"/>
    <x v="0"/>
    <n v="0.3"/>
    <n v="0.5"/>
    <n v="2000"/>
    <n v="2"/>
    <n v="4"/>
    <x v="1"/>
    <n v="443193.7"/>
    <n v="177975.9"/>
    <n v="265217.8"/>
    <n v="600"/>
    <n v="0.7"/>
    <n v="135165.9"/>
    <n v="208382.1"/>
    <n v="343548"/>
    <n v="12403.6"/>
    <n v="5550.2"/>
    <n v="17953.8"/>
    <n v="18.43"/>
    <n v="0.12"/>
    <n v="5273"/>
    <n v="17676.599999999999"/>
    <n v="0.81"/>
    <n v="568"/>
    <n v="361224.6"/>
    <n v="18.5"/>
    <n v="2000"/>
  </r>
  <r>
    <s v="2000_0.3_0.5_2000_2.0_order_5"/>
    <x v="0"/>
    <n v="0.3"/>
    <n v="0.5"/>
    <n v="2000"/>
    <n v="2"/>
    <n v="5"/>
    <x v="1"/>
    <n v="463838.9"/>
    <n v="182621.5"/>
    <n v="281217.40000000002"/>
    <n v="600"/>
    <n v="0.76"/>
    <n v="136855.29999999999"/>
    <n v="220849.7"/>
    <n v="357705"/>
    <n v="12566.8"/>
    <n v="5873.6"/>
    <n v="18440.400000000001"/>
    <n v="18.91"/>
    <n v="0.16"/>
    <n v="5508"/>
    <n v="18074.8"/>
    <n v="0.91"/>
    <n v="556"/>
    <n v="375779.8"/>
    <n v="18.98"/>
    <n v="2000"/>
  </r>
  <r>
    <s v="2000_0.3_0.5_2000_3.0_order_1"/>
    <x v="0"/>
    <n v="0.3"/>
    <n v="0.5"/>
    <n v="2000"/>
    <n v="3"/>
    <n v="1"/>
    <x v="1"/>
    <n v="556141.4"/>
    <n v="221894.1"/>
    <n v="334247.3"/>
    <n v="600"/>
    <n v="1.1000000000000001"/>
    <n v="171057.9"/>
    <n v="271255.7"/>
    <n v="442313.6"/>
    <n v="12500.2"/>
    <n v="5904.3"/>
    <n v="18404.5"/>
    <n v="17.16"/>
    <n v="0.16"/>
    <n v="5704.3"/>
    <n v="18204.5"/>
    <n v="1.25"/>
    <n v="554"/>
    <n v="460518.1"/>
    <n v="17.190000000000001"/>
    <n v="2000"/>
  </r>
  <r>
    <s v="2000_0.3_0.5_2000_3.0_order_2"/>
    <x v="0"/>
    <n v="0.3"/>
    <n v="0.5"/>
    <n v="2000"/>
    <n v="3"/>
    <n v="2"/>
    <x v="1"/>
    <n v="560257"/>
    <n v="221512.4"/>
    <n v="338744.6"/>
    <n v="600"/>
    <n v="1.2"/>
    <n v="174446.7"/>
    <n v="275239.90000000002"/>
    <n v="449686.6"/>
    <n v="12134"/>
    <n v="5884.9"/>
    <n v="18018.900000000001"/>
    <n v="16.52"/>
    <n v="0.13"/>
    <n v="5663.8"/>
    <n v="17797.8"/>
    <n v="1.33"/>
    <n v="560"/>
    <n v="467484.4"/>
    <n v="16.559999999999999"/>
    <n v="2000"/>
  </r>
  <r>
    <s v="2000_0.3_0.5_2000_3.0_order_3"/>
    <x v="0"/>
    <n v="0.3"/>
    <n v="0.5"/>
    <n v="2000"/>
    <n v="3"/>
    <n v="3"/>
    <x v="1"/>
    <n v="568524.9"/>
    <n v="227982.2"/>
    <n v="340542.7"/>
    <n v="600"/>
    <n v="1.2"/>
    <n v="174731.3"/>
    <n v="276430.09999999998"/>
    <n v="451161.4"/>
    <n v="12645"/>
    <n v="5796.9"/>
    <n v="18441.900000000001"/>
    <n v="17.399999999999999"/>
    <n v="0.12"/>
    <n v="5609.6"/>
    <n v="18254.599999999999"/>
    <n v="1.33"/>
    <n v="558"/>
    <n v="469416"/>
    <n v="17.43"/>
    <n v="2000"/>
  </r>
  <r>
    <s v="2000_0.3_0.5_2000_3.0_order_4"/>
    <x v="0"/>
    <n v="0.3"/>
    <n v="0.5"/>
    <n v="2000"/>
    <n v="3"/>
    <n v="4"/>
    <x v="1"/>
    <n v="572096.9"/>
    <n v="227950.6"/>
    <n v="344146.3"/>
    <n v="600"/>
    <n v="1.31"/>
    <n v="178561.5"/>
    <n v="281038.8"/>
    <n v="459600.3"/>
    <n v="11978.7"/>
    <n v="5939"/>
    <n v="17917.7"/>
    <n v="16.53"/>
    <n v="0.13"/>
    <n v="5539.9"/>
    <n v="17518.599999999999"/>
    <n v="1.44"/>
    <n v="549"/>
    <n v="477118.9"/>
    <n v="16.600000000000001"/>
    <n v="2000"/>
  </r>
  <r>
    <s v="2000_0.3_0.5_2000_3.0_order_5"/>
    <x v="0"/>
    <n v="0.3"/>
    <n v="0.5"/>
    <n v="2000"/>
    <n v="3"/>
    <n v="5"/>
    <x v="1"/>
    <n v="563961.5"/>
    <n v="224204.2"/>
    <n v="339757.3"/>
    <n v="600"/>
    <n v="1.21"/>
    <n v="176129.2"/>
    <n v="277531"/>
    <n v="453660.2"/>
    <n v="12678.2"/>
    <n v="5749.9"/>
    <n v="18428.099999999999"/>
    <n v="16.29"/>
    <n v="0.12"/>
    <n v="5589.7"/>
    <n v="18267.900000000001"/>
    <n v="1.33"/>
    <n v="576"/>
    <n v="471928.1"/>
    <n v="16.32"/>
    <n v="2000"/>
  </r>
  <r>
    <s v="2000_0.3_0.5_500_1.0_order_1"/>
    <x v="0"/>
    <n v="0.3"/>
    <n v="0.5"/>
    <n v="500"/>
    <n v="1"/>
    <n v="1"/>
    <x v="1"/>
    <n v="74756.5"/>
    <n v="30616.9"/>
    <n v="44139.6"/>
    <n v="600"/>
    <n v="0.19"/>
    <n v="22196.9"/>
    <n v="32954.699999999997"/>
    <n v="55151.6"/>
    <n v="9696.5"/>
    <n v="3114"/>
    <n v="12810.5"/>
    <n v="9.09"/>
    <n v="0.02"/>
    <n v="3021.4"/>
    <n v="12717.9"/>
    <n v="0.21"/>
    <n v="411"/>
    <n v="67869.5"/>
    <n v="9.2100000000000009"/>
    <n v="2000"/>
  </r>
  <r>
    <s v="2000_0.3_0.5_500_1.0_order_2"/>
    <x v="0"/>
    <n v="0.3"/>
    <n v="0.5"/>
    <n v="500"/>
    <n v="1"/>
    <n v="2"/>
    <x v="1"/>
    <n v="70154.3"/>
    <n v="27368.3"/>
    <n v="42786"/>
    <n v="600"/>
    <n v="0.18"/>
    <n v="19302.3"/>
    <n v="32828.699999999997"/>
    <n v="52131"/>
    <n v="10624.5"/>
    <n v="3224.1"/>
    <n v="13848.6"/>
    <n v="5.95"/>
    <n v="0.02"/>
    <n v="3082"/>
    <n v="13706.5"/>
    <n v="0.2"/>
    <n v="440"/>
    <n v="65837.5"/>
    <n v="6.15"/>
    <n v="2000"/>
  </r>
  <r>
    <s v="2000_0.3_0.5_500_1.0_order_3"/>
    <x v="0"/>
    <n v="0.3"/>
    <n v="0.5"/>
    <n v="500"/>
    <n v="1"/>
    <n v="3"/>
    <x v="1"/>
    <n v="75606.899999999994"/>
    <n v="30252.1"/>
    <n v="45354.8"/>
    <n v="600"/>
    <n v="0.17"/>
    <n v="21850.9"/>
    <n v="34018.6"/>
    <n v="55869.5"/>
    <n v="9706.5"/>
    <n v="3409.9"/>
    <n v="13116.4"/>
    <n v="8.76"/>
    <n v="0.02"/>
    <n v="3300.5"/>
    <n v="13007"/>
    <n v="0.19"/>
    <n v="414"/>
    <n v="68876.5"/>
    <n v="8.9"/>
    <n v="2000"/>
  </r>
  <r>
    <s v="2000_0.3_0.5_500_1.0_order_4"/>
    <x v="0"/>
    <n v="0.3"/>
    <n v="0.5"/>
    <n v="500"/>
    <n v="1"/>
    <n v="4"/>
    <x v="1"/>
    <n v="75315.199999999997"/>
    <n v="30632"/>
    <n v="44683.199999999997"/>
    <n v="600"/>
    <n v="0.2"/>
    <n v="21394.2"/>
    <n v="33127.699999999997"/>
    <n v="54521.9"/>
    <n v="10199.5"/>
    <n v="3542.9"/>
    <n v="13742.4"/>
    <n v="9.36"/>
    <n v="0.02"/>
    <n v="3315.2"/>
    <n v="13514.7"/>
    <n v="0.22"/>
    <n v="431"/>
    <n v="68036.600000000006"/>
    <n v="9.66"/>
    <n v="2000"/>
  </r>
  <r>
    <s v="2000_0.3_0.5_500_1.0_order_5"/>
    <x v="0"/>
    <n v="0.3"/>
    <n v="0.5"/>
    <n v="500"/>
    <n v="1"/>
    <n v="5"/>
    <x v="1"/>
    <n v="73279.899999999994"/>
    <n v="27895.1"/>
    <n v="45384.800000000003"/>
    <n v="600"/>
    <n v="0.18"/>
    <n v="19571.900000000001"/>
    <n v="34107.599999999999"/>
    <n v="53679.5"/>
    <n v="9109.7999999999993"/>
    <n v="2956.3"/>
    <n v="12066.1"/>
    <n v="10.28"/>
    <n v="0.02"/>
    <n v="2832.7"/>
    <n v="11942.5"/>
    <n v="0.19"/>
    <n v="385"/>
    <n v="65622"/>
    <n v="10.45"/>
    <n v="2000"/>
  </r>
  <r>
    <s v="2000_0.3_0.5_500_2.0_order_1"/>
    <x v="0"/>
    <n v="0.3"/>
    <n v="0.5"/>
    <n v="500"/>
    <n v="2"/>
    <n v="1"/>
    <x v="1"/>
    <n v="110472.8"/>
    <n v="42931.8"/>
    <n v="67541"/>
    <n v="600"/>
    <n v="0.24"/>
    <n v="30117.599999999999"/>
    <n v="51542.7"/>
    <n v="81660.3"/>
    <n v="12803.8"/>
    <n v="4650.8"/>
    <n v="17454.599999999999"/>
    <n v="10.28"/>
    <n v="0.05"/>
    <n v="4407.3"/>
    <n v="17211.099999999999"/>
    <n v="0.28999999999999998"/>
    <n v="567"/>
    <n v="98871.4"/>
    <n v="10.5"/>
    <n v="2000"/>
  </r>
  <r>
    <s v="2000_0.3_0.5_500_2.0_order_2"/>
    <x v="0"/>
    <n v="0.3"/>
    <n v="0.5"/>
    <n v="500"/>
    <n v="2"/>
    <n v="2"/>
    <x v="1"/>
    <n v="106280.6"/>
    <n v="42654.400000000001"/>
    <n v="63626.2"/>
    <n v="600"/>
    <n v="0.26"/>
    <n v="30703.7"/>
    <n v="47870.1"/>
    <n v="78573.8"/>
    <n v="13379.7"/>
    <n v="4605.8"/>
    <n v="17985.5"/>
    <n v="9.15"/>
    <n v="0.05"/>
    <n v="4304.3"/>
    <n v="17684"/>
    <n v="0.31"/>
    <n v="599"/>
    <n v="96257.8"/>
    <n v="9.43"/>
    <n v="2000"/>
  </r>
  <r>
    <s v="2000_0.3_0.5_500_2.0_order_3"/>
    <x v="0"/>
    <n v="0.3"/>
    <n v="0.5"/>
    <n v="500"/>
    <n v="2"/>
    <n v="3"/>
    <x v="1"/>
    <n v="107447.3"/>
    <n v="42720.6"/>
    <n v="64726.7"/>
    <n v="600"/>
    <n v="0.26"/>
    <n v="30305.7"/>
    <n v="48283.8"/>
    <n v="78589.5"/>
    <n v="12734.3"/>
    <n v="4535.7"/>
    <n v="17270"/>
    <n v="10.78"/>
    <n v="0.06"/>
    <n v="4439.5"/>
    <n v="17173.8"/>
    <n v="0.32"/>
    <n v="555"/>
    <n v="95763.3"/>
    <n v="10.87"/>
    <n v="2000"/>
  </r>
  <r>
    <s v="2000_0.3_0.5_500_2.0_order_4"/>
    <x v="0"/>
    <n v="0.3"/>
    <n v="0.5"/>
    <n v="500"/>
    <n v="2"/>
    <n v="4"/>
    <x v="1"/>
    <n v="109197.5"/>
    <n v="44088"/>
    <n v="65109.5"/>
    <n v="600"/>
    <n v="0.26"/>
    <n v="30996.400000000001"/>
    <n v="48383.4"/>
    <n v="79379.8"/>
    <n v="13183"/>
    <n v="4801.2"/>
    <n v="17984.2"/>
    <n v="10.84"/>
    <n v="0.05"/>
    <n v="4641.3"/>
    <n v="17824.3"/>
    <n v="0.31"/>
    <n v="569"/>
    <n v="97204.1"/>
    <n v="10.98"/>
    <n v="2000"/>
  </r>
  <r>
    <s v="2000_0.3_0.5_500_2.0_order_5"/>
    <x v="0"/>
    <n v="0.3"/>
    <n v="0.5"/>
    <n v="500"/>
    <n v="2"/>
    <n v="5"/>
    <x v="1"/>
    <n v="111481.7"/>
    <n v="43469.4"/>
    <n v="68012.3"/>
    <n v="600"/>
    <n v="0.26"/>
    <n v="30378.799999999999"/>
    <n v="50597.7"/>
    <n v="80976.5"/>
    <n v="13273.9"/>
    <n v="4809.6000000000004"/>
    <n v="18083.5"/>
    <n v="11.14"/>
    <n v="0.06"/>
    <n v="4432.8999999999996"/>
    <n v="17706.8"/>
    <n v="0.32"/>
    <n v="576"/>
    <n v="98683.3"/>
    <n v="11.48"/>
    <n v="2000"/>
  </r>
  <r>
    <s v="2000_0.3_0.5_500_3.0_order_1"/>
    <x v="0"/>
    <n v="0.3"/>
    <n v="0.5"/>
    <n v="500"/>
    <n v="3"/>
    <n v="1"/>
    <x v="1"/>
    <n v="143946.29999999999"/>
    <n v="57323.8"/>
    <n v="86622.5"/>
    <n v="600"/>
    <n v="0.34"/>
    <n v="43431.7"/>
    <n v="67311.199999999997"/>
    <n v="110742.9"/>
    <n v="12523.3"/>
    <n v="5226.2"/>
    <n v="17749.5"/>
    <n v="10.74"/>
    <n v="7.0000000000000007E-2"/>
    <n v="5058.6000000000004"/>
    <n v="17581.900000000001"/>
    <n v="0.42"/>
    <n v="554"/>
    <n v="128324.8"/>
    <n v="10.85"/>
    <n v="2000"/>
  </r>
  <r>
    <s v="2000_0.3_0.5_500_3.0_order_2"/>
    <x v="0"/>
    <n v="0.3"/>
    <n v="0.5"/>
    <n v="500"/>
    <n v="3"/>
    <n v="2"/>
    <x v="1"/>
    <n v="137491.9"/>
    <n v="53804.5"/>
    <n v="83687.399999999994"/>
    <n v="600"/>
    <n v="0.32"/>
    <n v="40880.199999999997"/>
    <n v="67333"/>
    <n v="108213.2"/>
    <n v="11717.2"/>
    <n v="4862.2"/>
    <n v="16579.400000000001"/>
    <n v="9.24"/>
    <n v="0.06"/>
    <n v="4637.3"/>
    <n v="16354.5"/>
    <n v="0.39"/>
    <n v="523"/>
    <n v="124567.7"/>
    <n v="9.4"/>
    <n v="2000"/>
  </r>
  <r>
    <s v="2000_0.3_0.5_500_3.0_order_3"/>
    <x v="0"/>
    <n v="0.3"/>
    <n v="0.5"/>
    <n v="500"/>
    <n v="3"/>
    <n v="3"/>
    <x v="1"/>
    <n v="134184.20000000001"/>
    <n v="54224.9"/>
    <n v="79959.3"/>
    <n v="600"/>
    <n v="0.3"/>
    <n v="40549.300000000003"/>
    <n v="62270.8"/>
    <n v="102820.1"/>
    <n v="12956.1"/>
    <n v="5118.6000000000004"/>
    <n v="18074.7"/>
    <n v="9.9"/>
    <n v="0.06"/>
    <n v="4878.2"/>
    <n v="17834.3"/>
    <n v="0.36"/>
    <n v="571"/>
    <n v="120654.39999999999"/>
    <n v="10.08"/>
    <n v="2000"/>
  </r>
  <r>
    <s v="2000_0.3_0.5_500_3.0_order_4"/>
    <x v="0"/>
    <n v="0.3"/>
    <n v="0.5"/>
    <n v="500"/>
    <n v="3"/>
    <n v="4"/>
    <x v="1"/>
    <n v="140703.4"/>
    <n v="54175.8"/>
    <n v="86527.6"/>
    <n v="600"/>
    <n v="0.33"/>
    <n v="41580.6"/>
    <n v="69474"/>
    <n v="111054.6"/>
    <n v="12363.5"/>
    <n v="5034.1000000000004"/>
    <n v="17397.599999999999"/>
    <n v="8.7100000000000009"/>
    <n v="7.0000000000000007E-2"/>
    <n v="4835"/>
    <n v="17198.5"/>
    <n v="0.39"/>
    <n v="559"/>
    <n v="128253.1"/>
    <n v="8.85"/>
    <n v="2000"/>
  </r>
  <r>
    <s v="2000_0.3_0.5_500_3.0_order_5"/>
    <x v="0"/>
    <n v="0.3"/>
    <n v="0.5"/>
    <n v="500"/>
    <n v="3"/>
    <n v="5"/>
    <x v="1"/>
    <n v="136155.6"/>
    <n v="51030.7"/>
    <n v="85124.9"/>
    <n v="600"/>
    <n v="0.33"/>
    <n v="38882.5"/>
    <n v="67814.600000000006"/>
    <n v="106697.1"/>
    <n v="12294.8"/>
    <n v="4707.8999999999996"/>
    <n v="17002.7"/>
    <n v="9.15"/>
    <n v="0.06"/>
    <n v="4422.5"/>
    <n v="16717.3"/>
    <n v="0.38"/>
    <n v="539"/>
    <n v="123414.39999999999"/>
    <n v="9.36"/>
    <n v="2000"/>
  </r>
  <r>
    <s v="2000_0.4_0.5_1000_1.0_order_1"/>
    <x v="0"/>
    <n v="0.4"/>
    <n v="0.5"/>
    <n v="1000"/>
    <n v="1"/>
    <n v="1"/>
    <x v="1"/>
    <n v="146743.6"/>
    <n v="58000.4"/>
    <n v="88743.2"/>
    <n v="600"/>
    <n v="0.19"/>
    <n v="36616.400000000001"/>
    <n v="60184.2"/>
    <n v="96800.6"/>
    <n v="13932.9"/>
    <n v="6439.3"/>
    <n v="20372.2"/>
    <n v="20.149999999999999"/>
    <n v="0.1"/>
    <n v="6222.8"/>
    <n v="20155.7"/>
    <n v="0.28999999999999998"/>
    <n v="600"/>
    <n v="116956.3"/>
    <n v="20.3"/>
    <n v="2000"/>
  </r>
  <r>
    <s v="2000_0.4_0.5_1000_1.0_order_2"/>
    <x v="0"/>
    <n v="0.4"/>
    <n v="0.5"/>
    <n v="1000"/>
    <n v="1"/>
    <n v="2"/>
    <x v="1"/>
    <n v="147538.70000000001"/>
    <n v="60411.8"/>
    <n v="87126.9"/>
    <n v="600"/>
    <n v="0.19"/>
    <n v="39005.5"/>
    <n v="59079.7"/>
    <n v="98085.2"/>
    <n v="13921.3"/>
    <n v="6369.9"/>
    <n v="20291.2"/>
    <n v="19.77"/>
    <n v="0.1"/>
    <n v="6140.2"/>
    <n v="20061.5"/>
    <n v="0.28999999999999998"/>
    <n v="599"/>
    <n v="118146.7"/>
    <n v="19.920000000000002"/>
    <n v="2000"/>
  </r>
  <r>
    <s v="2000_0.4_0.5_1000_1.0_order_3"/>
    <x v="0"/>
    <n v="0.4"/>
    <n v="0.5"/>
    <n v="1000"/>
    <n v="1"/>
    <n v="3"/>
    <x v="1"/>
    <n v="147212.4"/>
    <n v="60036.4"/>
    <n v="87176"/>
    <n v="600"/>
    <n v="0.19"/>
    <n v="37081.699999999997"/>
    <n v="58289.1"/>
    <n v="95370.8"/>
    <n v="13674.8"/>
    <n v="6401.6"/>
    <n v="20076.400000000001"/>
    <n v="21.58"/>
    <n v="0.09"/>
    <n v="6277.8"/>
    <n v="19952.599999999999"/>
    <n v="0.28000000000000003"/>
    <n v="571"/>
    <n v="115323.4"/>
    <n v="21.66"/>
    <n v="2000"/>
  </r>
  <r>
    <s v="2000_0.4_0.5_1000_1.0_order_4"/>
    <x v="0"/>
    <n v="0.4"/>
    <n v="0.5"/>
    <n v="1000"/>
    <n v="1"/>
    <n v="4"/>
    <x v="1"/>
    <n v="148707.4"/>
    <n v="61039"/>
    <n v="87668.4"/>
    <n v="600"/>
    <n v="0.19"/>
    <n v="37865.699999999997"/>
    <n v="57310.8"/>
    <n v="95176.5"/>
    <n v="13571.7"/>
    <n v="6735.7"/>
    <n v="20307.400000000001"/>
    <n v="22.34"/>
    <n v="0.11"/>
    <n v="6508.7"/>
    <n v="20080.400000000001"/>
    <n v="0.28999999999999998"/>
    <n v="587"/>
    <n v="115256.9"/>
    <n v="22.49"/>
    <n v="2000"/>
  </r>
  <r>
    <s v="2000_0.4_0.5_1000_1.0_order_5"/>
    <x v="0"/>
    <n v="0.4"/>
    <n v="0.5"/>
    <n v="1000"/>
    <n v="1"/>
    <n v="5"/>
    <x v="1"/>
    <n v="148055.70000000001"/>
    <n v="57683"/>
    <n v="90372.7"/>
    <n v="600"/>
    <n v="0.19"/>
    <n v="36330.400000000001"/>
    <n v="59818"/>
    <n v="96148.4"/>
    <n v="13965.6"/>
    <n v="6899.9"/>
    <n v="20865.5"/>
    <n v="20.97"/>
    <n v="0.09"/>
    <n v="6722"/>
    <n v="20687.599999999999"/>
    <n v="0.28000000000000003"/>
    <n v="599"/>
    <n v="116836"/>
    <n v="21.09"/>
    <n v="2000"/>
  </r>
  <r>
    <s v="2000_0.4_0.5_1000_2.0_order_1"/>
    <x v="0"/>
    <n v="0.4"/>
    <n v="0.5"/>
    <n v="1000"/>
    <n v="2"/>
    <n v="1"/>
    <x v="1"/>
    <n v="230670.1"/>
    <n v="90584.2"/>
    <n v="140085.9"/>
    <n v="600"/>
    <n v="0.36"/>
    <n v="62516.7"/>
    <n v="100201.3"/>
    <n v="162718"/>
    <n v="13150.4"/>
    <n v="6817.3"/>
    <n v="19967.7"/>
    <n v="20.8"/>
    <n v="0.18"/>
    <n v="6577.2"/>
    <n v="19727.599999999999"/>
    <n v="0.54"/>
    <n v="575"/>
    <n v="182445.6"/>
    <n v="20.91"/>
    <n v="2000"/>
  </r>
  <r>
    <s v="2000_0.4_0.5_1000_2.0_order_2"/>
    <x v="0"/>
    <n v="0.4"/>
    <n v="0.5"/>
    <n v="1000"/>
    <n v="2"/>
    <n v="2"/>
    <x v="1"/>
    <n v="230566.8"/>
    <n v="88402.6"/>
    <n v="142164.20000000001"/>
    <n v="600"/>
    <n v="0.38"/>
    <n v="58918.6"/>
    <n v="101908"/>
    <n v="160826.6"/>
    <n v="13507.1"/>
    <n v="6832.9"/>
    <n v="20340"/>
    <n v="21.43"/>
    <n v="0.14000000000000001"/>
    <n v="6598.4"/>
    <n v="20105.5"/>
    <n v="0.51"/>
    <n v="587"/>
    <n v="180932.1"/>
    <n v="21.53"/>
    <n v="2000"/>
  </r>
  <r>
    <s v="2000_0.4_0.5_1000_2.0_order_3"/>
    <x v="0"/>
    <n v="0.4"/>
    <n v="0.5"/>
    <n v="1000"/>
    <n v="2"/>
    <n v="3"/>
    <x v="1"/>
    <n v="216725.7"/>
    <n v="84765.8"/>
    <n v="131959.9"/>
    <n v="600"/>
    <n v="0.36"/>
    <n v="56653.5"/>
    <n v="95301.9"/>
    <n v="151955.4"/>
    <n v="13606"/>
    <n v="6962.9"/>
    <n v="20568.900000000001"/>
    <n v="20.399999999999999"/>
    <n v="0.13"/>
    <n v="6732.2"/>
    <n v="20338.2"/>
    <n v="0.49"/>
    <n v="589"/>
    <n v="172293.6"/>
    <n v="20.5"/>
    <n v="2000"/>
  </r>
  <r>
    <s v="2000_0.4_0.5_1000_2.0_order_4"/>
    <x v="0"/>
    <n v="0.4"/>
    <n v="0.5"/>
    <n v="1000"/>
    <n v="2"/>
    <n v="4"/>
    <x v="1"/>
    <n v="228249.8"/>
    <n v="93670.2"/>
    <n v="134579.6"/>
    <n v="600"/>
    <n v="0.38"/>
    <n v="63143"/>
    <n v="94917"/>
    <n v="158060"/>
    <n v="13603.2"/>
    <n v="7083.4"/>
    <n v="20686.599999999999"/>
    <n v="21.69"/>
    <n v="0.14000000000000001"/>
    <n v="6950.3"/>
    <n v="20553.5"/>
    <n v="0.52"/>
    <n v="590"/>
    <n v="178613.5"/>
    <n v="21.75"/>
    <n v="2000"/>
  </r>
  <r>
    <s v="2000_0.4_0.5_1000_2.0_order_5"/>
    <x v="0"/>
    <n v="0.4"/>
    <n v="0.5"/>
    <n v="1000"/>
    <n v="2"/>
    <n v="5"/>
    <x v="1"/>
    <n v="216003.3"/>
    <n v="85862.7"/>
    <n v="130140.6"/>
    <n v="600"/>
    <n v="0.34"/>
    <n v="60172.1"/>
    <n v="94297.4"/>
    <n v="154469.5"/>
    <n v="13036.8"/>
    <n v="6628.9"/>
    <n v="19665.7"/>
    <n v="19.38"/>
    <n v="0.14000000000000001"/>
    <n v="6387"/>
    <n v="19423.8"/>
    <n v="0.48"/>
    <n v="589"/>
    <n v="173893.3"/>
    <n v="19.5"/>
    <n v="2000"/>
  </r>
  <r>
    <s v="2000_0.4_0.5_1000_3.0_order_1"/>
    <x v="0"/>
    <n v="0.4"/>
    <n v="0.5"/>
    <n v="1000"/>
    <n v="3"/>
    <n v="1"/>
    <x v="1"/>
    <n v="276286"/>
    <n v="109961"/>
    <n v="166325"/>
    <n v="600"/>
    <n v="0.59"/>
    <n v="79533.2"/>
    <n v="125353.4"/>
    <n v="204886.6"/>
    <n v="13176"/>
    <n v="7145.3"/>
    <n v="20321.3"/>
    <n v="18.489999999999998"/>
    <n v="0.2"/>
    <n v="6801.9"/>
    <n v="19977.900000000001"/>
    <n v="0.78"/>
    <n v="572"/>
    <n v="224864.5"/>
    <n v="18.61"/>
    <n v="2000"/>
  </r>
  <r>
    <s v="2000_0.4_0.5_1000_3.0_order_2"/>
    <x v="0"/>
    <n v="0.4"/>
    <n v="0.5"/>
    <n v="1000"/>
    <n v="3"/>
    <n v="2"/>
    <x v="1"/>
    <n v="279729.59999999998"/>
    <n v="113230.9"/>
    <n v="166498.70000000001"/>
    <n v="600"/>
    <n v="0.57999999999999996"/>
    <n v="78257.399999999994"/>
    <n v="122465.1"/>
    <n v="200722.5"/>
    <n v="13185.8"/>
    <n v="7172.1"/>
    <n v="20357.900000000001"/>
    <n v="20.97"/>
    <n v="0.15"/>
    <n v="6997"/>
    <n v="20182.8"/>
    <n v="0.72"/>
    <n v="571"/>
    <n v="220905.3"/>
    <n v="21.03"/>
    <n v="2000"/>
  </r>
  <r>
    <s v="2000_0.4_0.5_1000_3.0_order_3"/>
    <x v="0"/>
    <n v="0.4"/>
    <n v="0.5"/>
    <n v="1000"/>
    <n v="3"/>
    <n v="3"/>
    <x v="1"/>
    <n v="279169.2"/>
    <n v="112698.4"/>
    <n v="166470.79999999999"/>
    <n v="600"/>
    <n v="0.55000000000000004"/>
    <n v="81236.800000000003"/>
    <n v="123589.7"/>
    <n v="204826.5"/>
    <n v="12898.3"/>
    <n v="7167.8"/>
    <n v="20066.099999999999"/>
    <n v="19.440000000000001"/>
    <n v="0.14000000000000001"/>
    <n v="6997.2"/>
    <n v="19895.5"/>
    <n v="0.69"/>
    <n v="576"/>
    <n v="224722"/>
    <n v="19.5"/>
    <n v="2000"/>
  </r>
  <r>
    <s v="2000_0.4_0.5_1000_3.0_order_4"/>
    <x v="0"/>
    <n v="0.4"/>
    <n v="0.5"/>
    <n v="1000"/>
    <n v="3"/>
    <n v="4"/>
    <x v="1"/>
    <n v="283603"/>
    <n v="106923.5"/>
    <n v="176679.5"/>
    <n v="600"/>
    <n v="0.57999999999999996"/>
    <n v="74154.7"/>
    <n v="130431.1"/>
    <n v="204585.8"/>
    <n v="13119.7"/>
    <n v="7269.2"/>
    <n v="20388.900000000001"/>
    <n v="20.67"/>
    <n v="0.15"/>
    <n v="7116.3"/>
    <n v="20236"/>
    <n v="0.73"/>
    <n v="565"/>
    <n v="224821.8"/>
    <n v="20.73"/>
    <n v="2000"/>
  </r>
  <r>
    <s v="2000_0.4_0.5_1000_3.0_order_5"/>
    <x v="0"/>
    <n v="0.4"/>
    <n v="0.5"/>
    <n v="1000"/>
    <n v="3"/>
    <n v="5"/>
    <x v="1"/>
    <n v="280909.3"/>
    <n v="115396.7"/>
    <n v="165512.6"/>
    <n v="600"/>
    <n v="0.55000000000000004"/>
    <n v="81426"/>
    <n v="122114"/>
    <n v="203540"/>
    <n v="13045.3"/>
    <n v="7507.3"/>
    <n v="20552.599999999999"/>
    <n v="20.23"/>
    <n v="0.15"/>
    <n v="7239.6"/>
    <n v="20284.900000000001"/>
    <n v="0.7"/>
    <n v="571"/>
    <n v="223824.9"/>
    <n v="20.32"/>
    <n v="2000"/>
  </r>
  <r>
    <s v="2000_0.4_0.5_2000_1.0_order_1"/>
    <x v="0"/>
    <n v="0.4"/>
    <n v="0.5"/>
    <n v="2000"/>
    <n v="1"/>
    <n v="1"/>
    <x v="1"/>
    <n v="295726.09999999998"/>
    <n v="118267.4"/>
    <n v="177458.7"/>
    <n v="600"/>
    <n v="0.27"/>
    <n v="76797.8"/>
    <n v="124209.1"/>
    <n v="201006.9"/>
    <n v="13065.6"/>
    <n v="7287.8"/>
    <n v="20353.400000000001"/>
    <n v="25.15"/>
    <n v="0.15"/>
    <n v="7042.8"/>
    <n v="20108.400000000001"/>
    <n v="0.41"/>
    <n v="576"/>
    <n v="221115.3"/>
    <n v="25.23"/>
    <n v="2000"/>
  </r>
  <r>
    <s v="2000_0.4_0.5_2000_1.0_order_2"/>
    <x v="0"/>
    <n v="0.4"/>
    <n v="0.5"/>
    <n v="2000"/>
    <n v="1"/>
    <n v="2"/>
    <x v="1"/>
    <n v="298600.8"/>
    <n v="119219.5"/>
    <n v="179381.3"/>
    <n v="600"/>
    <n v="0.28999999999999998"/>
    <n v="79792"/>
    <n v="124008.4"/>
    <n v="203800.4"/>
    <n v="13350.2"/>
    <n v="6938.6"/>
    <n v="20288.8"/>
    <n v="24.95"/>
    <n v="0.14000000000000001"/>
    <n v="6686.8"/>
    <n v="20037"/>
    <n v="0.42"/>
    <n v="584"/>
    <n v="223837.4"/>
    <n v="25.04"/>
    <n v="2000"/>
  </r>
  <r>
    <s v="2000_0.4_0.5_2000_1.0_order_3"/>
    <x v="0"/>
    <n v="0.4"/>
    <n v="0.5"/>
    <n v="2000"/>
    <n v="1"/>
    <n v="3"/>
    <x v="1"/>
    <n v="292993.3"/>
    <n v="117695.9"/>
    <n v="175297.4"/>
    <n v="600"/>
    <n v="0.26"/>
    <n v="79415.8"/>
    <n v="124153.4"/>
    <n v="203569.2"/>
    <n v="13080.5"/>
    <n v="6802.6"/>
    <n v="19883.099999999999"/>
    <n v="23.73"/>
    <n v="0.16"/>
    <n v="6631.7"/>
    <n v="19712.2"/>
    <n v="0.42"/>
    <n v="591"/>
    <n v="223281.4"/>
    <n v="23.79"/>
    <n v="2000"/>
  </r>
  <r>
    <s v="2000_0.4_0.5_2000_1.0_order_4"/>
    <x v="0"/>
    <n v="0.4"/>
    <n v="0.5"/>
    <n v="2000"/>
    <n v="1"/>
    <n v="4"/>
    <x v="1"/>
    <n v="301400.5"/>
    <n v="122960.4"/>
    <n v="178440.1"/>
    <n v="600"/>
    <n v="0.28999999999999998"/>
    <n v="80028.3"/>
    <n v="120582.1"/>
    <n v="200610.4"/>
    <n v="13473.3"/>
    <n v="6996"/>
    <n v="20469.3"/>
    <n v="26.65"/>
    <n v="0.12"/>
    <n v="6882.4"/>
    <n v="20355.7"/>
    <n v="0.4"/>
    <n v="590"/>
    <n v="220966.1"/>
    <n v="26.69"/>
    <n v="2000"/>
  </r>
  <r>
    <s v="2000_0.4_0.5_2000_1.0_order_5"/>
    <x v="0"/>
    <n v="0.4"/>
    <n v="0.5"/>
    <n v="2000"/>
    <n v="1"/>
    <n v="5"/>
    <x v="1"/>
    <n v="299455.59999999998"/>
    <n v="121744.5"/>
    <n v="177711.1"/>
    <n v="600"/>
    <n v="0.3"/>
    <n v="79348.800000000003"/>
    <n v="121950.3"/>
    <n v="201299.1"/>
    <n v="13328.2"/>
    <n v="7157.5"/>
    <n v="20485.7"/>
    <n v="25.94"/>
    <n v="0.14000000000000001"/>
    <n v="6979.7"/>
    <n v="20307.900000000001"/>
    <n v="0.43"/>
    <n v="578"/>
    <n v="221607"/>
    <n v="26"/>
    <n v="2000"/>
  </r>
  <r>
    <s v="2000_0.4_0.5_2000_2.0_order_1"/>
    <x v="0"/>
    <n v="0.4"/>
    <n v="0.5"/>
    <n v="2000"/>
    <n v="2"/>
    <n v="1"/>
    <x v="1"/>
    <n v="447962.7"/>
    <n v="187483.7"/>
    <n v="260479"/>
    <n v="600"/>
    <n v="0.61"/>
    <n v="132352.29999999999"/>
    <n v="189668.7"/>
    <n v="322021"/>
    <n v="12640.3"/>
    <n v="7062.9"/>
    <n v="19703.2"/>
    <n v="23.72"/>
    <n v="0.19"/>
    <n v="6812.1"/>
    <n v="19452.400000000001"/>
    <n v="0.8"/>
    <n v="568"/>
    <n v="341473.4"/>
    <n v="23.77"/>
    <n v="2000"/>
  </r>
  <r>
    <s v="2000_0.4_0.5_2000_2.0_order_2"/>
    <x v="0"/>
    <n v="0.4"/>
    <n v="0.5"/>
    <n v="2000"/>
    <n v="2"/>
    <n v="2"/>
    <x v="1"/>
    <n v="453956.8"/>
    <n v="177453.1"/>
    <n v="276503.7"/>
    <n v="600"/>
    <n v="0.71"/>
    <n v="123000.1"/>
    <n v="201078"/>
    <n v="324078.09999999998"/>
    <n v="13328.4"/>
    <n v="7374.9"/>
    <n v="20703.3"/>
    <n v="24.05"/>
    <n v="0.15"/>
    <n v="7136.5"/>
    <n v="20464.900000000001"/>
    <n v="0.86"/>
    <n v="579"/>
    <n v="344543"/>
    <n v="24.1"/>
    <n v="2000"/>
  </r>
  <r>
    <s v="2000_0.4_0.5_2000_2.0_order_3"/>
    <x v="0"/>
    <n v="0.4"/>
    <n v="0.5"/>
    <n v="2000"/>
    <n v="2"/>
    <n v="3"/>
    <x v="1"/>
    <n v="446076.3"/>
    <n v="172106.3"/>
    <n v="273970"/>
    <n v="600"/>
    <n v="0.63"/>
    <n v="120282.1"/>
    <n v="197506.5"/>
    <n v="317788.59999999998"/>
    <n v="12901.1"/>
    <n v="6897.8"/>
    <n v="19798.900000000001"/>
    <n v="24.32"/>
    <n v="0.18"/>
    <n v="6702.4"/>
    <n v="19603.5"/>
    <n v="0.8"/>
    <n v="569"/>
    <n v="337392.1"/>
    <n v="24.36"/>
    <n v="2000"/>
  </r>
  <r>
    <s v="2000_0.4_0.5_2000_2.0_order_4"/>
    <x v="0"/>
    <n v="0.4"/>
    <n v="0.5"/>
    <n v="2000"/>
    <n v="2"/>
    <n v="4"/>
    <x v="1"/>
    <n v="439522.5"/>
    <n v="174035.5"/>
    <n v="265487"/>
    <n v="600"/>
    <n v="0.72"/>
    <n v="121102.5"/>
    <n v="191562.9"/>
    <n v="312665.40000000002"/>
    <n v="12882"/>
    <n v="6752.9"/>
    <n v="19634.900000000001"/>
    <n v="24.4"/>
    <n v="0.18"/>
    <n v="6557.7"/>
    <n v="19439.7"/>
    <n v="0.9"/>
    <n v="578"/>
    <n v="332105.09999999998"/>
    <n v="24.44"/>
    <n v="2000"/>
  </r>
  <r>
    <s v="2000_0.4_0.5_2000_2.0_order_5"/>
    <x v="0"/>
    <n v="0.4"/>
    <n v="0.5"/>
    <n v="2000"/>
    <n v="2"/>
    <n v="5"/>
    <x v="1"/>
    <n v="445828"/>
    <n v="180145.2"/>
    <n v="265682.8"/>
    <n v="600"/>
    <n v="0.73"/>
    <n v="121621.3"/>
    <n v="192658.2"/>
    <n v="314279.5"/>
    <n v="12833.7"/>
    <n v="7437.3"/>
    <n v="20271"/>
    <n v="24.96"/>
    <n v="0.21"/>
    <n v="7141.8"/>
    <n v="19975.5"/>
    <n v="0.94"/>
    <n v="567"/>
    <n v="334255"/>
    <n v="25.03"/>
    <n v="2000"/>
  </r>
  <r>
    <s v="2000_0.4_0.5_2000_3.0_order_1"/>
    <x v="0"/>
    <n v="0.4"/>
    <n v="0.5"/>
    <n v="2000"/>
    <n v="3"/>
    <n v="1"/>
    <x v="1"/>
    <n v="562335.69999999995"/>
    <n v="220931.3"/>
    <n v="341404.4"/>
    <n v="600"/>
    <n v="1.07"/>
    <n v="160745.70000000001"/>
    <n v="259767.8"/>
    <n v="420513.5"/>
    <n v="13230.5"/>
    <n v="7378.8"/>
    <n v="20609.3"/>
    <n v="21.56"/>
    <n v="0.19"/>
    <n v="7128.9"/>
    <n v="20359.400000000001"/>
    <n v="1.26"/>
    <n v="580"/>
    <n v="440872.9"/>
    <n v="21.6"/>
    <n v="2000"/>
  </r>
  <r>
    <s v="2000_0.4_0.5_2000_3.0_order_2"/>
    <x v="0"/>
    <n v="0.4"/>
    <n v="0.5"/>
    <n v="2000"/>
    <n v="3"/>
    <n v="2"/>
    <x v="1"/>
    <n v="564231"/>
    <n v="222582"/>
    <n v="341649"/>
    <n v="600"/>
    <n v="1.1499999999999999"/>
    <n v="160491.1"/>
    <n v="258395"/>
    <n v="418886.1"/>
    <n v="13154.4"/>
    <n v="7108.8"/>
    <n v="20263.2"/>
    <n v="22.17"/>
    <n v="0.18"/>
    <n v="6824.9"/>
    <n v="19979.3"/>
    <n v="1.33"/>
    <n v="570"/>
    <n v="438865.4"/>
    <n v="22.22"/>
    <n v="2000"/>
  </r>
  <r>
    <s v="2000_0.4_0.5_2000_3.0_order_3"/>
    <x v="0"/>
    <n v="0.4"/>
    <n v="0.5"/>
    <n v="2000"/>
    <n v="3"/>
    <n v="3"/>
    <x v="1"/>
    <n v="568389.69999999995"/>
    <n v="224541"/>
    <n v="343848.7"/>
    <n v="600"/>
    <n v="1"/>
    <n v="157909.79999999999"/>
    <n v="254125"/>
    <n v="412034.8"/>
    <n v="13106.3"/>
    <n v="7610.9"/>
    <n v="20717.2"/>
    <n v="23.86"/>
    <n v="0.16"/>
    <n v="7361.5"/>
    <n v="20467.8"/>
    <n v="1.1599999999999999"/>
    <n v="573"/>
    <n v="432502.6"/>
    <n v="23.91"/>
    <n v="2000"/>
  </r>
  <r>
    <s v="2000_0.4_0.5_2000_3.0_order_4"/>
    <x v="0"/>
    <n v="0.4"/>
    <n v="0.5"/>
    <n v="2000"/>
    <n v="3"/>
    <n v="4"/>
    <x v="1"/>
    <n v="568260.4"/>
    <n v="228002"/>
    <n v="340258.4"/>
    <n v="600"/>
    <n v="1.21"/>
    <n v="169177.9"/>
    <n v="263329.59999999998"/>
    <n v="432507.5"/>
    <n v="12742"/>
    <n v="7042.4"/>
    <n v="19784.400000000001"/>
    <n v="20.41"/>
    <n v="0.18"/>
    <n v="6850.9"/>
    <n v="19592.900000000001"/>
    <n v="1.38"/>
    <n v="565"/>
    <n v="452100.4"/>
    <n v="20.440000000000001"/>
    <n v="2000"/>
  </r>
  <r>
    <s v="2000_0.4_0.5_2000_3.0_order_5"/>
    <x v="0"/>
    <n v="0.4"/>
    <n v="0.5"/>
    <n v="2000"/>
    <n v="3"/>
    <n v="5"/>
    <x v="1"/>
    <n v="567033.1"/>
    <n v="227548.79999999999"/>
    <n v="339484.3"/>
    <n v="600"/>
    <n v="1.0900000000000001"/>
    <n v="162093"/>
    <n v="255040.2"/>
    <n v="417133.2"/>
    <n v="13057"/>
    <n v="7446.4"/>
    <n v="20503.400000000001"/>
    <n v="22.82"/>
    <n v="0.17"/>
    <n v="7252.7"/>
    <n v="20309.7"/>
    <n v="1.26"/>
    <n v="571"/>
    <n v="437442.9"/>
    <n v="22.85"/>
    <n v="2000"/>
  </r>
  <r>
    <s v="2000_0.4_0.5_500_1.0_order_1"/>
    <x v="0"/>
    <n v="0.4"/>
    <n v="0.5"/>
    <n v="500"/>
    <n v="1"/>
    <n v="1"/>
    <x v="1"/>
    <n v="72750.3"/>
    <n v="28783.5"/>
    <n v="43966.8"/>
    <n v="600"/>
    <n v="0.16"/>
    <n v="16398.099999999999"/>
    <n v="28715.3"/>
    <n v="45113.4"/>
    <n v="12221.4"/>
    <n v="5107.5"/>
    <n v="17328.900000000001"/>
    <n v="14.17"/>
    <n v="0.05"/>
    <n v="4972.3"/>
    <n v="17193.7"/>
    <n v="0.21"/>
    <n v="498"/>
    <n v="62307.1"/>
    <n v="14.35"/>
    <n v="2000"/>
  </r>
  <r>
    <s v="2000_0.4_0.5_500_1.0_order_2"/>
    <x v="0"/>
    <n v="0.4"/>
    <n v="0.5"/>
    <n v="500"/>
    <n v="1"/>
    <n v="2"/>
    <x v="1"/>
    <n v="73605.100000000006"/>
    <n v="29630.9"/>
    <n v="43974.2"/>
    <n v="600"/>
    <n v="0.18"/>
    <n v="18984.3"/>
    <n v="28815.1"/>
    <n v="47799.4"/>
    <n v="12536.9"/>
    <n v="5138.1000000000004"/>
    <n v="17675"/>
    <n v="11.05"/>
    <n v="0.05"/>
    <n v="5009.7"/>
    <n v="17546.599999999999"/>
    <n v="0.23"/>
    <n v="525"/>
    <n v="65346"/>
    <n v="11.22"/>
    <n v="2000"/>
  </r>
  <r>
    <s v="2000_0.4_0.5_500_1.0_order_3"/>
    <x v="0"/>
    <n v="0.4"/>
    <n v="0.5"/>
    <n v="500"/>
    <n v="1"/>
    <n v="3"/>
    <x v="1"/>
    <n v="76455.600000000006"/>
    <n v="31014.400000000001"/>
    <n v="45441.2"/>
    <n v="600"/>
    <n v="0.19"/>
    <n v="19552.099999999999"/>
    <n v="30883"/>
    <n v="50435.1"/>
    <n v="11335.1"/>
    <n v="5167.7"/>
    <n v="16502.8"/>
    <n v="12.45"/>
    <n v="0.05"/>
    <n v="4982.2"/>
    <n v="16317.3"/>
    <n v="0.24"/>
    <n v="476"/>
    <n v="66752.399999999994"/>
    <n v="12.69"/>
    <n v="2000"/>
  </r>
  <r>
    <s v="2000_0.4_0.5_500_1.0_order_4"/>
    <x v="0"/>
    <n v="0.4"/>
    <n v="0.5"/>
    <n v="500"/>
    <n v="1"/>
    <n v="4"/>
    <x v="1"/>
    <n v="73701.600000000006"/>
    <n v="29454.6"/>
    <n v="44247"/>
    <n v="600"/>
    <n v="0.19"/>
    <n v="20206.7"/>
    <n v="32486.1"/>
    <n v="52692.800000000003"/>
    <n v="9297.2999999999993"/>
    <n v="3950.3"/>
    <n v="13247.6"/>
    <n v="10.53"/>
    <n v="0.02"/>
    <n v="3902.6"/>
    <n v="13199.9"/>
    <n v="0.21"/>
    <n v="375"/>
    <n v="65892.7"/>
    <n v="10.6"/>
    <n v="2000"/>
  </r>
  <r>
    <s v="2000_0.4_0.5_500_1.0_order_5"/>
    <x v="0"/>
    <n v="0.4"/>
    <n v="0.5"/>
    <n v="500"/>
    <n v="1"/>
    <n v="5"/>
    <x v="1"/>
    <n v="76721.100000000006"/>
    <n v="28543.3"/>
    <n v="48177.8"/>
    <n v="600"/>
    <n v="0.18"/>
    <n v="18009.599999999999"/>
    <n v="32125"/>
    <n v="50134.6"/>
    <n v="12019.2"/>
    <n v="5016.7"/>
    <n v="17035.900000000001"/>
    <n v="12.45"/>
    <n v="0.04"/>
    <n v="4885.8"/>
    <n v="16905"/>
    <n v="0.22"/>
    <n v="480"/>
    <n v="67039.600000000006"/>
    <n v="12.62"/>
    <n v="2000"/>
  </r>
  <r>
    <s v="2000_0.4_0.5_500_2.0_order_1"/>
    <x v="0"/>
    <n v="0.4"/>
    <n v="0.5"/>
    <n v="500"/>
    <n v="2"/>
    <n v="1"/>
    <x v="1"/>
    <n v="111543.7"/>
    <n v="44482"/>
    <n v="67061.7"/>
    <n v="600"/>
    <n v="0.25"/>
    <n v="30223"/>
    <n v="47090.8"/>
    <n v="77313.8"/>
    <n v="13296.8"/>
    <n v="6290"/>
    <n v="19586.8"/>
    <n v="13.13"/>
    <n v="0.09"/>
    <n v="6029.8"/>
    <n v="19326.599999999999"/>
    <n v="0.34"/>
    <n v="568"/>
    <n v="96640.4"/>
    <n v="13.36"/>
    <n v="2000"/>
  </r>
  <r>
    <s v="2000_0.4_0.5_500_2.0_order_2"/>
    <x v="0"/>
    <n v="0.4"/>
    <n v="0.5"/>
    <n v="500"/>
    <n v="2"/>
    <n v="2"/>
    <x v="1"/>
    <n v="110422.6"/>
    <n v="43034.5"/>
    <n v="67388.100000000006"/>
    <n v="600"/>
    <n v="0.26"/>
    <n v="29009.200000000001"/>
    <n v="45539.8"/>
    <n v="74549"/>
    <n v="13924.4"/>
    <n v="6432.9"/>
    <n v="20357.3"/>
    <n v="14.05"/>
    <n v="0.09"/>
    <n v="6066.9"/>
    <n v="19991.3"/>
    <n v="0.35"/>
    <n v="592"/>
    <n v="94540.3"/>
    <n v="14.38"/>
    <n v="2000"/>
  </r>
  <r>
    <s v="2000_0.4_0.5_500_2.0_order_3"/>
    <x v="0"/>
    <n v="0.4"/>
    <n v="0.5"/>
    <n v="500"/>
    <n v="2"/>
    <n v="3"/>
    <x v="1"/>
    <n v="112921.7"/>
    <n v="43531.7"/>
    <n v="69390"/>
    <n v="600"/>
    <n v="0.24"/>
    <n v="27571.7"/>
    <n v="48129.8"/>
    <n v="75701.5"/>
    <n v="13663.9"/>
    <n v="6375.3"/>
    <n v="20039.2"/>
    <n v="15.21"/>
    <n v="0.1"/>
    <n v="6250"/>
    <n v="19913.900000000001"/>
    <n v="0.35"/>
    <n v="594"/>
    <n v="95615.4"/>
    <n v="15.33"/>
    <n v="2000"/>
  </r>
  <r>
    <s v="2000_0.4_0.5_500_2.0_order_4"/>
    <x v="0"/>
    <n v="0.4"/>
    <n v="0.5"/>
    <n v="500"/>
    <n v="2"/>
    <n v="4"/>
    <x v="1"/>
    <n v="114643.4"/>
    <n v="45320.5"/>
    <n v="69322.899999999994"/>
    <n v="600"/>
    <n v="0.3"/>
    <n v="31394"/>
    <n v="49283.4"/>
    <n v="80677.399999999994"/>
    <n v="12807.6"/>
    <n v="6042.4"/>
    <n v="18850"/>
    <n v="13.19"/>
    <n v="0.11"/>
    <n v="5924"/>
    <n v="18731.599999999999"/>
    <n v="0.4"/>
    <n v="559"/>
    <n v="99409"/>
    <n v="13.29"/>
    <n v="2000"/>
  </r>
  <r>
    <s v="2000_0.4_0.5_500_2.0_order_5"/>
    <x v="0"/>
    <n v="0.4"/>
    <n v="0.5"/>
    <n v="500"/>
    <n v="2"/>
    <n v="5"/>
    <x v="1"/>
    <n v="115340.8"/>
    <n v="46197.7"/>
    <n v="69143.100000000006"/>
    <n v="600"/>
    <n v="0.3"/>
    <n v="31179.5"/>
    <n v="48050.1"/>
    <n v="79229.600000000006"/>
    <n v="12979.7"/>
    <n v="6417"/>
    <n v="19396.7"/>
    <n v="14.49"/>
    <n v="0.11"/>
    <n v="6224.6"/>
    <n v="19204.3"/>
    <n v="0.41"/>
    <n v="559"/>
    <n v="98433.9"/>
    <n v="14.66"/>
    <n v="2000"/>
  </r>
  <r>
    <s v="2000_0.4_0.5_500_3.0_order_1"/>
    <x v="0"/>
    <n v="0.4"/>
    <n v="0.5"/>
    <n v="500"/>
    <n v="3"/>
    <n v="1"/>
    <x v="1"/>
    <n v="146342.70000000001"/>
    <n v="61182.8"/>
    <n v="85159.9"/>
    <n v="600"/>
    <n v="0.36"/>
    <n v="41395.300000000003"/>
    <n v="60260.4"/>
    <n v="101655.7"/>
    <n v="13458.3"/>
    <n v="6913.8"/>
    <n v="20372.099999999999"/>
    <n v="16.62"/>
    <n v="0.13"/>
    <n v="6632.5"/>
    <n v="20090.8"/>
    <n v="0.49"/>
    <n v="568"/>
    <n v="121746.5"/>
    <n v="16.809999999999999"/>
    <n v="2000"/>
  </r>
  <r>
    <s v="2000_0.4_0.5_500_3.0_order_2"/>
    <x v="0"/>
    <n v="0.4"/>
    <n v="0.5"/>
    <n v="500"/>
    <n v="3"/>
    <n v="2"/>
    <x v="1"/>
    <n v="145711.4"/>
    <n v="61224.5"/>
    <n v="84486.9"/>
    <n v="600"/>
    <n v="0.34"/>
    <n v="42143.6"/>
    <n v="60785.9"/>
    <n v="102929.5"/>
    <n v="13503.5"/>
    <n v="6895.3"/>
    <n v="20398.8"/>
    <n v="15.36"/>
    <n v="0.12"/>
    <n v="6684.6"/>
    <n v="20188.099999999999"/>
    <n v="0.46"/>
    <n v="579"/>
    <n v="123117.6"/>
    <n v="15.51"/>
    <n v="2000"/>
  </r>
  <r>
    <s v="2000_0.4_0.5_500_3.0_order_3"/>
    <x v="0"/>
    <n v="0.4"/>
    <n v="0.5"/>
    <n v="500"/>
    <n v="3"/>
    <n v="3"/>
    <x v="1"/>
    <n v="138058.9"/>
    <n v="55101.1"/>
    <n v="82957.8"/>
    <n v="600"/>
    <n v="0.33"/>
    <n v="35983.599999999999"/>
    <n v="58452.9"/>
    <n v="94436.5"/>
    <n v="13853.8"/>
    <n v="6702.9"/>
    <n v="20556.7"/>
    <n v="16.71"/>
    <n v="0.11"/>
    <n v="6475.4"/>
    <n v="20329.2"/>
    <n v="0.44"/>
    <n v="596"/>
    <n v="114765.7"/>
    <n v="16.87"/>
    <n v="2000"/>
  </r>
  <r>
    <s v="2000_0.4_0.5_500_3.0_order_4"/>
    <x v="0"/>
    <n v="0.4"/>
    <n v="0.5"/>
    <n v="500"/>
    <n v="3"/>
    <n v="4"/>
    <x v="1"/>
    <n v="144089.60000000001"/>
    <n v="60356.7"/>
    <n v="83732.899999999994"/>
    <n v="600"/>
    <n v="0.36"/>
    <n v="42028.9"/>
    <n v="60707.4"/>
    <n v="102736.3"/>
    <n v="13152.4"/>
    <n v="6601.6"/>
    <n v="19754"/>
    <n v="14.99"/>
    <n v="0.12"/>
    <n v="6433.7"/>
    <n v="19586.099999999999"/>
    <n v="0.49"/>
    <n v="562"/>
    <n v="122322.4"/>
    <n v="15.11"/>
    <n v="2000"/>
  </r>
  <r>
    <s v="2000_0.4_0.5_500_3.0_order_5"/>
    <x v="0"/>
    <n v="0.4"/>
    <n v="0.5"/>
    <n v="500"/>
    <n v="3"/>
    <n v="5"/>
    <x v="1"/>
    <n v="135459.1"/>
    <n v="52439.1"/>
    <n v="83020"/>
    <n v="600"/>
    <n v="0.34"/>
    <n v="36389.300000000003"/>
    <n v="59649"/>
    <n v="96038.3"/>
    <n v="13919"/>
    <n v="6378.3"/>
    <n v="20297.3"/>
    <n v="14.12"/>
    <n v="0.1"/>
    <n v="6220.8"/>
    <n v="20139.8"/>
    <n v="0.44"/>
    <n v="600"/>
    <n v="116178.1"/>
    <n v="14.23"/>
    <n v="2000"/>
  </r>
  <r>
    <s v="4000_0.2_0.5_1000_1.0_order_1"/>
    <x v="1"/>
    <n v="0.2"/>
    <n v="0.5"/>
    <n v="1000"/>
    <n v="1"/>
    <n v="1"/>
    <x v="1"/>
    <n v="176793.4"/>
    <n v="69235.899999999994"/>
    <n v="107557.5"/>
    <n v="1200"/>
    <n v="0.82"/>
    <n v="56294.5"/>
    <n v="90088.2"/>
    <n v="146382.70000000001"/>
    <n v="15111.1"/>
    <n v="3166.8"/>
    <n v="18277.900000000001"/>
    <n v="6.86"/>
    <n v="0.01"/>
    <n v="3007.4"/>
    <n v="18118.5"/>
    <n v="0.83"/>
    <n v="505"/>
    <n v="164501.20000000001"/>
    <n v="6.95"/>
    <n v="4000"/>
  </r>
  <r>
    <s v="4000_0.2_0.5_1000_1.0_order_2"/>
    <x v="1"/>
    <n v="0.2"/>
    <n v="0.5"/>
    <n v="1000"/>
    <n v="1"/>
    <n v="2"/>
    <x v="1"/>
    <n v="172246.7"/>
    <n v="71438.100000000006"/>
    <n v="100808.6"/>
    <n v="1200"/>
    <n v="0.82"/>
    <n v="57348.800000000003"/>
    <n v="83650.600000000006"/>
    <n v="140999.4"/>
    <n v="14943.5"/>
    <n v="3638.9"/>
    <n v="18582.400000000001"/>
    <n v="7.35"/>
    <n v="0.01"/>
    <n v="3450.5"/>
    <n v="18394"/>
    <n v="0.83"/>
    <n v="479"/>
    <n v="159393.4"/>
    <n v="7.46"/>
    <n v="4000"/>
  </r>
  <r>
    <s v="4000_0.2_0.5_1000_1.0_order_3"/>
    <x v="1"/>
    <n v="0.2"/>
    <n v="0.5"/>
    <n v="1000"/>
    <n v="1"/>
    <n v="3"/>
    <x v="1"/>
    <n v="172482.6"/>
    <n v="70991"/>
    <n v="101491.6"/>
    <n v="1200"/>
    <n v="0.85"/>
    <n v="56996.3"/>
    <n v="85357.6"/>
    <n v="142353.9"/>
    <n v="15321.2"/>
    <n v="2866.1"/>
    <n v="18187.3"/>
    <n v="6.92"/>
    <n v="0.01"/>
    <n v="2728.7"/>
    <n v="18049.900000000001"/>
    <n v="0.86"/>
    <n v="539"/>
    <n v="160403.79999999999"/>
    <n v="7"/>
    <n v="4000"/>
  </r>
  <r>
    <s v="4000_0.2_0.5_1000_1.0_order_4"/>
    <x v="1"/>
    <n v="0.2"/>
    <n v="0.5"/>
    <n v="1000"/>
    <n v="1"/>
    <n v="4"/>
    <x v="1"/>
    <n v="178110.7"/>
    <n v="73274.7"/>
    <n v="104836"/>
    <n v="1200"/>
    <n v="0.82"/>
    <n v="58577.4"/>
    <n v="87828.2"/>
    <n v="146405.6"/>
    <n v="15144.1"/>
    <n v="3852.1"/>
    <n v="18996.2"/>
    <n v="7.14"/>
    <n v="0.01"/>
    <n v="3740.7"/>
    <n v="18884.8"/>
    <n v="0.83"/>
    <n v="490"/>
    <n v="165290.4"/>
    <n v="7.2"/>
    <n v="4000"/>
  </r>
  <r>
    <s v="4000_0.2_0.5_1000_1.0_order_5"/>
    <x v="1"/>
    <n v="0.2"/>
    <n v="0.5"/>
    <n v="1000"/>
    <n v="1"/>
    <n v="5"/>
    <x v="1"/>
    <n v="179070"/>
    <n v="69970.8"/>
    <n v="109099.2"/>
    <n v="1200"/>
    <n v="0.87"/>
    <n v="56168.6"/>
    <n v="89797.1"/>
    <n v="145965.70000000001"/>
    <n v="17763.900000000001"/>
    <n v="3566"/>
    <n v="21329.9"/>
    <n v="6.58"/>
    <n v="0.02"/>
    <n v="3398.5"/>
    <n v="21162.400000000001"/>
    <n v="0.88"/>
    <n v="635"/>
    <n v="167128.1"/>
    <n v="6.67"/>
    <n v="4000"/>
  </r>
  <r>
    <s v="4000_0.2_0.5_1000_2.0_order_1"/>
    <x v="1"/>
    <n v="0.2"/>
    <n v="0.5"/>
    <n v="1000"/>
    <n v="2"/>
    <n v="1"/>
    <x v="1"/>
    <n v="266347.90000000002"/>
    <n v="100159.7"/>
    <n v="166188.20000000001"/>
    <n v="1200"/>
    <n v="1.17"/>
    <n v="81708.3"/>
    <n v="138656.5"/>
    <n v="220364.79999999999"/>
    <n v="24386.1"/>
    <n v="6067.4"/>
    <n v="30453.5"/>
    <n v="5.83"/>
    <n v="0.06"/>
    <n v="5478.6"/>
    <n v="29864.7"/>
    <n v="1.23"/>
    <n v="890"/>
    <n v="250229.5"/>
    <n v="6.05"/>
    <n v="4000"/>
  </r>
  <r>
    <s v="4000_0.2_0.5_1000_2.0_order_2"/>
    <x v="1"/>
    <n v="0.2"/>
    <n v="0.5"/>
    <n v="1000"/>
    <n v="2"/>
    <n v="2"/>
    <x v="1"/>
    <n v="265499.59999999998"/>
    <n v="100358.1"/>
    <n v="165141.5"/>
    <n v="1200"/>
    <n v="1.1599999999999999"/>
    <n v="79751.5"/>
    <n v="135255.20000000001"/>
    <n v="215006.7"/>
    <n v="24699.9"/>
    <n v="5845.9"/>
    <n v="30545.8"/>
    <n v="7.51"/>
    <n v="0.06"/>
    <n v="5247.5"/>
    <n v="29947.4"/>
    <n v="1.21"/>
    <n v="872"/>
    <n v="244954.1"/>
    <n v="7.74"/>
    <n v="4000"/>
  </r>
  <r>
    <s v="4000_0.2_0.5_1000_2.0_order_3"/>
    <x v="1"/>
    <n v="0.2"/>
    <n v="0.5"/>
    <n v="1000"/>
    <n v="2"/>
    <n v="3"/>
    <x v="1"/>
    <n v="256640.4"/>
    <n v="100148.3"/>
    <n v="156492.1"/>
    <n v="1200"/>
    <n v="1.17"/>
    <n v="83006.7"/>
    <n v="128768.7"/>
    <n v="211775.4"/>
    <n v="22679.200000000001"/>
    <n v="6020.8"/>
    <n v="28700"/>
    <n v="6.3"/>
    <n v="0.05"/>
    <n v="5329"/>
    <n v="28008.2"/>
    <n v="1.22"/>
    <n v="812"/>
    <n v="239783.6"/>
    <n v="6.57"/>
    <n v="4000"/>
  </r>
  <r>
    <s v="4000_0.2_0.5_1000_2.0_order_4"/>
    <x v="1"/>
    <n v="0.2"/>
    <n v="0.5"/>
    <n v="1000"/>
    <n v="2"/>
    <n v="4"/>
    <x v="1"/>
    <n v="266529.09999999998"/>
    <n v="102759"/>
    <n v="163770.1"/>
    <n v="1200"/>
    <n v="1.23"/>
    <n v="86921"/>
    <n v="141747.5"/>
    <n v="228668.5"/>
    <n v="16951.2"/>
    <n v="4290"/>
    <n v="21241.200000000001"/>
    <n v="6.24"/>
    <n v="0.03"/>
    <n v="3924.3"/>
    <n v="20875.5"/>
    <n v="1.26"/>
    <n v="608"/>
    <n v="249544"/>
    <n v="6.37"/>
    <n v="4000"/>
  </r>
  <r>
    <s v="4000_0.2_0.5_1000_2.0_order_5"/>
    <x v="1"/>
    <n v="0.2"/>
    <n v="0.5"/>
    <n v="1000"/>
    <n v="2"/>
    <n v="5"/>
    <x v="1"/>
    <n v="269546.8"/>
    <n v="106410.2"/>
    <n v="163136.6"/>
    <n v="1200"/>
    <n v="1.1399999999999999"/>
    <n v="85276.5"/>
    <n v="135488.29999999999"/>
    <n v="220764.79999999999"/>
    <n v="25727.4"/>
    <n v="6386.3"/>
    <n v="32113.7"/>
    <n v="6.18"/>
    <n v="0.09"/>
    <n v="6057.6"/>
    <n v="31785"/>
    <n v="1.23"/>
    <n v="935"/>
    <n v="252549.8"/>
    <n v="6.31"/>
    <n v="4000"/>
  </r>
  <r>
    <s v="4000_0.2_0.5_1000_3.0_order_1"/>
    <x v="1"/>
    <n v="0.2"/>
    <n v="0.5"/>
    <n v="1000"/>
    <n v="3"/>
    <n v="1"/>
    <x v="1"/>
    <n v="351445"/>
    <n v="133205"/>
    <n v="218240"/>
    <n v="1200"/>
    <n v="1.67"/>
    <n v="113324.3"/>
    <n v="187683.6"/>
    <n v="301007.90000000002"/>
    <n v="23177.1"/>
    <n v="6359"/>
    <n v="29536.1"/>
    <n v="5.95"/>
    <n v="7.0000000000000007E-2"/>
    <n v="5799.5"/>
    <n v="28976.6"/>
    <n v="1.73"/>
    <n v="866"/>
    <n v="329984.5"/>
    <n v="6.11"/>
    <n v="4000"/>
  </r>
  <r>
    <s v="4000_0.2_0.5_1000_3.0_order_2"/>
    <x v="1"/>
    <n v="0.2"/>
    <n v="0.5"/>
    <n v="1000"/>
    <n v="3"/>
    <n v="2"/>
    <x v="1"/>
    <n v="356679.5"/>
    <n v="140383.9"/>
    <n v="216295.6"/>
    <n v="1200"/>
    <n v="1.5"/>
    <n v="115405.3"/>
    <n v="177794.5"/>
    <n v="293199.8"/>
    <n v="27273.8"/>
    <n v="6888.6"/>
    <n v="34162.400000000001"/>
    <n v="8.2200000000000006"/>
    <n v="0.08"/>
    <n v="6168"/>
    <n v="33441.800000000003"/>
    <n v="1.58"/>
    <n v="1000"/>
    <n v="326641.59999999998"/>
    <n v="8.42"/>
    <n v="4000"/>
  </r>
  <r>
    <s v="4000_0.2_0.5_1000_3.0_order_3"/>
    <x v="1"/>
    <n v="0.2"/>
    <n v="0.5"/>
    <n v="1000"/>
    <n v="3"/>
    <n v="3"/>
    <x v="1"/>
    <n v="346020.1"/>
    <n v="134050.5"/>
    <n v="211969.6"/>
    <n v="1200"/>
    <n v="1.67"/>
    <n v="115249.9"/>
    <n v="183714.6"/>
    <n v="298964.5"/>
    <n v="17603.599999999999"/>
    <n v="5606.4"/>
    <n v="23210"/>
    <n v="6.89"/>
    <n v="0.09"/>
    <n v="4870.7"/>
    <n v="22474.3"/>
    <n v="1.75"/>
    <n v="638"/>
    <n v="321438.8"/>
    <n v="7.1"/>
    <n v="4000"/>
  </r>
  <r>
    <s v="4000_0.2_0.5_1000_3.0_order_4"/>
    <x v="1"/>
    <n v="0.2"/>
    <n v="0.5"/>
    <n v="1000"/>
    <n v="3"/>
    <n v="4"/>
    <x v="1"/>
    <n v="357913.8"/>
    <n v="140722"/>
    <n v="217191.8"/>
    <n v="1200"/>
    <n v="1.67"/>
    <n v="113633.2"/>
    <n v="181099.9"/>
    <n v="294733.09999999998"/>
    <n v="31461.8"/>
    <n v="7885.6"/>
    <n v="39347.4"/>
    <n v="6.66"/>
    <n v="0.14000000000000001"/>
    <n v="6967.6"/>
    <n v="38429.4"/>
    <n v="1.81"/>
    <n v="1132"/>
    <n v="333162.5"/>
    <n v="6.92"/>
    <n v="4000"/>
  </r>
  <r>
    <s v="4000_0.2_0.5_1000_3.0_order_5"/>
    <x v="1"/>
    <n v="0.2"/>
    <n v="0.5"/>
    <n v="1000"/>
    <n v="3"/>
    <n v="5"/>
    <x v="1"/>
    <n v="358543.9"/>
    <n v="136947.6"/>
    <n v="221596.3"/>
    <n v="1200"/>
    <n v="1.51"/>
    <n v="117985"/>
    <n v="192404"/>
    <n v="310389"/>
    <n v="17529.5"/>
    <n v="5561.7"/>
    <n v="23091.200000000001"/>
    <n v="6.99"/>
    <n v="0.05"/>
    <n v="4979.1000000000004"/>
    <n v="22508.6"/>
    <n v="1.56"/>
    <n v="614"/>
    <n v="332897.59999999998"/>
    <n v="7.15"/>
    <n v="4000"/>
  </r>
  <r>
    <s v="4000_0.2_0.5_2000_1.0_order_1"/>
    <x v="1"/>
    <n v="0.2"/>
    <n v="0.5"/>
    <n v="2000"/>
    <n v="1"/>
    <n v="1"/>
    <x v="1"/>
    <n v="342496.1"/>
    <n v="140132.4"/>
    <n v="202363.7"/>
    <n v="1200"/>
    <n v="1.05"/>
    <n v="105125.7"/>
    <n v="157881"/>
    <n v="263006.7"/>
    <n v="32976.5"/>
    <n v="7309.5"/>
    <n v="40286"/>
    <n v="11.45"/>
    <n v="0.08"/>
    <n v="6776.9"/>
    <n v="39753.4"/>
    <n v="1.1299999999999999"/>
    <n v="1199"/>
    <n v="302760.09999999998"/>
    <n v="11.6"/>
    <n v="4000"/>
  </r>
  <r>
    <s v="4000_0.2_0.5_2000_1.0_order_2"/>
    <x v="1"/>
    <n v="0.2"/>
    <n v="0.5"/>
    <n v="2000"/>
    <n v="1"/>
    <n v="2"/>
    <x v="1"/>
    <n v="340872.4"/>
    <n v="134753.1"/>
    <n v="206119.3"/>
    <n v="1200"/>
    <n v="0.98"/>
    <n v="105879.4"/>
    <n v="165891.4"/>
    <n v="271770.8"/>
    <n v="26402.9"/>
    <n v="6496.3"/>
    <n v="32899.199999999997"/>
    <n v="10.62"/>
    <n v="0.06"/>
    <n v="6011.8"/>
    <n v="32414.7"/>
    <n v="1.04"/>
    <n v="958"/>
    <n v="304185.5"/>
    <n v="10.76"/>
    <n v="4000"/>
  </r>
  <r>
    <s v="4000_0.2_0.5_2000_1.0_order_3"/>
    <x v="1"/>
    <n v="0.2"/>
    <n v="0.5"/>
    <n v="2000"/>
    <n v="1"/>
    <n v="3"/>
    <x v="1"/>
    <n v="348317.4"/>
    <n v="138158.9"/>
    <n v="210158.5"/>
    <n v="1200"/>
    <n v="0.99"/>
    <n v="107148.1"/>
    <n v="166389"/>
    <n v="273537.09999999998"/>
    <n v="32756.7"/>
    <n v="7549"/>
    <n v="40305.699999999997"/>
    <n v="9.9"/>
    <n v="0.12"/>
    <n v="7068.1"/>
    <n v="39824.800000000003"/>
    <n v="1.1000000000000001"/>
    <n v="1200"/>
    <n v="313361.90000000002"/>
    <n v="10.039999999999999"/>
    <n v="4000"/>
  </r>
  <r>
    <s v="4000_0.2_0.5_2000_1.0_order_4"/>
    <x v="1"/>
    <n v="0.2"/>
    <n v="0.5"/>
    <n v="2000"/>
    <n v="1"/>
    <n v="4"/>
    <x v="1"/>
    <n v="346752.7"/>
    <n v="138591.1"/>
    <n v="208161.6"/>
    <n v="1200"/>
    <n v="0.98"/>
    <n v="109201.9"/>
    <n v="166226.1"/>
    <n v="275428"/>
    <n v="27538.3"/>
    <n v="6477.2"/>
    <n v="34015.5"/>
    <n v="10.76"/>
    <n v="7.0000000000000007E-2"/>
    <n v="6111.1"/>
    <n v="33649.4"/>
    <n v="1.05"/>
    <n v="961"/>
    <n v="309077.40000000002"/>
    <n v="10.87"/>
    <n v="4000"/>
  </r>
  <r>
    <s v="4000_0.2_0.5_2000_1.0_order_5"/>
    <x v="1"/>
    <n v="0.2"/>
    <n v="0.5"/>
    <n v="2000"/>
    <n v="1"/>
    <n v="5"/>
    <x v="1"/>
    <n v="348631.2"/>
    <n v="144856.70000000001"/>
    <n v="203774.5"/>
    <n v="1200"/>
    <n v="0.93"/>
    <n v="114316"/>
    <n v="164022.29999999999"/>
    <n v="278338.3"/>
    <n v="27759.4"/>
    <n v="6571.8"/>
    <n v="34331.199999999997"/>
    <n v="10.32"/>
    <n v="0.09"/>
    <n v="6124.4"/>
    <n v="33883.800000000003"/>
    <n v="1.02"/>
    <n v="1020"/>
    <n v="312222.09999999998"/>
    <n v="10.44"/>
    <n v="4000"/>
  </r>
  <r>
    <s v="4000_0.2_0.5_2000_2.0_order_1"/>
    <x v="1"/>
    <n v="0.2"/>
    <n v="0.5"/>
    <n v="2000"/>
    <n v="2"/>
    <n v="1"/>
    <x v="1"/>
    <n v="526871.69999999995"/>
    <n v="203138.9"/>
    <n v="323732.8"/>
    <n v="1200"/>
    <n v="1.63"/>
    <n v="165667.70000000001"/>
    <n v="269015"/>
    <n v="434682.7"/>
    <n v="31290.9"/>
    <n v="8673.7000000000007"/>
    <n v="39964.6"/>
    <n v="9.91"/>
    <n v="0.2"/>
    <n v="7796.1"/>
    <n v="39087"/>
    <n v="1.83"/>
    <n v="1166"/>
    <n v="473769.7"/>
    <n v="10.08"/>
    <n v="4000"/>
  </r>
  <r>
    <s v="4000_0.2_0.5_2000_2.0_order_2"/>
    <x v="1"/>
    <n v="0.2"/>
    <n v="0.5"/>
    <n v="2000"/>
    <n v="2"/>
    <n v="2"/>
    <x v="1"/>
    <n v="538181.4"/>
    <n v="206412.2"/>
    <n v="331769.2"/>
    <n v="1200"/>
    <n v="1.82"/>
    <n v="168996.7"/>
    <n v="280336.90000000002"/>
    <n v="449333.6"/>
    <n v="30991.3"/>
    <n v="8778"/>
    <n v="39769.300000000003"/>
    <n v="9.1199999999999992"/>
    <n v="0.22"/>
    <n v="7639.4"/>
    <n v="38630.699999999997"/>
    <n v="2.04"/>
    <n v="1142"/>
    <n v="487964.3"/>
    <n v="9.33"/>
    <n v="4000"/>
  </r>
  <r>
    <s v="4000_0.2_0.5_2000_2.0_order_3"/>
    <x v="1"/>
    <n v="0.2"/>
    <n v="0.5"/>
    <n v="2000"/>
    <n v="2"/>
    <n v="3"/>
    <x v="1"/>
    <n v="560311.9"/>
    <n v="215357.5"/>
    <n v="344954.4"/>
    <n v="1200"/>
    <n v="2"/>
    <n v="179344.8"/>
    <n v="293538.8"/>
    <n v="472883.6"/>
    <n v="26225.4"/>
    <n v="7721.3"/>
    <n v="33946.699999999997"/>
    <n v="9.5399999999999991"/>
    <n v="0.16"/>
    <n v="6816.2"/>
    <n v="33041.599999999999"/>
    <n v="2.16"/>
    <n v="978"/>
    <n v="505925.2"/>
    <n v="9.7100000000000009"/>
    <n v="4000"/>
  </r>
  <r>
    <s v="4000_0.2_0.5_2000_2.0_order_4"/>
    <x v="1"/>
    <n v="0.2"/>
    <n v="0.5"/>
    <n v="2000"/>
    <n v="2"/>
    <n v="4"/>
    <x v="1"/>
    <n v="538133"/>
    <n v="202847.3"/>
    <n v="335285.7"/>
    <n v="1200"/>
    <n v="1.91"/>
    <n v="165602.79999999999"/>
    <n v="279886.59999999998"/>
    <n v="445489.4"/>
    <n v="29732.1"/>
    <n v="8555.4"/>
    <n v="38287.5"/>
    <n v="10.1"/>
    <n v="0.19"/>
    <n v="7628.6"/>
    <n v="37360.699999999997"/>
    <n v="2.1"/>
    <n v="1095"/>
    <n v="482850.1"/>
    <n v="10.27"/>
    <n v="4000"/>
  </r>
  <r>
    <s v="4000_0.2_0.5_2000_2.0_order_5"/>
    <x v="1"/>
    <n v="0.2"/>
    <n v="0.5"/>
    <n v="2000"/>
    <n v="2"/>
    <n v="5"/>
    <x v="1"/>
    <n v="529127.69999999995"/>
    <n v="200945.6"/>
    <n v="328182.09999999998"/>
    <n v="1200"/>
    <n v="1.92"/>
    <n v="165330.29999999999"/>
    <n v="274377.8"/>
    <n v="439708.1"/>
    <n v="29356"/>
    <n v="8065.8"/>
    <n v="37421.800000000003"/>
    <n v="9.83"/>
    <n v="0.17"/>
    <n v="7406.9"/>
    <n v="36762.9"/>
    <n v="2.09"/>
    <n v="1103"/>
    <n v="476471"/>
    <n v="9.9499999999999993"/>
    <n v="4000"/>
  </r>
  <r>
    <s v="4000_0.2_0.5_2000_3.0_order_1"/>
    <x v="1"/>
    <n v="0.2"/>
    <n v="0.5"/>
    <n v="2000"/>
    <n v="3"/>
    <n v="1"/>
    <x v="1"/>
    <n v="683234.6"/>
    <n v="257568.3"/>
    <n v="425666.3"/>
    <n v="1200"/>
    <n v="3.2"/>
    <n v="214026"/>
    <n v="361979.8"/>
    <n v="576005.80000000005"/>
    <n v="31580.1"/>
    <n v="8774.7000000000007"/>
    <n v="40354.800000000003"/>
    <n v="9.7899999999999991"/>
    <n v="0.2"/>
    <n v="7924.5"/>
    <n v="39504.6"/>
    <n v="3.39"/>
    <n v="1151"/>
    <n v="615510.4"/>
    <n v="9.91"/>
    <n v="4000"/>
  </r>
  <r>
    <s v="4000_0.2_0.5_2000_3.0_order_2"/>
    <x v="1"/>
    <n v="0.2"/>
    <n v="0.5"/>
    <n v="2000"/>
    <n v="3"/>
    <n v="2"/>
    <x v="1"/>
    <n v="688321.6"/>
    <n v="265318"/>
    <n v="423003.6"/>
    <n v="1200"/>
    <n v="3.21"/>
    <n v="223275.7"/>
    <n v="364237.6"/>
    <n v="587513.30000000005"/>
    <n v="27347.8"/>
    <n v="8596.7999999999993"/>
    <n v="35944.6"/>
    <n v="9.42"/>
    <n v="0.2"/>
    <n v="7528.1"/>
    <n v="34875.9"/>
    <n v="3.4"/>
    <n v="1027"/>
    <n v="622389.19999999995"/>
    <n v="9.58"/>
    <n v="4000"/>
  </r>
  <r>
    <s v="4000_0.2_0.5_2000_3.0_order_3"/>
    <x v="1"/>
    <n v="0.2"/>
    <n v="0.5"/>
    <n v="2000"/>
    <n v="3"/>
    <n v="3"/>
    <x v="1"/>
    <n v="720187.7"/>
    <n v="279158.7"/>
    <n v="441029"/>
    <n v="1200"/>
    <n v="3.25"/>
    <n v="236587.1"/>
    <n v="379800.5"/>
    <n v="616387.6"/>
    <n v="30340.9"/>
    <n v="8421.5"/>
    <n v="38762.400000000001"/>
    <n v="9.0299999999999994"/>
    <n v="0.24"/>
    <n v="7196.5"/>
    <n v="37537.4"/>
    <n v="3.49"/>
    <n v="1131"/>
    <n v="653925"/>
    <n v="9.1999999999999993"/>
    <n v="4000"/>
  </r>
  <r>
    <s v="4000_0.2_0.5_2000_3.0_order_4"/>
    <x v="1"/>
    <n v="0.2"/>
    <n v="0.5"/>
    <n v="2000"/>
    <n v="3"/>
    <n v="4"/>
    <x v="1"/>
    <n v="704298.5"/>
    <n v="263203.3"/>
    <n v="441095.2"/>
    <n v="1200"/>
    <n v="3.3"/>
    <n v="224700"/>
    <n v="377542.5"/>
    <n v="602242.5"/>
    <n v="26719.4"/>
    <n v="8179.4"/>
    <n v="34898.800000000003"/>
    <n v="9.5399999999999991"/>
    <n v="0.21"/>
    <n v="7296.8"/>
    <n v="34016.199999999997"/>
    <n v="3.51"/>
    <n v="996"/>
    <n v="636258.69999999995"/>
    <n v="9.66"/>
    <n v="4000"/>
  </r>
  <r>
    <s v="4000_0.2_0.5_2000_3.0_order_5"/>
    <x v="1"/>
    <n v="0.2"/>
    <n v="0.5"/>
    <n v="2000"/>
    <n v="3"/>
    <n v="5"/>
    <x v="1"/>
    <n v="698389.6"/>
    <n v="267524.5"/>
    <n v="430865.1"/>
    <n v="1200"/>
    <n v="3.2"/>
    <n v="223547.4"/>
    <n v="366436.5"/>
    <n v="589983.9"/>
    <n v="31124.7"/>
    <n v="9094.7000000000007"/>
    <n v="40219.4"/>
    <n v="9.76"/>
    <n v="0.24"/>
    <n v="7923.5"/>
    <n v="39048.199999999997"/>
    <n v="3.44"/>
    <n v="1149"/>
    <n v="629032.1"/>
    <n v="9.93"/>
    <n v="4000"/>
  </r>
  <r>
    <s v="4000_0.2_0.5_500_1.0_order_1"/>
    <x v="1"/>
    <n v="0.2"/>
    <n v="0.5"/>
    <n v="500"/>
    <n v="1"/>
    <n v="1"/>
    <x v="1"/>
    <n v="91390.7"/>
    <n v="36834.5"/>
    <n v="54556.2"/>
    <n v="1200"/>
    <n v="1.1299999999999999"/>
    <n v="31546.9"/>
    <n v="47567.199999999997"/>
    <n v="79114.100000000006"/>
    <n v="6398.1"/>
    <n v="1218.5999999999999"/>
    <n v="7616.7"/>
    <n v="5.0999999999999996"/>
    <n v="0"/>
    <n v="1171.2"/>
    <n v="7569.3"/>
    <n v="1.1399999999999999"/>
    <n v="194"/>
    <n v="86683.4"/>
    <n v="5.15"/>
    <n v="4000"/>
  </r>
  <r>
    <s v="4000_0.2_0.5_500_1.0_order_2"/>
    <x v="1"/>
    <n v="0.2"/>
    <n v="0.5"/>
    <n v="500"/>
    <n v="1"/>
    <n v="2"/>
    <x v="1"/>
    <n v="92818.2"/>
    <n v="35033.199999999997"/>
    <n v="57785"/>
    <n v="1200"/>
    <n v="1.03"/>
    <n v="28556.9"/>
    <n v="49062"/>
    <n v="77618.899999999994"/>
    <n v="9651.7999999999993"/>
    <n v="1506.5"/>
    <n v="11158.3"/>
    <n v="4.3499999999999996"/>
    <n v="0"/>
    <n v="1407.8"/>
    <n v="11059.6"/>
    <n v="1.03"/>
    <n v="322"/>
    <n v="88678.5"/>
    <n v="4.46"/>
    <n v="4000"/>
  </r>
  <r>
    <s v="4000_0.2_0.5_500_1.0_order_3"/>
    <x v="1"/>
    <n v="0.2"/>
    <n v="0.5"/>
    <n v="500"/>
    <n v="1"/>
    <n v="3"/>
    <x v="1"/>
    <n v="89874.2"/>
    <n v="35811.9"/>
    <n v="54062.3"/>
    <n v="1200"/>
    <n v="1.04"/>
    <n v="30819.1"/>
    <n v="47511.7"/>
    <n v="78330.8"/>
    <n v="6339.6"/>
    <n v="1521.1"/>
    <n v="7860.7"/>
    <n v="4.0999999999999996"/>
    <n v="0"/>
    <n v="1402.2"/>
    <n v="7741.8"/>
    <n v="1.04"/>
    <n v="208"/>
    <n v="86072.6"/>
    <n v="4.2300000000000004"/>
    <n v="4000"/>
  </r>
  <r>
    <s v="4000_0.2_0.5_500_1.0_order_4"/>
    <x v="1"/>
    <n v="0.2"/>
    <n v="0.5"/>
    <n v="500"/>
    <n v="1"/>
    <n v="4"/>
    <x v="1"/>
    <n v="88886.3"/>
    <n v="34534.5"/>
    <n v="54351.8"/>
    <n v="1200"/>
    <n v="0.99"/>
    <n v="29830.6"/>
    <n v="48495.9"/>
    <n v="78326.5"/>
    <n v="6235.8"/>
    <n v="1247.2"/>
    <n v="7483"/>
    <n v="3.46"/>
    <n v="0"/>
    <n v="1200.4000000000001"/>
    <n v="7436.2"/>
    <n v="0.99"/>
    <n v="187"/>
    <n v="85762.7"/>
    <n v="3.51"/>
    <n v="4000"/>
  </r>
  <r>
    <s v="4000_0.2_0.5_500_1.0_order_5"/>
    <x v="1"/>
    <n v="0.2"/>
    <n v="0.5"/>
    <n v="500"/>
    <n v="1"/>
    <n v="5"/>
    <x v="1"/>
    <n v="87291.1"/>
    <n v="33873"/>
    <n v="53418.1"/>
    <n v="1200"/>
    <n v="1.01"/>
    <n v="26913"/>
    <n v="45167.3"/>
    <n v="72080.3"/>
    <n v="10051.9"/>
    <n v="2247.1999999999998"/>
    <n v="12299.1"/>
    <n v="3.34"/>
    <n v="0"/>
    <n v="2114.9"/>
    <n v="12166.8"/>
    <n v="1.02"/>
    <n v="360"/>
    <n v="84247.1"/>
    <n v="3.49"/>
    <n v="4000"/>
  </r>
  <r>
    <s v="4000_0.2_0.5_500_2.0_order_1"/>
    <x v="1"/>
    <n v="0.2"/>
    <n v="0.5"/>
    <n v="500"/>
    <n v="2"/>
    <n v="1"/>
    <x v="1"/>
    <n v="136347"/>
    <n v="52262.2"/>
    <n v="84084.800000000003"/>
    <n v="1200"/>
    <n v="1.1399999999999999"/>
    <n v="47317"/>
    <n v="75571.399999999994"/>
    <n v="122888.4"/>
    <n v="6445.7"/>
    <n v="1552"/>
    <n v="7997.7"/>
    <n v="4.01"/>
    <n v="0"/>
    <n v="1446.2"/>
    <n v="7891.9"/>
    <n v="1.1399999999999999"/>
    <n v="228"/>
    <n v="130780.3"/>
    <n v="4.08"/>
    <n v="4000"/>
  </r>
  <r>
    <s v="4000_0.2_0.5_500_2.0_order_2"/>
    <x v="1"/>
    <n v="0.2"/>
    <n v="0.5"/>
    <n v="500"/>
    <n v="2"/>
    <n v="2"/>
    <x v="1"/>
    <n v="133994.6"/>
    <n v="51705.2"/>
    <n v="82289.399999999994"/>
    <n v="1200"/>
    <n v="1.2"/>
    <n v="45869.599999999999"/>
    <n v="73264.800000000003"/>
    <n v="119134.39999999999"/>
    <n v="8548.1"/>
    <n v="2066.6"/>
    <n v="10614.7"/>
    <n v="3.17"/>
    <n v="0"/>
    <n v="1940.4"/>
    <n v="10488.5"/>
    <n v="1.2"/>
    <n v="315"/>
    <n v="129622.9"/>
    <n v="3.26"/>
    <n v="4000"/>
  </r>
  <r>
    <s v="4000_0.2_0.5_500_2.0_order_3"/>
    <x v="1"/>
    <n v="0.2"/>
    <n v="0.5"/>
    <n v="500"/>
    <n v="2"/>
    <n v="3"/>
    <x v="1"/>
    <n v="136946.70000000001"/>
    <n v="51685.9"/>
    <n v="85260.800000000003"/>
    <n v="1200"/>
    <n v="1.17"/>
    <n v="45164.3"/>
    <n v="74802.100000000006"/>
    <n v="119966.39999999999"/>
    <n v="9600.4"/>
    <n v="2293.6"/>
    <n v="11894"/>
    <n v="3.71"/>
    <n v="0.01"/>
    <n v="2025.2"/>
    <n v="11625.6"/>
    <n v="1.17"/>
    <n v="354"/>
    <n v="131592"/>
    <n v="3.91"/>
    <n v="4000"/>
  </r>
  <r>
    <s v="4000_0.2_0.5_500_2.0_order_4"/>
    <x v="1"/>
    <n v="0.2"/>
    <n v="0.5"/>
    <n v="500"/>
    <n v="2"/>
    <n v="4"/>
    <x v="1"/>
    <n v="130276.2"/>
    <n v="49319"/>
    <n v="80957.2"/>
    <n v="1200"/>
    <n v="1.19"/>
    <n v="42533.5"/>
    <n v="72906.5"/>
    <n v="115440"/>
    <n v="7967.3"/>
    <n v="1759.1"/>
    <n v="9726.4"/>
    <n v="3.92"/>
    <n v="0"/>
    <n v="1580.6"/>
    <n v="9547.9"/>
    <n v="1.19"/>
    <n v="295"/>
    <n v="124987.9"/>
    <n v="4.0599999999999996"/>
    <n v="4000"/>
  </r>
  <r>
    <s v="4000_0.2_0.5_500_2.0_order_5"/>
    <x v="1"/>
    <n v="0.2"/>
    <n v="0.5"/>
    <n v="500"/>
    <n v="2"/>
    <n v="5"/>
    <x v="1"/>
    <n v="126993.7"/>
    <n v="49785.9"/>
    <n v="77207.8"/>
    <n v="1200"/>
    <n v="1.28"/>
    <n v="44639.8"/>
    <n v="70049.3"/>
    <n v="114689.1"/>
    <n v="6127.5"/>
    <n v="1501.6"/>
    <n v="7629.1"/>
    <n v="3.68"/>
    <n v="0"/>
    <n v="1379.4"/>
    <n v="7506.9"/>
    <n v="1.28"/>
    <n v="213"/>
    <n v="122196"/>
    <n v="3.78"/>
    <n v="4000"/>
  </r>
  <r>
    <s v="4000_0.2_0.5_500_3.0_order_1"/>
    <x v="1"/>
    <n v="0.2"/>
    <n v="0.5"/>
    <n v="500"/>
    <n v="3"/>
    <n v="1"/>
    <x v="1"/>
    <n v="178021"/>
    <n v="68456.800000000003"/>
    <n v="109564.2"/>
    <n v="1200"/>
    <n v="1.44"/>
    <n v="59402.5"/>
    <n v="97060.800000000003"/>
    <n v="156463.29999999999"/>
    <n v="9683.7999999999993"/>
    <n v="2880.2"/>
    <n v="12564"/>
    <n v="5.05"/>
    <n v="0.01"/>
    <n v="2602.1"/>
    <n v="12285.9"/>
    <n v="1.45"/>
    <n v="336"/>
    <n v="168749.2"/>
    <n v="5.21"/>
    <n v="4000"/>
  </r>
  <r>
    <s v="4000_0.2_0.5_500_3.0_order_2"/>
    <x v="1"/>
    <n v="0.2"/>
    <n v="0.5"/>
    <n v="500"/>
    <n v="3"/>
    <n v="2"/>
    <x v="1"/>
    <n v="165633.4"/>
    <n v="62948.800000000003"/>
    <n v="102684.6"/>
    <n v="1200"/>
    <n v="1.32"/>
    <n v="55479.4"/>
    <n v="93455.6"/>
    <n v="148935"/>
    <n v="7615.1"/>
    <n v="2063.1"/>
    <n v="9678.2000000000007"/>
    <n v="4.24"/>
    <n v="0.01"/>
    <n v="1782.3"/>
    <n v="9397.4"/>
    <n v="1.33"/>
    <n v="259"/>
    <n v="158332.4"/>
    <n v="4.41"/>
    <n v="4000"/>
  </r>
  <r>
    <s v="4000_0.2_0.5_500_3.0_order_3"/>
    <x v="1"/>
    <n v="0.2"/>
    <n v="0.5"/>
    <n v="500"/>
    <n v="3"/>
    <n v="3"/>
    <x v="1"/>
    <n v="174713"/>
    <n v="65933.399999999994"/>
    <n v="108779.6"/>
    <n v="1200"/>
    <n v="1.39"/>
    <n v="60102.400000000001"/>
    <n v="99749.7"/>
    <n v="159852.1"/>
    <n v="7802.7"/>
    <n v="2086.1999999999998"/>
    <n v="9888.9"/>
    <n v="2.85"/>
    <n v="0.01"/>
    <n v="1870.2"/>
    <n v="9672.9"/>
    <n v="1.39"/>
    <n v="281"/>
    <n v="169525"/>
    <n v="2.97"/>
    <n v="4000"/>
  </r>
  <r>
    <s v="4000_0.2_0.5_500_3.0_order_4"/>
    <x v="1"/>
    <n v="0.2"/>
    <n v="0.5"/>
    <n v="500"/>
    <n v="3"/>
    <n v="4"/>
    <x v="1"/>
    <n v="168294.1"/>
    <n v="65620.5"/>
    <n v="102673.60000000001"/>
    <n v="1200"/>
    <n v="1.22"/>
    <n v="56794.1"/>
    <n v="91445.5"/>
    <n v="148239.6"/>
    <n v="11542.9"/>
    <n v="3181.9"/>
    <n v="14724.8"/>
    <n v="3.17"/>
    <n v="0.01"/>
    <n v="2863.9"/>
    <n v="14406.8"/>
    <n v="1.23"/>
    <n v="398"/>
    <n v="162646.39999999999"/>
    <n v="3.36"/>
    <n v="4000"/>
  </r>
  <r>
    <s v="4000_0.2_0.5_500_3.0_order_5"/>
    <x v="1"/>
    <n v="0.2"/>
    <n v="0.5"/>
    <n v="500"/>
    <n v="3"/>
    <n v="5"/>
    <x v="1"/>
    <n v="172598.8"/>
    <n v="67794.8"/>
    <n v="104804"/>
    <n v="1200"/>
    <n v="1.3"/>
    <n v="56062.1"/>
    <n v="88152.3"/>
    <n v="144214.39999999999"/>
    <n v="16890"/>
    <n v="4051.1"/>
    <n v="20941.099999999999"/>
    <n v="4.3099999999999996"/>
    <n v="0.02"/>
    <n v="3660.6"/>
    <n v="20550.599999999999"/>
    <n v="1.32"/>
    <n v="617"/>
    <n v="164765"/>
    <n v="4.54"/>
    <n v="4000"/>
  </r>
  <r>
    <s v="4000_0.3_0.5_1000_1.0_order_1"/>
    <x v="1"/>
    <n v="0.3"/>
    <n v="0.5"/>
    <n v="1000"/>
    <n v="1"/>
    <n v="1"/>
    <x v="1"/>
    <n v="175093.6"/>
    <n v="68226.600000000006"/>
    <n v="106867"/>
    <n v="1200"/>
    <n v="0.82"/>
    <n v="52041.5"/>
    <n v="84869.8"/>
    <n v="136911.29999999999"/>
    <n v="17673.099999999999"/>
    <n v="6678"/>
    <n v="24351.1"/>
    <n v="7.9"/>
    <n v="0.08"/>
    <n v="6283.2"/>
    <n v="23956.3"/>
    <n v="0.9"/>
    <n v="623"/>
    <n v="160867.6"/>
    <n v="8.1199999999999992"/>
    <n v="4000"/>
  </r>
  <r>
    <s v="4000_0.3_0.5_1000_1.0_order_2"/>
    <x v="1"/>
    <n v="0.3"/>
    <n v="0.5"/>
    <n v="1000"/>
    <n v="1"/>
    <n v="2"/>
    <x v="1"/>
    <n v="175656.9"/>
    <n v="73099.600000000006"/>
    <n v="102557.3"/>
    <n v="1200"/>
    <n v="0.86"/>
    <n v="55960"/>
    <n v="81115.199999999997"/>
    <n v="137075.20000000001"/>
    <n v="17654.599999999999"/>
    <n v="6542.1"/>
    <n v="24196.7"/>
    <n v="8.19"/>
    <n v="7.0000000000000007E-2"/>
    <n v="6223.6"/>
    <n v="23878.2"/>
    <n v="0.93"/>
    <n v="599"/>
    <n v="160953.4"/>
    <n v="8.3699999999999992"/>
    <n v="4000"/>
  </r>
  <r>
    <s v="4000_0.3_0.5_1000_1.0_order_3"/>
    <x v="1"/>
    <n v="0.3"/>
    <n v="0.5"/>
    <n v="1000"/>
    <n v="1"/>
    <n v="3"/>
    <x v="1"/>
    <n v="169951.8"/>
    <n v="69742.100000000006"/>
    <n v="100209.7"/>
    <n v="1200"/>
    <n v="0.86"/>
    <n v="51386.9"/>
    <n v="77263.100000000006"/>
    <n v="128650"/>
    <n v="21123.4"/>
    <n v="7104.4"/>
    <n v="28227.8"/>
    <n v="7.69"/>
    <n v="7.0000000000000007E-2"/>
    <n v="6703.6"/>
    <n v="27827"/>
    <n v="0.93"/>
    <n v="719"/>
    <n v="156477"/>
    <n v="7.93"/>
    <n v="4000"/>
  </r>
  <r>
    <s v="4000_0.3_0.5_1000_1.0_order_4"/>
    <x v="1"/>
    <n v="0.3"/>
    <n v="0.5"/>
    <n v="1000"/>
    <n v="1"/>
    <n v="4"/>
    <x v="1"/>
    <n v="171916.6"/>
    <n v="69635.3"/>
    <n v="102281.3"/>
    <n v="1200"/>
    <n v="0.87"/>
    <n v="52807.8"/>
    <n v="80051.8"/>
    <n v="132859.6"/>
    <n v="17207.2"/>
    <n v="6463.3"/>
    <n v="23670.5"/>
    <n v="8.9499999999999993"/>
    <n v="0.06"/>
    <n v="5998.5"/>
    <n v="23205.7"/>
    <n v="0.93"/>
    <n v="589"/>
    <n v="156065.29999999999"/>
    <n v="9.2200000000000006"/>
    <n v="4000"/>
  </r>
  <r>
    <s v="4000_0.3_0.5_1000_1.0_order_5"/>
    <x v="1"/>
    <n v="0.3"/>
    <n v="0.5"/>
    <n v="1000"/>
    <n v="1"/>
    <n v="5"/>
    <x v="1"/>
    <n v="176761.2"/>
    <n v="70693.100000000006"/>
    <n v="106068.1"/>
    <n v="1200"/>
    <n v="0.82"/>
    <n v="54729.599999999999"/>
    <n v="84922.1"/>
    <n v="139651.70000000001"/>
    <n v="17333.8"/>
    <n v="6392.5"/>
    <n v="23726.3"/>
    <n v="7.57"/>
    <n v="0.06"/>
    <n v="6125.8"/>
    <n v="23459.599999999999"/>
    <n v="0.88"/>
    <n v="593"/>
    <n v="163111.29999999999"/>
    <n v="7.72"/>
    <n v="4000"/>
  </r>
  <r>
    <s v="4000_0.3_0.5_1000_2.0_order_1"/>
    <x v="1"/>
    <n v="0.3"/>
    <n v="0.5"/>
    <n v="1000"/>
    <n v="2"/>
    <n v="1"/>
    <x v="1"/>
    <n v="267278.59999999998"/>
    <n v="104903.3"/>
    <n v="162375.29999999999"/>
    <n v="1200"/>
    <n v="1.18"/>
    <n v="78953.7"/>
    <n v="126642.8"/>
    <n v="205596.5"/>
    <n v="29780.5"/>
    <n v="10531.9"/>
    <n v="40312.400000000001"/>
    <n v="8"/>
    <n v="0.18"/>
    <n v="9723.7000000000007"/>
    <n v="39504.199999999997"/>
    <n v="1.35"/>
    <n v="1078"/>
    <n v="245100.7"/>
    <n v="8.3000000000000007"/>
    <n v="4000"/>
  </r>
  <r>
    <s v="4000_0.3_0.5_1000_2.0_order_2"/>
    <x v="1"/>
    <n v="0.3"/>
    <n v="0.5"/>
    <n v="1000"/>
    <n v="2"/>
    <n v="2"/>
    <x v="1"/>
    <n v="266574.40000000002"/>
    <n v="109573.5"/>
    <n v="157000.9"/>
    <n v="1200"/>
    <n v="1.1200000000000001"/>
    <n v="82147.5"/>
    <n v="121511.1"/>
    <n v="203658.6"/>
    <n v="27721.8"/>
    <n v="10702.3"/>
    <n v="38424.1"/>
    <n v="9.19"/>
    <n v="0.19"/>
    <n v="10098.6"/>
    <n v="37820.400000000001"/>
    <n v="1.31"/>
    <n v="984"/>
    <n v="241479"/>
    <n v="9.41"/>
    <n v="4000"/>
  </r>
  <r>
    <s v="4000_0.3_0.5_1000_2.0_order_3"/>
    <x v="1"/>
    <n v="0.3"/>
    <n v="0.5"/>
    <n v="1000"/>
    <n v="2"/>
    <n v="3"/>
    <x v="1"/>
    <n v="270461.40000000002"/>
    <n v="108640.8"/>
    <n v="161820.6"/>
    <n v="1200"/>
    <n v="1.1599999999999999"/>
    <n v="83098.5"/>
    <n v="125841.5"/>
    <n v="208940"/>
    <n v="26953.4"/>
    <n v="10384.5"/>
    <n v="37337.9"/>
    <n v="8.94"/>
    <n v="0.25"/>
    <n v="9756.2999999999993"/>
    <n v="36709.699999999997"/>
    <n v="1.41"/>
    <n v="976"/>
    <n v="245649.7"/>
    <n v="9.17"/>
    <n v="4000"/>
  </r>
  <r>
    <s v="4000_0.3_0.5_1000_2.0_order_4"/>
    <x v="1"/>
    <n v="0.3"/>
    <n v="0.5"/>
    <n v="1000"/>
    <n v="2"/>
    <n v="4"/>
    <x v="1"/>
    <n v="276520.5"/>
    <n v="108151.8"/>
    <n v="168368.7"/>
    <n v="1200"/>
    <n v="1.17"/>
    <n v="83828.3"/>
    <n v="135073.79999999999"/>
    <n v="218902.1"/>
    <n v="24850.6"/>
    <n v="9598.5"/>
    <n v="34449.1"/>
    <n v="8.3800000000000008"/>
    <n v="0.21"/>
    <n v="9256.9"/>
    <n v="34107.5"/>
    <n v="1.38"/>
    <n v="887"/>
    <n v="253009.6"/>
    <n v="8.5"/>
    <n v="4000"/>
  </r>
  <r>
    <s v="4000_0.3_0.5_1000_2.0_order_5"/>
    <x v="1"/>
    <n v="0.3"/>
    <n v="0.5"/>
    <n v="1000"/>
    <n v="2"/>
    <n v="5"/>
    <x v="1"/>
    <n v="269398.09999999998"/>
    <n v="105268.2"/>
    <n v="164129.9"/>
    <n v="1200"/>
    <n v="1.28"/>
    <n v="80850.100000000006"/>
    <n v="128950.6"/>
    <n v="209800.7"/>
    <n v="25277.1"/>
    <n v="9389.9"/>
    <n v="34667"/>
    <n v="9.25"/>
    <n v="0.2"/>
    <n v="8524"/>
    <n v="33801.1"/>
    <n v="1.48"/>
    <n v="901"/>
    <n v="243601.8"/>
    <n v="9.58"/>
    <n v="4000"/>
  </r>
  <r>
    <s v="4000_0.3_0.5_1000_3.0_order_1"/>
    <x v="1"/>
    <n v="0.3"/>
    <n v="0.5"/>
    <n v="1000"/>
    <n v="3"/>
    <n v="1"/>
    <x v="1"/>
    <n v="356848.3"/>
    <n v="144262.29999999999"/>
    <n v="212586"/>
    <n v="1200"/>
    <n v="1.86"/>
    <n v="110103"/>
    <n v="166503.70000000001"/>
    <n v="276606.7"/>
    <n v="29578.6"/>
    <n v="11556"/>
    <n v="41134.6"/>
    <n v="10.96"/>
    <n v="0.32"/>
    <n v="10829.5"/>
    <n v="40408.1"/>
    <n v="2.1800000000000002"/>
    <n v="1094"/>
    <n v="317014.8"/>
    <n v="11.16"/>
    <n v="4000"/>
  </r>
  <r>
    <s v="4000_0.3_0.5_1000_3.0_order_2"/>
    <x v="1"/>
    <n v="0.3"/>
    <n v="0.5"/>
    <n v="1000"/>
    <n v="3"/>
    <n v="2"/>
    <x v="1"/>
    <n v="328960.90000000002"/>
    <n v="126352.7"/>
    <n v="202608.2"/>
    <n v="1200"/>
    <n v="1.72"/>
    <n v="102688.5"/>
    <n v="165754.20000000001"/>
    <n v="268442.7"/>
    <n v="22278.400000000001"/>
    <n v="9280.6"/>
    <n v="31559"/>
    <n v="8.8000000000000007"/>
    <n v="0.17"/>
    <n v="8714.2000000000007"/>
    <n v="30992.6"/>
    <n v="1.89"/>
    <n v="792"/>
    <n v="299435.3"/>
    <n v="8.98"/>
    <n v="4000"/>
  </r>
  <r>
    <s v="4000_0.3_0.5_1000_3.0_order_3"/>
    <x v="1"/>
    <n v="0.3"/>
    <n v="0.5"/>
    <n v="1000"/>
    <n v="3"/>
    <n v="3"/>
    <x v="1"/>
    <n v="355550"/>
    <n v="132273.1"/>
    <n v="223276.9"/>
    <n v="1200"/>
    <n v="1.89"/>
    <n v="101473.5"/>
    <n v="174793.7"/>
    <n v="276267.2"/>
    <n v="31696.9"/>
    <n v="11476.5"/>
    <n v="43173.4"/>
    <n v="10.16"/>
    <n v="0.3"/>
    <n v="10851"/>
    <n v="42547.9"/>
    <n v="2.1800000000000002"/>
    <n v="1156"/>
    <n v="318815.09999999998"/>
    <n v="10.33"/>
    <n v="4000"/>
  </r>
  <r>
    <s v="4000_0.3_0.5_1000_3.0_order_4"/>
    <x v="1"/>
    <n v="0.3"/>
    <n v="0.5"/>
    <n v="1000"/>
    <n v="3"/>
    <n v="4"/>
    <x v="1"/>
    <n v="350010.5"/>
    <n v="134680.70000000001"/>
    <n v="215329.8"/>
    <n v="1200"/>
    <n v="1.7"/>
    <n v="103772.9"/>
    <n v="167881.9"/>
    <n v="271654.8"/>
    <n v="30897.7"/>
    <n v="11981.2"/>
    <n v="42878.9"/>
    <n v="10.14"/>
    <n v="0.32"/>
    <n v="11356.2"/>
    <n v="42253.9"/>
    <n v="2.0099999999999998"/>
    <n v="1100"/>
    <n v="313908.7"/>
    <n v="10.31"/>
    <n v="4000"/>
  </r>
  <r>
    <s v="4000_0.3_0.5_1000_3.0_order_5"/>
    <x v="1"/>
    <n v="0.3"/>
    <n v="0.5"/>
    <n v="1000"/>
    <n v="3"/>
    <n v="5"/>
    <x v="1"/>
    <n v="358853.9"/>
    <n v="135489.60000000001"/>
    <n v="223364.3"/>
    <n v="1200"/>
    <n v="1.65"/>
    <n v="105528.9"/>
    <n v="177494.2"/>
    <n v="283023.09999999998"/>
    <n v="27491.1"/>
    <n v="11108.2"/>
    <n v="38599.300000000003"/>
    <n v="10.38"/>
    <n v="0.28000000000000003"/>
    <n v="10493.9"/>
    <n v="37985"/>
    <n v="1.94"/>
    <n v="983"/>
    <n v="321008.09999999998"/>
    <n v="10.55"/>
    <n v="4000"/>
  </r>
  <r>
    <s v="4000_0.3_0.5_2000_1.0_order_1"/>
    <x v="1"/>
    <n v="0.3"/>
    <n v="0.5"/>
    <n v="2000"/>
    <n v="1"/>
    <n v="1"/>
    <x v="1"/>
    <n v="348568.8"/>
    <n v="140450.6"/>
    <n v="208118.2"/>
    <n v="1200"/>
    <n v="0.86"/>
    <n v="101747"/>
    <n v="155618.79999999999"/>
    <n v="257365.8"/>
    <n v="32962.1"/>
    <n v="12013"/>
    <n v="44975.1"/>
    <n v="13.26"/>
    <n v="0.23"/>
    <n v="11379.8"/>
    <n v="44341.9"/>
    <n v="1.0900000000000001"/>
    <n v="1177"/>
    <n v="301707.7"/>
    <n v="13.44"/>
    <n v="4000"/>
  </r>
  <r>
    <s v="4000_0.3_0.5_2000_1.0_order_2"/>
    <x v="1"/>
    <n v="0.3"/>
    <n v="0.5"/>
    <n v="2000"/>
    <n v="1"/>
    <n v="2"/>
    <x v="1"/>
    <n v="356227.2"/>
    <n v="144468.4"/>
    <n v="211758.8"/>
    <n v="1200"/>
    <n v="0.94"/>
    <n v="102536.5"/>
    <n v="159353.29999999999"/>
    <n v="261889.8"/>
    <n v="32557.599999999999"/>
    <n v="11809.7"/>
    <n v="44367.3"/>
    <n v="14.03"/>
    <n v="0.28000000000000003"/>
    <n v="11251.7"/>
    <n v="43809.3"/>
    <n v="1.22"/>
    <n v="1186"/>
    <n v="305699.09999999998"/>
    <n v="14.18"/>
    <n v="4000"/>
  </r>
  <r>
    <s v="4000_0.3_0.5_2000_1.0_order_3"/>
    <x v="1"/>
    <n v="0.3"/>
    <n v="0.5"/>
    <n v="2000"/>
    <n v="1"/>
    <n v="3"/>
    <x v="1"/>
    <n v="352439.3"/>
    <n v="140867.20000000001"/>
    <n v="211572.1"/>
    <n v="1200"/>
    <n v="0.91"/>
    <n v="102829.6"/>
    <n v="159238.9"/>
    <n v="262068.5"/>
    <n v="29118.3"/>
    <n v="10766.1"/>
    <n v="39884.400000000001"/>
    <n v="14.32"/>
    <n v="0.23"/>
    <n v="10384.799999999999"/>
    <n v="39503.1"/>
    <n v="1.1399999999999999"/>
    <n v="1078"/>
    <n v="301571.59999999998"/>
    <n v="14.43"/>
    <n v="4000"/>
  </r>
  <r>
    <s v="4000_0.3_0.5_2000_1.0_order_4"/>
    <x v="1"/>
    <n v="0.3"/>
    <n v="0.5"/>
    <n v="2000"/>
    <n v="1"/>
    <n v="4"/>
    <x v="1"/>
    <n v="362583.2"/>
    <n v="147633"/>
    <n v="214950.2"/>
    <n v="1200"/>
    <n v="0.94"/>
    <n v="104937.2"/>
    <n v="159855.5"/>
    <n v="264792.7"/>
    <n v="33437"/>
    <n v="11389.5"/>
    <n v="44826.5"/>
    <n v="14.61"/>
    <n v="0.25"/>
    <n v="10815.7"/>
    <n v="44252.7"/>
    <n v="1.18"/>
    <n v="1199"/>
    <n v="309045.40000000002"/>
    <n v="14.77"/>
    <n v="4000"/>
  </r>
  <r>
    <s v="4000_0.3_0.5_2000_1.0_order_5"/>
    <x v="1"/>
    <n v="0.3"/>
    <n v="0.5"/>
    <n v="2000"/>
    <n v="1"/>
    <n v="5"/>
    <x v="1"/>
    <n v="357055"/>
    <n v="142400.4"/>
    <n v="214654.6"/>
    <n v="1200"/>
    <n v="0.97"/>
    <n v="105787.7"/>
    <n v="168832.3"/>
    <n v="274620"/>
    <n v="28418.2"/>
    <n v="10421.4"/>
    <n v="38839.599999999999"/>
    <n v="12.21"/>
    <n v="0.22"/>
    <n v="9893.7999999999993"/>
    <n v="38312"/>
    <n v="1.18"/>
    <n v="1036"/>
    <n v="312932"/>
    <n v="12.36"/>
    <n v="4000"/>
  </r>
  <r>
    <s v="4000_0.3_0.5_2000_2.0_order_1"/>
    <x v="1"/>
    <n v="0.3"/>
    <n v="0.5"/>
    <n v="2000"/>
    <n v="2"/>
    <n v="1"/>
    <x v="1"/>
    <n v="525680.9"/>
    <n v="196095.8"/>
    <n v="329585.09999999998"/>
    <n v="1200"/>
    <n v="1.79"/>
    <n v="156058.70000000001"/>
    <n v="264632"/>
    <n v="420690.7"/>
    <n v="29830.3"/>
    <n v="11666"/>
    <n v="41496.300000000003"/>
    <n v="12.08"/>
    <n v="0.34"/>
    <n v="10861.3"/>
    <n v="40691.599999999999"/>
    <n v="2.13"/>
    <n v="1088"/>
    <n v="461382.3"/>
    <n v="12.23"/>
    <n v="4000"/>
  </r>
  <r>
    <s v="4000_0.3_0.5_2000_2.0_order_2"/>
    <x v="1"/>
    <n v="0.3"/>
    <n v="0.5"/>
    <n v="2000"/>
    <n v="2"/>
    <n v="2"/>
    <x v="1"/>
    <n v="542626.4"/>
    <n v="209886.9"/>
    <n v="332739.5"/>
    <n v="1200"/>
    <n v="2.11"/>
    <n v="161250.1"/>
    <n v="262857.40000000002"/>
    <n v="424107.5"/>
    <n v="31833.4"/>
    <n v="12048.3"/>
    <n v="43881.7"/>
    <n v="13.75"/>
    <n v="0.39"/>
    <n v="11554.4"/>
    <n v="43387.8"/>
    <n v="2.5"/>
    <n v="1178"/>
    <n v="467495.3"/>
    <n v="13.85"/>
    <n v="4000"/>
  </r>
  <r>
    <s v="4000_0.3_0.5_2000_2.0_order_3"/>
    <x v="1"/>
    <n v="0.3"/>
    <n v="0.5"/>
    <n v="2000"/>
    <n v="2"/>
    <n v="3"/>
    <x v="1"/>
    <n v="535601.9"/>
    <n v="206774.8"/>
    <n v="328827.09999999998"/>
    <n v="1200"/>
    <n v="1.91"/>
    <n v="163432.6"/>
    <n v="265433.2"/>
    <n v="428865.8"/>
    <n v="24526.5"/>
    <n v="11486.5"/>
    <n v="36013"/>
    <n v="13.2"/>
    <n v="0.32"/>
    <n v="10707.8"/>
    <n v="35234.300000000003"/>
    <n v="2.23"/>
    <n v="896"/>
    <n v="464100.1"/>
    <n v="13.35"/>
    <n v="4000"/>
  </r>
  <r>
    <s v="4000_0.3_0.5_2000_2.0_order_4"/>
    <x v="1"/>
    <n v="0.3"/>
    <n v="0.5"/>
    <n v="2000"/>
    <n v="2"/>
    <n v="4"/>
    <x v="1"/>
    <n v="546869.19999999995"/>
    <n v="217164.2"/>
    <n v="329705"/>
    <n v="1200"/>
    <n v="2.16"/>
    <n v="165947.1"/>
    <n v="258142.1"/>
    <n v="424089.2"/>
    <n v="32305.599999999999"/>
    <n v="13179.9"/>
    <n v="45485.5"/>
    <n v="14.13"/>
    <n v="0.4"/>
    <n v="12229.3"/>
    <n v="44534.9"/>
    <n v="2.5499999999999998"/>
    <n v="1176"/>
    <n v="468624.1"/>
    <n v="14.31"/>
    <n v="4000"/>
  </r>
  <r>
    <s v="4000_0.3_0.5_2000_2.0_order_5"/>
    <x v="1"/>
    <n v="0.3"/>
    <n v="0.5"/>
    <n v="2000"/>
    <n v="2"/>
    <n v="5"/>
    <x v="1"/>
    <n v="529483.30000000005"/>
    <n v="205231.3"/>
    <n v="324252"/>
    <n v="1200"/>
    <n v="1.98"/>
    <n v="159183.79999999999"/>
    <n v="255237.6"/>
    <n v="414421.4"/>
    <n v="31152.799999999999"/>
    <n v="12283.6"/>
    <n v="43436.4"/>
    <n v="13.53"/>
    <n v="0.34"/>
    <n v="11379.4"/>
    <n v="42532.2"/>
    <n v="2.33"/>
    <n v="1137"/>
    <n v="456953.59999999998"/>
    <n v="13.7"/>
    <n v="4000"/>
  </r>
  <r>
    <s v="4000_0.3_0.5_2000_3.0_order_1"/>
    <x v="1"/>
    <n v="0.3"/>
    <n v="0.5"/>
    <n v="2000"/>
    <n v="3"/>
    <n v="1"/>
    <x v="1"/>
    <n v="681195.9"/>
    <n v="262008.1"/>
    <n v="419187.8"/>
    <n v="1200"/>
    <n v="3.43"/>
    <n v="206098.2"/>
    <n v="335856.3"/>
    <n v="541954.5"/>
    <n v="30588"/>
    <n v="12785.5"/>
    <n v="43373.5"/>
    <n v="14.07"/>
    <n v="0.36"/>
    <n v="11834.8"/>
    <n v="42422.8"/>
    <n v="3.8"/>
    <n v="1094"/>
    <n v="584377.30000000005"/>
    <n v="14.21"/>
    <n v="4000"/>
  </r>
  <r>
    <s v="4000_0.3_0.5_2000_3.0_order_2"/>
    <x v="1"/>
    <n v="0.3"/>
    <n v="0.5"/>
    <n v="2000"/>
    <n v="3"/>
    <n v="2"/>
    <x v="1"/>
    <n v="688634.5"/>
    <n v="263569.40000000002"/>
    <n v="425065.1"/>
    <n v="1200"/>
    <n v="3.63"/>
    <n v="206920.7"/>
    <n v="341203.1"/>
    <n v="548123.80000000005"/>
    <n v="31343.9"/>
    <n v="13494"/>
    <n v="44837.9"/>
    <n v="13.89"/>
    <n v="0.38"/>
    <n v="12669.4"/>
    <n v="44013.3"/>
    <n v="4.01"/>
    <n v="1120"/>
    <n v="592137.1"/>
    <n v="14.01"/>
    <n v="4000"/>
  </r>
  <r>
    <s v="4000_0.3_0.5_2000_3.0_order_3"/>
    <x v="1"/>
    <n v="0.3"/>
    <n v="0.5"/>
    <n v="2000"/>
    <n v="3"/>
    <n v="3"/>
    <x v="1"/>
    <n v="673599.6"/>
    <n v="251402.1"/>
    <n v="422197.5"/>
    <n v="1200"/>
    <n v="3.6"/>
    <n v="200501.5"/>
    <n v="342061.4"/>
    <n v="542562.9"/>
    <n v="29087.9"/>
    <n v="12492.2"/>
    <n v="41580.1"/>
    <n v="13.28"/>
    <n v="0.34"/>
    <n v="11745.1"/>
    <n v="40833"/>
    <n v="3.94"/>
    <n v="1061"/>
    <n v="583395.9"/>
    <n v="13.39"/>
    <n v="4000"/>
  </r>
  <r>
    <s v="4000_0.3_0.5_2000_3.0_order_4"/>
    <x v="1"/>
    <n v="0.3"/>
    <n v="0.5"/>
    <n v="2000"/>
    <n v="3"/>
    <n v="4"/>
    <x v="1"/>
    <n v="674112.8"/>
    <n v="259348.7"/>
    <n v="414764.1"/>
    <n v="1200"/>
    <n v="3.11"/>
    <n v="204575.6"/>
    <n v="332772.7"/>
    <n v="537348.30000000005"/>
    <n v="31427.599999999999"/>
    <n v="12749"/>
    <n v="44176.6"/>
    <n v="13.73"/>
    <n v="0.4"/>
    <n v="11992.2"/>
    <n v="43419.8"/>
    <n v="3.51"/>
    <n v="1155"/>
    <n v="580768.1"/>
    <n v="13.85"/>
    <n v="4000"/>
  </r>
  <r>
    <s v="4000_0.3_0.5_2000_3.0_order_5"/>
    <x v="1"/>
    <n v="0.3"/>
    <n v="0.5"/>
    <n v="2000"/>
    <n v="3"/>
    <n v="5"/>
    <x v="1"/>
    <n v="700049.7"/>
    <n v="267738.7"/>
    <n v="432311"/>
    <n v="1200"/>
    <n v="3.47"/>
    <n v="209377.4"/>
    <n v="344918.7"/>
    <n v="554296.1"/>
    <n v="31360.9"/>
    <n v="12956.4"/>
    <n v="44317.3"/>
    <n v="14.49"/>
    <n v="0.42"/>
    <n v="12147.7"/>
    <n v="43508.6"/>
    <n v="3.88"/>
    <n v="1131"/>
    <n v="597804.69999999995"/>
    <n v="14.61"/>
    <n v="4000"/>
  </r>
  <r>
    <s v="4000_0.3_0.5_500_1.0_order_1"/>
    <x v="1"/>
    <n v="0.3"/>
    <n v="0.5"/>
    <n v="500"/>
    <n v="1"/>
    <n v="1"/>
    <x v="1"/>
    <n v="86158.9"/>
    <n v="35109.800000000003"/>
    <n v="51049.1"/>
    <n v="1200"/>
    <n v="1.1100000000000001"/>
    <n v="29273.9"/>
    <n v="43966.1"/>
    <n v="73240"/>
    <n v="7247.3"/>
    <n v="2121.6"/>
    <n v="9368.9"/>
    <n v="4.12"/>
    <n v="0"/>
    <n v="2008.5"/>
    <n v="9255.7999999999993"/>
    <n v="1.1100000000000001"/>
    <n v="228"/>
    <n v="82495.8"/>
    <n v="4.25"/>
    <n v="4000"/>
  </r>
  <r>
    <s v="4000_0.3_0.5_500_1.0_order_2"/>
    <x v="1"/>
    <n v="0.3"/>
    <n v="0.5"/>
    <n v="500"/>
    <n v="1"/>
    <n v="2"/>
    <x v="1"/>
    <n v="87235.199999999997"/>
    <n v="35765.300000000003"/>
    <n v="51469.9"/>
    <n v="1200"/>
    <n v="1.1000000000000001"/>
    <n v="30038.1"/>
    <n v="45265.9"/>
    <n v="75304"/>
    <n v="6412"/>
    <n v="1981.5"/>
    <n v="8393.5"/>
    <n v="4.0599999999999996"/>
    <n v="0"/>
    <n v="1925.7"/>
    <n v="8337.7000000000007"/>
    <n v="1.1100000000000001"/>
    <n v="214"/>
    <n v="83641.7"/>
    <n v="4.12"/>
    <n v="4000"/>
  </r>
  <r>
    <s v="4000_0.3_0.5_500_1.0_order_3"/>
    <x v="1"/>
    <n v="0.3"/>
    <n v="0.5"/>
    <n v="500"/>
    <n v="1"/>
    <n v="3"/>
    <x v="1"/>
    <n v="87209.7"/>
    <n v="35411.300000000003"/>
    <n v="51798.400000000001"/>
    <n v="1200"/>
    <n v="1.0900000000000001"/>
    <n v="28084.7"/>
    <n v="42785.599999999999"/>
    <n v="70870.3"/>
    <n v="9514.2000000000007"/>
    <n v="2828.5"/>
    <n v="12342.7"/>
    <n v="4.58"/>
    <n v="0.01"/>
    <n v="2664.2"/>
    <n v="12178.4"/>
    <n v="1.1000000000000001"/>
    <n v="314"/>
    <n v="83048.7"/>
    <n v="4.7699999999999996"/>
    <n v="4000"/>
  </r>
  <r>
    <s v="4000_0.3_0.5_500_1.0_order_4"/>
    <x v="1"/>
    <n v="0.3"/>
    <n v="0.5"/>
    <n v="500"/>
    <n v="1"/>
    <n v="4"/>
    <x v="1"/>
    <n v="89293"/>
    <n v="36025.699999999997"/>
    <n v="53267.3"/>
    <n v="1200"/>
    <n v="1.06"/>
    <n v="30630.7"/>
    <n v="46037.3"/>
    <n v="76668"/>
    <n v="6873.5"/>
    <n v="2261.8000000000002"/>
    <n v="9135.2999999999993"/>
    <n v="3.91"/>
    <n v="0"/>
    <n v="2158.1999999999998"/>
    <n v="9031.7000000000007"/>
    <n v="1.06"/>
    <n v="221"/>
    <n v="85699.7"/>
    <n v="4.0199999999999996"/>
    <n v="4000"/>
  </r>
  <r>
    <s v="4000_0.3_0.5_500_1.0_order_5"/>
    <x v="1"/>
    <n v="0.3"/>
    <n v="0.5"/>
    <n v="500"/>
    <n v="1"/>
    <n v="5"/>
    <x v="1"/>
    <n v="90482.3"/>
    <n v="36247.9"/>
    <n v="54234.400000000001"/>
    <n v="1200"/>
    <n v="1.07"/>
    <n v="30194.1"/>
    <n v="45121"/>
    <n v="75315.100000000006"/>
    <n v="8150.5"/>
    <n v="3159.4"/>
    <n v="11309.9"/>
    <n v="4.26"/>
    <n v="0.01"/>
    <n v="2987.1"/>
    <n v="11137.6"/>
    <n v="1.07"/>
    <n v="261"/>
    <n v="86452.7"/>
    <n v="4.45"/>
    <n v="4000"/>
  </r>
  <r>
    <s v="4000_0.3_0.5_500_2.0_order_1"/>
    <x v="1"/>
    <n v="0.3"/>
    <n v="0.5"/>
    <n v="500"/>
    <n v="2"/>
    <n v="1"/>
    <x v="1"/>
    <n v="137406.5"/>
    <n v="55799.7"/>
    <n v="81606.8"/>
    <n v="1200"/>
    <n v="1.18"/>
    <n v="44979"/>
    <n v="66723.5"/>
    <n v="111702.5"/>
    <n v="14221.2"/>
    <n v="4934.8999999999996"/>
    <n v="19156.099999999999"/>
    <n v="4.7699999999999996"/>
    <n v="0.03"/>
    <n v="4625"/>
    <n v="18846.2"/>
    <n v="1.21"/>
    <n v="493"/>
    <n v="130548.7"/>
    <n v="4.99"/>
    <n v="4000"/>
  </r>
  <r>
    <s v="4000_0.3_0.5_500_2.0_order_2"/>
    <x v="1"/>
    <n v="0.3"/>
    <n v="0.5"/>
    <n v="500"/>
    <n v="2"/>
    <n v="2"/>
    <x v="1"/>
    <n v="134470.9"/>
    <n v="52869.5"/>
    <n v="81601.399999999994"/>
    <n v="1200"/>
    <n v="1.3"/>
    <n v="42983.1"/>
    <n v="69924"/>
    <n v="112907.1"/>
    <n v="10601"/>
    <n v="3901.8"/>
    <n v="14502.8"/>
    <n v="5.25"/>
    <n v="0.02"/>
    <n v="3420.5"/>
    <n v="14021.5"/>
    <n v="1.32"/>
    <n v="364"/>
    <n v="126928.6"/>
    <n v="5.61"/>
    <n v="4000"/>
  </r>
  <r>
    <s v="4000_0.3_0.5_500_2.0_order_3"/>
    <x v="1"/>
    <n v="0.3"/>
    <n v="0.5"/>
    <n v="500"/>
    <n v="2"/>
    <n v="3"/>
    <x v="1"/>
    <n v="141138"/>
    <n v="56617.599999999999"/>
    <n v="84520.4"/>
    <n v="1200"/>
    <n v="1.26"/>
    <n v="48198.400000000001"/>
    <n v="71707.100000000006"/>
    <n v="119905.5"/>
    <n v="9828.2999999999993"/>
    <n v="3994.3"/>
    <n v="13822.6"/>
    <n v="5.25"/>
    <n v="0.02"/>
    <n v="3470.6"/>
    <n v="13298.9"/>
    <n v="1.28"/>
    <n v="355"/>
    <n v="133204.4"/>
    <n v="5.62"/>
    <n v="4000"/>
  </r>
  <r>
    <s v="4000_0.3_0.5_500_2.0_order_4"/>
    <x v="1"/>
    <n v="0.3"/>
    <n v="0.5"/>
    <n v="500"/>
    <n v="2"/>
    <n v="4"/>
    <x v="1"/>
    <n v="138094.29999999999"/>
    <n v="51984.9"/>
    <n v="86109.4"/>
    <n v="1200"/>
    <n v="1.23"/>
    <n v="45073.5"/>
    <n v="72894.399999999994"/>
    <n v="117967.9"/>
    <n v="10271.6"/>
    <n v="4097"/>
    <n v="14368.6"/>
    <n v="4.17"/>
    <n v="0.02"/>
    <n v="3837.1"/>
    <n v="14108.7"/>
    <n v="1.25"/>
    <n v="353"/>
    <n v="132076.6"/>
    <n v="4.3600000000000003"/>
    <n v="4000"/>
  </r>
  <r>
    <s v="4000_0.3_0.5_500_2.0_order_5"/>
    <x v="1"/>
    <n v="0.3"/>
    <n v="0.5"/>
    <n v="500"/>
    <n v="2"/>
    <n v="5"/>
    <x v="1"/>
    <n v="132232.6"/>
    <n v="53369.5"/>
    <n v="78863.100000000006"/>
    <n v="1200"/>
    <n v="1.19"/>
    <n v="46253.1"/>
    <n v="68348.7"/>
    <n v="114601.8"/>
    <n v="8531.5"/>
    <n v="3549.6"/>
    <n v="12081.1"/>
    <n v="4.2"/>
    <n v="0.01"/>
    <n v="3387.8"/>
    <n v="11919.3"/>
    <n v="1.2"/>
    <n v="285"/>
    <n v="126521.1"/>
    <n v="4.32"/>
    <n v="4000"/>
  </r>
  <r>
    <s v="4000_0.3_0.5_500_3.0_order_1"/>
    <x v="1"/>
    <n v="0.3"/>
    <n v="0.5"/>
    <n v="500"/>
    <n v="3"/>
    <n v="1"/>
    <x v="1"/>
    <n v="175437.9"/>
    <n v="65584.100000000006"/>
    <n v="109853.8"/>
    <n v="1200"/>
    <n v="1.32"/>
    <n v="57127"/>
    <n v="96445"/>
    <n v="153572"/>
    <n v="9120"/>
    <n v="4487.3999999999996"/>
    <n v="13607.4"/>
    <n v="4.71"/>
    <n v="0.02"/>
    <n v="4172.2"/>
    <n v="13292.2"/>
    <n v="1.35"/>
    <n v="314"/>
    <n v="166864.20000000001"/>
    <n v="4.8899999999999997"/>
    <n v="4000"/>
  </r>
  <r>
    <s v="4000_0.3_0.5_500_3.0_order_2"/>
    <x v="1"/>
    <n v="0.3"/>
    <n v="0.5"/>
    <n v="500"/>
    <n v="3"/>
    <n v="2"/>
    <x v="1"/>
    <n v="180917.6"/>
    <n v="67104.800000000003"/>
    <n v="113812.8"/>
    <n v="1200"/>
    <n v="1.39"/>
    <n v="58323.199999999997"/>
    <n v="101851.2"/>
    <n v="160174.39999999999"/>
    <n v="8919.7999999999993"/>
    <n v="4013.7"/>
    <n v="12933.5"/>
    <n v="4.32"/>
    <n v="0.02"/>
    <n v="3755"/>
    <n v="12674.8"/>
    <n v="1.41"/>
    <n v="317"/>
    <n v="172849.2"/>
    <n v="4.46"/>
    <n v="4000"/>
  </r>
  <r>
    <s v="4000_0.3_0.5_500_3.0_order_3"/>
    <x v="1"/>
    <n v="0.3"/>
    <n v="0.5"/>
    <n v="500"/>
    <n v="3"/>
    <n v="3"/>
    <x v="1"/>
    <n v="181227.2"/>
    <n v="68904.100000000006"/>
    <n v="112323.1"/>
    <n v="1200"/>
    <n v="1.41"/>
    <n v="59037"/>
    <n v="99898.5"/>
    <n v="158935.5"/>
    <n v="8891.7999999999993"/>
    <n v="4307.7"/>
    <n v="13199.5"/>
    <n v="5.0199999999999996"/>
    <n v="0.02"/>
    <n v="3871.4"/>
    <n v="12763.2"/>
    <n v="1.43"/>
    <n v="306"/>
    <n v="171698.7"/>
    <n v="5.26"/>
    <n v="4000"/>
  </r>
  <r>
    <s v="4000_0.3_0.5_500_3.0_order_4"/>
    <x v="1"/>
    <n v="0.3"/>
    <n v="0.5"/>
    <n v="500"/>
    <n v="3"/>
    <n v="4"/>
    <x v="1"/>
    <n v="174207.9"/>
    <n v="64976.3"/>
    <n v="109231.6"/>
    <n v="1200"/>
    <n v="1.41"/>
    <n v="56878"/>
    <n v="96430.399999999994"/>
    <n v="153308.4"/>
    <n v="9403.7999999999993"/>
    <n v="4005.6"/>
    <n v="13409.4"/>
    <n v="4.3"/>
    <n v="0.02"/>
    <n v="3523.9"/>
    <n v="12927.7"/>
    <n v="1.43"/>
    <n v="342"/>
    <n v="166236.1"/>
    <n v="4.58"/>
    <n v="4000"/>
  </r>
  <r>
    <s v="4000_0.3_0.5_500_3.0_order_5"/>
    <x v="1"/>
    <n v="0.3"/>
    <n v="0.5"/>
    <n v="500"/>
    <n v="3"/>
    <n v="5"/>
    <x v="1"/>
    <n v="177058.9"/>
    <n v="65926.600000000006"/>
    <n v="111132.3"/>
    <n v="1200"/>
    <n v="1.43"/>
    <n v="57285.599999999999"/>
    <n v="98153"/>
    <n v="155438.6"/>
    <n v="10009.9"/>
    <n v="4235.1000000000004"/>
    <n v="14245"/>
    <n v="4.17"/>
    <n v="0.02"/>
    <n v="3805.3"/>
    <n v="13815.2"/>
    <n v="1.45"/>
    <n v="347"/>
    <n v="169253.8"/>
    <n v="4.41"/>
    <n v="4000"/>
  </r>
  <r>
    <s v="4000_0.4_0.5_1000_1.0_order_1"/>
    <x v="1"/>
    <n v="0.4"/>
    <n v="0.5"/>
    <n v="1000"/>
    <n v="1"/>
    <n v="1"/>
    <x v="1"/>
    <n v="171724.4"/>
    <n v="71423.3"/>
    <n v="100301.1"/>
    <n v="1200"/>
    <n v="0.77"/>
    <n v="50502.7"/>
    <n v="72811.199999999997"/>
    <n v="123313.9"/>
    <n v="20504.599999999999"/>
    <n v="8798.5"/>
    <n v="29303.1"/>
    <n v="11.13"/>
    <n v="0.15"/>
    <n v="8377.2999999999993"/>
    <n v="28881.9"/>
    <n v="0.92"/>
    <n v="703"/>
    <n v="152195.79999999999"/>
    <n v="11.37"/>
    <n v="4000"/>
  </r>
  <r>
    <s v="4000_0.4_0.5_1000_1.0_order_2"/>
    <x v="1"/>
    <n v="0.4"/>
    <n v="0.5"/>
    <n v="1000"/>
    <n v="1"/>
    <n v="2"/>
    <x v="1"/>
    <n v="177265.8"/>
    <n v="68879.7"/>
    <n v="108386.1"/>
    <n v="1200"/>
    <n v="0.73"/>
    <n v="47269.8"/>
    <n v="75820.7"/>
    <n v="123090.5"/>
    <n v="23414"/>
    <n v="9641.4"/>
    <n v="33055.4"/>
    <n v="11.91"/>
    <n v="0.12"/>
    <n v="9352.7999999999993"/>
    <n v="32766.799999999999"/>
    <n v="0.85"/>
    <n v="817"/>
    <n v="155857.29999999999"/>
    <n v="12.08"/>
    <n v="4000"/>
  </r>
  <r>
    <s v="4000_0.4_0.5_1000_1.0_order_3"/>
    <x v="1"/>
    <n v="0.4"/>
    <n v="0.5"/>
    <n v="1000"/>
    <n v="1"/>
    <n v="3"/>
    <x v="1"/>
    <n v="177163.7"/>
    <n v="70112.600000000006"/>
    <n v="107051.1"/>
    <n v="1200"/>
    <n v="0.77"/>
    <n v="48483.9"/>
    <n v="77030.100000000006"/>
    <n v="125514"/>
    <n v="22299.1"/>
    <n v="9640"/>
    <n v="31939.1"/>
    <n v="11.13"/>
    <n v="0.2"/>
    <n v="9186.1"/>
    <n v="31485.200000000001"/>
    <n v="0.97"/>
    <n v="792"/>
    <n v="156999.20000000001"/>
    <n v="11.38"/>
    <n v="4000"/>
  </r>
  <r>
    <s v="4000_0.4_0.5_1000_1.0_order_4"/>
    <x v="1"/>
    <n v="0.4"/>
    <n v="0.5"/>
    <n v="1000"/>
    <n v="1"/>
    <n v="4"/>
    <x v="1"/>
    <n v="172274.8"/>
    <n v="71609"/>
    <n v="100665.8"/>
    <n v="1200"/>
    <n v="0.78"/>
    <n v="49777.3"/>
    <n v="73746"/>
    <n v="123523.3"/>
    <n v="21504"/>
    <n v="9208.7999999999993"/>
    <n v="30712.799999999999"/>
    <n v="10.47"/>
    <n v="0.16"/>
    <n v="8785.6"/>
    <n v="30289.599999999999"/>
    <n v="0.94"/>
    <n v="726"/>
    <n v="153812.9"/>
    <n v="10.72"/>
    <n v="4000"/>
  </r>
  <r>
    <s v="4000_0.4_0.5_1000_1.0_order_5"/>
    <x v="1"/>
    <n v="0.4"/>
    <n v="0.5"/>
    <n v="1000"/>
    <n v="1"/>
    <n v="5"/>
    <x v="1"/>
    <n v="177440"/>
    <n v="71930.2"/>
    <n v="105509.8"/>
    <n v="1200"/>
    <n v="0.77"/>
    <n v="54272.2"/>
    <n v="79637.2"/>
    <n v="133909.4"/>
    <n v="17557.8"/>
    <n v="8029.6"/>
    <n v="25587.4"/>
    <n v="10.11"/>
    <n v="0.13"/>
    <n v="7885.2"/>
    <n v="25443"/>
    <n v="0.9"/>
    <n v="583"/>
    <n v="159352.4"/>
    <n v="10.19"/>
    <n v="4000"/>
  </r>
  <r>
    <s v="4000_0.4_0.5_1000_2.0_order_1"/>
    <x v="1"/>
    <n v="0.4"/>
    <n v="0.5"/>
    <n v="1000"/>
    <n v="2"/>
    <n v="1"/>
    <x v="1"/>
    <n v="272984.8"/>
    <n v="106266.9"/>
    <n v="166717.9"/>
    <n v="1200"/>
    <n v="1.0900000000000001"/>
    <n v="75488.399999999994"/>
    <n v="120102.9"/>
    <n v="195591.3"/>
    <n v="29976.9"/>
    <n v="13300.6"/>
    <n v="43277.5"/>
    <n v="12.5"/>
    <n v="0.39"/>
    <n v="12819.7"/>
    <n v="42796.6"/>
    <n v="1.48"/>
    <n v="1080"/>
    <n v="238387.9"/>
    <n v="12.67"/>
    <n v="4000"/>
  </r>
  <r>
    <s v="4000_0.4_0.5_1000_2.0_order_2"/>
    <x v="1"/>
    <n v="0.4"/>
    <n v="0.5"/>
    <n v="1000"/>
    <n v="2"/>
    <n v="2"/>
    <x v="1"/>
    <n v="263794"/>
    <n v="97689.9"/>
    <n v="166104.1"/>
    <n v="1200"/>
    <n v="1.05"/>
    <n v="69145.399999999994"/>
    <n v="119261.8"/>
    <n v="188407.2"/>
    <n v="31753.8"/>
    <n v="13445.8"/>
    <n v="45199.6"/>
    <n v="11.44"/>
    <n v="0.42"/>
    <n v="12788.3"/>
    <n v="44542.1"/>
    <n v="1.47"/>
    <n v="1118"/>
    <n v="232949.3"/>
    <n v="11.69"/>
    <n v="4000"/>
  </r>
  <r>
    <s v="4000_0.4_0.5_1000_2.0_order_3"/>
    <x v="1"/>
    <n v="0.4"/>
    <n v="0.5"/>
    <n v="1000"/>
    <n v="2"/>
    <n v="3"/>
    <x v="1"/>
    <n v="267654.8"/>
    <n v="104237.1"/>
    <n v="163417.70000000001"/>
    <n v="1200"/>
    <n v="1.07"/>
    <n v="72773"/>
    <n v="117837.8"/>
    <n v="190610.8"/>
    <n v="30611.200000000001"/>
    <n v="13517.6"/>
    <n v="44128.800000000003"/>
    <n v="12.3"/>
    <n v="0.41"/>
    <n v="12706.9"/>
    <n v="43318.1"/>
    <n v="1.48"/>
    <n v="1076"/>
    <n v="233928.9"/>
    <n v="12.6"/>
    <n v="4000"/>
  </r>
  <r>
    <s v="4000_0.4_0.5_1000_2.0_order_4"/>
    <x v="1"/>
    <n v="0.4"/>
    <n v="0.5"/>
    <n v="1000"/>
    <n v="2"/>
    <n v="4"/>
    <x v="1"/>
    <n v="271917.09999999998"/>
    <n v="103980.4"/>
    <n v="167936.7"/>
    <n v="1200"/>
    <n v="1.04"/>
    <n v="72852"/>
    <n v="119000.5"/>
    <n v="191852.5"/>
    <n v="31655.3"/>
    <n v="14000.2"/>
    <n v="45655.5"/>
    <n v="12.65"/>
    <n v="0.42"/>
    <n v="13312.1"/>
    <n v="44967.4"/>
    <n v="1.46"/>
    <n v="1122"/>
    <n v="236819.9"/>
    <n v="12.91"/>
    <n v="4000"/>
  </r>
  <r>
    <s v="4000_0.4_0.5_1000_2.0_order_5"/>
    <x v="1"/>
    <n v="0.4"/>
    <n v="0.5"/>
    <n v="1000"/>
    <n v="2"/>
    <n v="5"/>
    <x v="1"/>
    <n v="276548.7"/>
    <n v="105846.5"/>
    <n v="170702.2"/>
    <n v="1200"/>
    <n v="1.1599999999999999"/>
    <n v="74767.7"/>
    <n v="121180.2"/>
    <n v="195947.9"/>
    <n v="31013.7"/>
    <n v="13647"/>
    <n v="44660.7"/>
    <n v="13"/>
    <n v="0.41"/>
    <n v="12852.2"/>
    <n v="43865.9"/>
    <n v="1.57"/>
    <n v="1108"/>
    <n v="239813.8"/>
    <n v="13.28"/>
    <n v="4000"/>
  </r>
  <r>
    <s v="4000_0.4_0.5_1000_3.0_order_1"/>
    <x v="1"/>
    <n v="0.4"/>
    <n v="0.5"/>
    <n v="1000"/>
    <n v="3"/>
    <n v="1"/>
    <x v="1"/>
    <n v="341551.3"/>
    <n v="129094.3"/>
    <n v="212457"/>
    <n v="1200"/>
    <n v="1.53"/>
    <n v="93030.3"/>
    <n v="154448.1"/>
    <n v="247478.39999999999"/>
    <n v="31824"/>
    <n v="14440.3"/>
    <n v="46264.3"/>
    <n v="14"/>
    <n v="0.51"/>
    <n v="13700.9"/>
    <n v="45524.9"/>
    <n v="2.04"/>
    <n v="1135"/>
    <n v="293003.3"/>
    <n v="14.21"/>
    <n v="4000"/>
  </r>
  <r>
    <s v="4000_0.4_0.5_1000_3.0_order_2"/>
    <x v="1"/>
    <n v="0.4"/>
    <n v="0.5"/>
    <n v="1000"/>
    <n v="3"/>
    <n v="2"/>
    <x v="1"/>
    <n v="359905"/>
    <n v="140692.79999999999"/>
    <n v="219212.2"/>
    <n v="1200"/>
    <n v="1.74"/>
    <n v="101407.2"/>
    <n v="162073.5"/>
    <n v="263480.7"/>
    <n v="30249.599999999999"/>
    <n v="14249.3"/>
    <n v="44498.9"/>
    <n v="14.43"/>
    <n v="0.42"/>
    <n v="13580.6"/>
    <n v="43830.2"/>
    <n v="2.16"/>
    <n v="1085"/>
    <n v="307310.90000000002"/>
    <n v="14.61"/>
    <n v="4000"/>
  </r>
  <r>
    <s v="4000_0.4_0.5_1000_3.0_order_3"/>
    <x v="1"/>
    <n v="0.4"/>
    <n v="0.5"/>
    <n v="1000"/>
    <n v="3"/>
    <n v="3"/>
    <x v="1"/>
    <n v="346084.2"/>
    <n v="139484.70000000001"/>
    <n v="206599.5"/>
    <n v="1200"/>
    <n v="1.38"/>
    <n v="101083.9"/>
    <n v="150923.20000000001"/>
    <n v="252007.1"/>
    <n v="31167.1"/>
    <n v="13970.8"/>
    <n v="45137.9"/>
    <n v="14.14"/>
    <n v="0.42"/>
    <n v="13345.7"/>
    <n v="44512.800000000003"/>
    <n v="1.8"/>
    <n v="1130"/>
    <n v="296519.90000000002"/>
    <n v="14.32"/>
    <n v="4000"/>
  </r>
  <r>
    <s v="4000_0.4_0.5_1000_3.0_order_4"/>
    <x v="1"/>
    <n v="0.4"/>
    <n v="0.5"/>
    <n v="1000"/>
    <n v="3"/>
    <n v="4"/>
    <x v="1"/>
    <n v="368365.6"/>
    <n v="138650.29999999999"/>
    <n v="229715.3"/>
    <n v="1200"/>
    <n v="1.84"/>
    <n v="102027.9"/>
    <n v="166914"/>
    <n v="268941.90000000002"/>
    <n v="30833.3"/>
    <n v="15185.2"/>
    <n v="46018.5"/>
    <n v="14.5"/>
    <n v="0.48"/>
    <n v="14383.4"/>
    <n v="45216.7"/>
    <n v="2.31"/>
    <n v="1113"/>
    <n v="314158.59999999998"/>
    <n v="14.72"/>
    <n v="4000"/>
  </r>
  <r>
    <s v="4000_0.4_0.5_1000_3.0_order_5"/>
    <x v="1"/>
    <n v="0.4"/>
    <n v="0.5"/>
    <n v="1000"/>
    <n v="3"/>
    <n v="5"/>
    <x v="1"/>
    <n v="339263.6"/>
    <n v="129708.3"/>
    <n v="209555.3"/>
    <n v="1200"/>
    <n v="1.46"/>
    <n v="96436.2"/>
    <n v="157785.1"/>
    <n v="254221.3"/>
    <n v="26953.8"/>
    <n v="13393.1"/>
    <n v="40346.9"/>
    <n v="13.17"/>
    <n v="0.35"/>
    <n v="12823.9"/>
    <n v="39777.699999999997"/>
    <n v="1.82"/>
    <n v="940"/>
    <n v="293999"/>
    <n v="13.34"/>
    <n v="4000"/>
  </r>
  <r>
    <s v="4000_0.4_0.5_2000_1.0_order_1"/>
    <x v="1"/>
    <n v="0.4"/>
    <n v="0.5"/>
    <n v="2000"/>
    <n v="1"/>
    <n v="1"/>
    <x v="1"/>
    <n v="359399"/>
    <n v="142539.5"/>
    <n v="216859.5"/>
    <n v="1200"/>
    <n v="0.71"/>
    <n v="96504.6"/>
    <n v="152107.9"/>
    <n v="248612.5"/>
    <n v="32126.7"/>
    <n v="14052.2"/>
    <n v="46178.9"/>
    <n v="17.98"/>
    <n v="0.34"/>
    <n v="13368.2"/>
    <n v="45494.9"/>
    <n v="1.06"/>
    <n v="1135"/>
    <n v="294107.40000000002"/>
    <n v="18.170000000000002"/>
    <n v="4000"/>
  </r>
  <r>
    <s v="4000_0.4_0.5_2000_1.0_order_2"/>
    <x v="1"/>
    <n v="0.4"/>
    <n v="0.5"/>
    <n v="2000"/>
    <n v="1"/>
    <n v="2"/>
    <x v="1"/>
    <n v="357031.4"/>
    <n v="141652.1"/>
    <n v="215379.3"/>
    <n v="1200"/>
    <n v="0.83"/>
    <n v="94684.1"/>
    <n v="152982.29999999999"/>
    <n v="247666.4"/>
    <n v="31509.7"/>
    <n v="13697.9"/>
    <n v="45207.6"/>
    <n v="17.97"/>
    <n v="0.37"/>
    <n v="12947.2"/>
    <n v="44456.9"/>
    <n v="1.2"/>
    <n v="1137"/>
    <n v="292123.3"/>
    <n v="18.18"/>
    <n v="4000"/>
  </r>
  <r>
    <s v="4000_0.4_0.5_2000_1.0_order_3"/>
    <x v="1"/>
    <n v="0.4"/>
    <n v="0.5"/>
    <n v="2000"/>
    <n v="1"/>
    <n v="3"/>
    <x v="1"/>
    <n v="354479.3"/>
    <n v="137883.5"/>
    <n v="216595.8"/>
    <n v="1200"/>
    <n v="0.78"/>
    <n v="94611.1"/>
    <n v="153123.4"/>
    <n v="247734.5"/>
    <n v="32026.6"/>
    <n v="13496"/>
    <n v="45522.6"/>
    <n v="17.27"/>
    <n v="0.33"/>
    <n v="12927.5"/>
    <n v="44954.1"/>
    <n v="1.1100000000000001"/>
    <n v="1142"/>
    <n v="292688.59999999998"/>
    <n v="17.43"/>
    <n v="4000"/>
  </r>
  <r>
    <s v="4000_0.4_0.5_2000_1.0_order_4"/>
    <x v="1"/>
    <n v="0.4"/>
    <n v="0.5"/>
    <n v="2000"/>
    <n v="1"/>
    <n v="4"/>
    <x v="1"/>
    <n v="350005.1"/>
    <n v="139952.9"/>
    <n v="210052.2"/>
    <n v="1200"/>
    <n v="0.79"/>
    <n v="94941.2"/>
    <n v="148142.79999999999"/>
    <n v="243084"/>
    <n v="30748.400000000001"/>
    <n v="13581.1"/>
    <n v="44329.5"/>
    <n v="17.88"/>
    <n v="0.39"/>
    <n v="12917.3"/>
    <n v="43665.7"/>
    <n v="1.18"/>
    <n v="1096"/>
    <n v="286749.7"/>
    <n v="18.07"/>
    <n v="4000"/>
  </r>
  <r>
    <s v="4000_0.4_0.5_2000_1.0_order_5"/>
    <x v="1"/>
    <n v="0.4"/>
    <n v="0.5"/>
    <n v="2000"/>
    <n v="1"/>
    <n v="5"/>
    <x v="1"/>
    <n v="349985"/>
    <n v="143173.9"/>
    <n v="206811.1"/>
    <n v="1200"/>
    <n v="0.75"/>
    <n v="95682.6"/>
    <n v="143092.79999999999"/>
    <n v="238775.4"/>
    <n v="32905.1"/>
    <n v="14018.2"/>
    <n v="46923.3"/>
    <n v="18.37"/>
    <n v="0.38"/>
    <n v="13448.6"/>
    <n v="46353.7"/>
    <n v="1.1200000000000001"/>
    <n v="1167"/>
    <n v="285129.09999999998"/>
    <n v="18.53"/>
    <n v="4000"/>
  </r>
  <r>
    <s v="4000_0.4_0.5_2000_2.0_order_1"/>
    <x v="1"/>
    <n v="0.4"/>
    <n v="0.5"/>
    <n v="2000"/>
    <n v="2"/>
    <n v="1"/>
    <x v="1"/>
    <n v="530065.5"/>
    <n v="200162.8"/>
    <n v="329902.7"/>
    <n v="1200"/>
    <n v="1.93"/>
    <n v="142754.6"/>
    <n v="241658.6"/>
    <n v="384413.2"/>
    <n v="31770.2"/>
    <n v="14963.1"/>
    <n v="46733.3"/>
    <n v="18.66"/>
    <n v="0.54"/>
    <n v="14227.4"/>
    <n v="45997.599999999999"/>
    <n v="2.46"/>
    <n v="1140"/>
    <n v="430410.8"/>
    <n v="18.8"/>
    <n v="4000"/>
  </r>
  <r>
    <s v="4000_0.4_0.5_2000_2.0_order_2"/>
    <x v="1"/>
    <n v="0.4"/>
    <n v="0.5"/>
    <n v="2000"/>
    <n v="2"/>
    <n v="2"/>
    <x v="1"/>
    <n v="544762.19999999995"/>
    <n v="210074.1"/>
    <n v="334688.09999999998"/>
    <n v="1200"/>
    <n v="2.02"/>
    <n v="151385.70000000001"/>
    <n v="245290.2"/>
    <n v="396675.9"/>
    <n v="31509.7"/>
    <n v="15306.2"/>
    <n v="46815.9"/>
    <n v="18.59"/>
    <n v="0.55000000000000004"/>
    <n v="14471.3"/>
    <n v="45981"/>
    <n v="2.57"/>
    <n v="1123"/>
    <n v="442656.9"/>
    <n v="18.739999999999998"/>
    <n v="4000"/>
  </r>
  <r>
    <s v="4000_0.4_0.5_2000_2.0_order_3"/>
    <x v="1"/>
    <n v="0.4"/>
    <n v="0.5"/>
    <n v="2000"/>
    <n v="2"/>
    <n v="3"/>
    <x v="1"/>
    <n v="530652.9"/>
    <n v="203092.4"/>
    <n v="327560.5"/>
    <n v="1200"/>
    <n v="1.87"/>
    <n v="145493.29999999999"/>
    <n v="238294.1"/>
    <n v="383787.4"/>
    <n v="31440.6"/>
    <n v="15080"/>
    <n v="46520.6"/>
    <n v="18.91"/>
    <n v="0.49"/>
    <n v="14328.1"/>
    <n v="45768.7"/>
    <n v="2.36"/>
    <n v="1138"/>
    <n v="429556.1"/>
    <n v="19.05"/>
    <n v="4000"/>
  </r>
  <r>
    <s v="4000_0.4_0.5_2000_2.0_order_4"/>
    <x v="1"/>
    <n v="0.4"/>
    <n v="0.5"/>
    <n v="2000"/>
    <n v="2"/>
    <n v="4"/>
    <x v="1"/>
    <n v="541149"/>
    <n v="207558.3"/>
    <n v="333590.7"/>
    <n v="1200"/>
    <n v="1.86"/>
    <n v="146822.20000000001"/>
    <n v="241174.8"/>
    <n v="387997"/>
    <n v="32007.5"/>
    <n v="15465.9"/>
    <n v="47473.4"/>
    <n v="19.53"/>
    <n v="0.51"/>
    <n v="15035.2"/>
    <n v="47042.7"/>
    <n v="2.37"/>
    <n v="1143"/>
    <n v="435039.7"/>
    <n v="19.61"/>
    <n v="4000"/>
  </r>
  <r>
    <s v="4000_0.4_0.5_2000_2.0_order_5"/>
    <x v="1"/>
    <n v="0.4"/>
    <n v="0.5"/>
    <n v="2000"/>
    <n v="2"/>
    <n v="5"/>
    <x v="1"/>
    <n v="541488.4"/>
    <n v="211176"/>
    <n v="330312.40000000002"/>
    <n v="1200"/>
    <n v="1.85"/>
    <n v="153052.79999999999"/>
    <n v="240692.5"/>
    <n v="393745.3"/>
    <n v="31040.5"/>
    <n v="14872.2"/>
    <n v="45912.7"/>
    <n v="18.809999999999999"/>
    <n v="0.56000000000000005"/>
    <n v="14073.6"/>
    <n v="45114.1"/>
    <n v="2.41"/>
    <n v="1125"/>
    <n v="438859.4"/>
    <n v="18.95"/>
    <n v="4000"/>
  </r>
  <r>
    <s v="4000_0.4_0.5_2000_3.0_order_1"/>
    <x v="1"/>
    <n v="0.4"/>
    <n v="0.5"/>
    <n v="2000"/>
    <n v="3"/>
    <n v="1"/>
    <x v="1"/>
    <n v="690900.6"/>
    <n v="273563.3"/>
    <n v="417337.3"/>
    <n v="1200"/>
    <n v="3.1"/>
    <n v="200768.9"/>
    <n v="317050.8"/>
    <n v="517819.7"/>
    <n v="31694.1"/>
    <n v="15202.6"/>
    <n v="46896.7"/>
    <n v="18.260000000000002"/>
    <n v="0.53"/>
    <n v="14583"/>
    <n v="46277.1"/>
    <n v="3.63"/>
    <n v="1125"/>
    <n v="564096.80000000005"/>
    <n v="18.350000000000001"/>
    <n v="4000"/>
  </r>
  <r>
    <s v="4000_0.4_0.5_2000_3.0_order_2"/>
    <x v="1"/>
    <n v="0.4"/>
    <n v="0.5"/>
    <n v="2000"/>
    <n v="3"/>
    <n v="2"/>
    <x v="1"/>
    <n v="683230.4"/>
    <n v="258189.2"/>
    <n v="425041.2"/>
    <n v="1200"/>
    <n v="2.96"/>
    <n v="186095.3"/>
    <n v="314738.3"/>
    <n v="500833.6"/>
    <n v="32271.4"/>
    <n v="15665.1"/>
    <n v="47936.5"/>
    <n v="19.68"/>
    <n v="0.54"/>
    <n v="14994.4"/>
    <n v="47265.8"/>
    <n v="3.5"/>
    <n v="1141"/>
    <n v="548099.4"/>
    <n v="19.78"/>
    <n v="4000"/>
  </r>
  <r>
    <s v="4000_0.4_0.5_2000_3.0_order_3"/>
    <x v="1"/>
    <n v="0.4"/>
    <n v="0.5"/>
    <n v="2000"/>
    <n v="3"/>
    <n v="3"/>
    <x v="1"/>
    <n v="685319.4"/>
    <n v="263709.59999999998"/>
    <n v="421609.8"/>
    <n v="1200"/>
    <n v="2.89"/>
    <n v="192078.7"/>
    <n v="314378.8"/>
    <n v="506457.5"/>
    <n v="30843.5"/>
    <n v="15902.9"/>
    <n v="46746.400000000001"/>
    <n v="19.28"/>
    <n v="0.53"/>
    <n v="15271.2"/>
    <n v="46114.7"/>
    <n v="3.42"/>
    <n v="1114"/>
    <n v="552572.19999999995"/>
    <n v="19.37"/>
    <n v="4000"/>
  </r>
  <r>
    <s v="4000_0.4_0.5_2000_3.0_order_4"/>
    <x v="1"/>
    <n v="0.4"/>
    <n v="0.5"/>
    <n v="2000"/>
    <n v="3"/>
    <n v="4"/>
    <x v="1"/>
    <n v="705555.1"/>
    <n v="275391"/>
    <n v="430164.1"/>
    <n v="1200"/>
    <n v="3.09"/>
    <n v="201347.8"/>
    <n v="320953.7"/>
    <n v="522301.5"/>
    <n v="31594.3"/>
    <n v="15513.7"/>
    <n v="47108"/>
    <n v="19.3"/>
    <n v="0.52"/>
    <n v="14638.7"/>
    <n v="46233"/>
    <n v="3.6"/>
    <n v="1116"/>
    <n v="568534.5"/>
    <n v="19.420000000000002"/>
    <n v="4000"/>
  </r>
  <r>
    <s v="4000_0.4_0.5_2000_3.0_order_5"/>
    <x v="1"/>
    <n v="0.4"/>
    <n v="0.5"/>
    <n v="2000"/>
    <n v="3"/>
    <n v="5"/>
    <x v="1"/>
    <n v="690650.8"/>
    <n v="277328.40000000002"/>
    <n v="413322.4"/>
    <n v="1200"/>
    <n v="2.7"/>
    <n v="202249.2"/>
    <n v="306832.90000000002"/>
    <n v="509082.1"/>
    <n v="31648.7"/>
    <n v="15628.1"/>
    <n v="47276.800000000003"/>
    <n v="19.440000000000001"/>
    <n v="0.55000000000000004"/>
    <n v="14787"/>
    <n v="46435.7"/>
    <n v="3.24"/>
    <n v="1111"/>
    <n v="555517.80000000005"/>
    <n v="19.57"/>
    <n v="4000"/>
  </r>
  <r>
    <s v="4000_0.4_0.5_500_1.0_order_1"/>
    <x v="1"/>
    <n v="0.4"/>
    <n v="0.5"/>
    <n v="500"/>
    <n v="1"/>
    <n v="1"/>
    <x v="1"/>
    <n v="87661.1"/>
    <n v="35162.800000000003"/>
    <n v="52498.3"/>
    <n v="1200"/>
    <n v="0.98"/>
    <n v="29982.3"/>
    <n v="45331.7"/>
    <n v="75314"/>
    <n v="5507"/>
    <n v="2279.9"/>
    <n v="7786.9"/>
    <n v="5.2"/>
    <n v="0"/>
    <n v="2233.5"/>
    <n v="7740.5"/>
    <n v="0.99"/>
    <n v="165"/>
    <n v="83054.5"/>
    <n v="5.26"/>
    <n v="4000"/>
  </r>
  <r>
    <s v="4000_0.4_0.5_500_1.0_order_2"/>
    <x v="1"/>
    <n v="0.4"/>
    <n v="0.5"/>
    <n v="500"/>
    <n v="1"/>
    <n v="2"/>
    <x v="1"/>
    <n v="89703.4"/>
    <n v="36386.6"/>
    <n v="53316.800000000003"/>
    <n v="1200"/>
    <n v="0.98"/>
    <n v="28321"/>
    <n v="44132.2"/>
    <n v="72453.2"/>
    <n v="8677.9"/>
    <n v="3341.6"/>
    <n v="12019.5"/>
    <n v="5.83"/>
    <n v="0.01"/>
    <n v="3254.1"/>
    <n v="11932"/>
    <n v="0.99"/>
    <n v="281"/>
    <n v="84385.2"/>
    <n v="5.93"/>
    <n v="4000"/>
  </r>
  <r>
    <s v="4000_0.4_0.5_500_1.0_order_3"/>
    <x v="1"/>
    <n v="0.4"/>
    <n v="0.5"/>
    <n v="500"/>
    <n v="1"/>
    <n v="3"/>
    <x v="1"/>
    <n v="91355.9"/>
    <n v="35827.599999999999"/>
    <n v="55528.3"/>
    <n v="1200"/>
    <n v="1.03"/>
    <n v="31309"/>
    <n v="48719.1"/>
    <n v="80028.100000000006"/>
    <n v="4545"/>
    <n v="2054.3000000000002"/>
    <n v="6599.3"/>
    <n v="5.18"/>
    <n v="0"/>
    <n v="1984.9"/>
    <n v="6529.9"/>
    <n v="1.03"/>
    <n v="143"/>
    <n v="86558"/>
    <n v="5.25"/>
    <n v="4000"/>
  </r>
  <r>
    <s v="4000_0.4_0.5_500_1.0_order_4"/>
    <x v="1"/>
    <n v="0.4"/>
    <n v="0.5"/>
    <n v="500"/>
    <n v="1"/>
    <n v="4"/>
    <x v="1"/>
    <n v="87928.6"/>
    <n v="35207.4"/>
    <n v="52721.2"/>
    <n v="1200"/>
    <n v="1"/>
    <n v="28271.9"/>
    <n v="43899.1"/>
    <n v="72171"/>
    <n v="7697.2"/>
    <n v="3156.4"/>
    <n v="10853.6"/>
    <n v="5.58"/>
    <n v="0.01"/>
    <n v="3016.8"/>
    <n v="10714"/>
    <n v="1"/>
    <n v="228"/>
    <n v="82885"/>
    <n v="5.74"/>
    <n v="4000"/>
  </r>
  <r>
    <s v="4000_0.4_0.5_500_1.0_order_5"/>
    <x v="1"/>
    <n v="0.4"/>
    <n v="0.5"/>
    <n v="500"/>
    <n v="1"/>
    <n v="5"/>
    <x v="1"/>
    <n v="88814"/>
    <n v="36737.1"/>
    <n v="52076.9"/>
    <n v="1200"/>
    <n v="0.96"/>
    <n v="30867.4"/>
    <n v="44720.6"/>
    <n v="75588"/>
    <n v="5834.1"/>
    <n v="2448.8000000000002"/>
    <n v="8282.9"/>
    <n v="5.57"/>
    <n v="0.01"/>
    <n v="2405"/>
    <n v="8239.1"/>
    <n v="0.96"/>
    <n v="183"/>
    <n v="83827.100000000006"/>
    <n v="5.61"/>
    <n v="4000"/>
  </r>
  <r>
    <s v="4000_0.4_0.5_500_2.0_order_1"/>
    <x v="1"/>
    <n v="0.4"/>
    <n v="0.5"/>
    <n v="500"/>
    <n v="2"/>
    <n v="1"/>
    <x v="1"/>
    <n v="137052.1"/>
    <n v="54121"/>
    <n v="82931.100000000006"/>
    <n v="1200"/>
    <n v="1.0900000000000001"/>
    <n v="42045"/>
    <n v="65344.4"/>
    <n v="107389.4"/>
    <n v="14384.2"/>
    <n v="6411.5"/>
    <n v="20795.7"/>
    <n v="6.47"/>
    <n v="0.05"/>
    <n v="6008.7"/>
    <n v="20392.900000000001"/>
    <n v="1.1399999999999999"/>
    <n v="519"/>
    <n v="127782.3"/>
    <n v="6.76"/>
    <n v="4000"/>
  </r>
  <r>
    <s v="4000_0.4_0.5_500_2.0_order_2"/>
    <x v="1"/>
    <n v="0.4"/>
    <n v="0.5"/>
    <n v="500"/>
    <n v="2"/>
    <n v="2"/>
    <x v="1"/>
    <n v="137294.79999999999"/>
    <n v="54229.3"/>
    <n v="83065.5"/>
    <n v="1200"/>
    <n v="1.07"/>
    <n v="44282.3"/>
    <n v="70394.899999999994"/>
    <n v="114677.2"/>
    <n v="9039.2999999999993"/>
    <n v="4394.3"/>
    <n v="13433.6"/>
    <n v="6.69"/>
    <n v="0.02"/>
    <n v="4198.3"/>
    <n v="13237.6"/>
    <n v="1.0900000000000001"/>
    <n v="291"/>
    <n v="127914.8"/>
    <n v="6.83"/>
    <n v="4000"/>
  </r>
  <r>
    <s v="4000_0.4_0.5_500_2.0_order_3"/>
    <x v="1"/>
    <n v="0.4"/>
    <n v="0.5"/>
    <n v="500"/>
    <n v="2"/>
    <n v="3"/>
    <x v="1"/>
    <n v="135124.1"/>
    <n v="51690.400000000001"/>
    <n v="83433.7"/>
    <n v="1200"/>
    <n v="1.1599999999999999"/>
    <n v="38876.300000000003"/>
    <n v="64526.7"/>
    <n v="103403"/>
    <n v="15362"/>
    <n v="6643.3"/>
    <n v="22005.3"/>
    <n v="7.19"/>
    <n v="0.05"/>
    <n v="6308.6"/>
    <n v="21670.6"/>
    <n v="1.21"/>
    <n v="525"/>
    <n v="125073.60000000001"/>
    <n v="7.44"/>
    <n v="4000"/>
  </r>
  <r>
    <s v="4000_0.4_0.5_500_2.0_order_4"/>
    <x v="1"/>
    <n v="0.4"/>
    <n v="0.5"/>
    <n v="500"/>
    <n v="2"/>
    <n v="4"/>
    <x v="1"/>
    <n v="135231.9"/>
    <n v="54366.2"/>
    <n v="80865.7"/>
    <n v="1200"/>
    <n v="1.1499999999999999"/>
    <n v="44738.400000000001"/>
    <n v="67095.5"/>
    <n v="111833.9"/>
    <n v="11742.3"/>
    <n v="5072.8999999999996"/>
    <n v="16815.2"/>
    <n v="4.87"/>
    <n v="0.03"/>
    <n v="4857.3999999999996"/>
    <n v="16599.7"/>
    <n v="1.18"/>
    <n v="392"/>
    <n v="128433.60000000001"/>
    <n v="5.03"/>
    <n v="4000"/>
  </r>
  <r>
    <s v="4000_0.4_0.5_500_2.0_order_5"/>
    <x v="1"/>
    <n v="0.4"/>
    <n v="0.5"/>
    <n v="500"/>
    <n v="2"/>
    <n v="5"/>
    <x v="1"/>
    <n v="136797.6"/>
    <n v="54167"/>
    <n v="82630.600000000006"/>
    <n v="1200"/>
    <n v="1.18"/>
    <n v="43205.599999999999"/>
    <n v="67459.8"/>
    <n v="110665.4"/>
    <n v="12188.3"/>
    <n v="5469.4"/>
    <n v="17657.7"/>
    <n v="6.19"/>
    <n v="0.03"/>
    <n v="5218.3999999999996"/>
    <n v="17406.7"/>
    <n v="1.21"/>
    <n v="402"/>
    <n v="128072.1"/>
    <n v="6.38"/>
    <n v="4000"/>
  </r>
  <r>
    <s v="4000_0.4_0.5_500_3.0_order_1"/>
    <x v="1"/>
    <n v="0.4"/>
    <n v="0.5"/>
    <n v="500"/>
    <n v="3"/>
    <n v="1"/>
    <x v="1"/>
    <n v="171391.1"/>
    <n v="67717.2"/>
    <n v="103673.9"/>
    <n v="1200"/>
    <n v="1.24"/>
    <n v="52827.7"/>
    <n v="82273.7"/>
    <n v="135101.4"/>
    <n v="16670.400000000001"/>
    <n v="8154"/>
    <n v="24824.400000000001"/>
    <n v="6.69"/>
    <n v="0.12"/>
    <n v="7743.5"/>
    <n v="24413.9"/>
    <n v="1.36"/>
    <n v="564"/>
    <n v="159515.29999999999"/>
    <n v="6.93"/>
    <n v="4000"/>
  </r>
  <r>
    <s v="4000_0.4_0.5_500_3.0_order_2"/>
    <x v="1"/>
    <n v="0.4"/>
    <n v="0.5"/>
    <n v="500"/>
    <n v="3"/>
    <n v="2"/>
    <x v="1"/>
    <n v="182732.3"/>
    <n v="70909.8"/>
    <n v="111822.5"/>
    <n v="1200"/>
    <n v="1.26"/>
    <n v="54204.3"/>
    <n v="86159.8"/>
    <n v="140364.1"/>
    <n v="19652.2"/>
    <n v="9260.4"/>
    <n v="28912.6"/>
    <n v="7.36"/>
    <n v="0.17"/>
    <n v="8634.9"/>
    <n v="28287.1"/>
    <n v="1.44"/>
    <n v="694"/>
    <n v="168651.2"/>
    <n v="7.71"/>
    <n v="4000"/>
  </r>
  <r>
    <s v="4000_0.4_0.5_500_3.0_order_3"/>
    <x v="1"/>
    <n v="0.4"/>
    <n v="0.5"/>
    <n v="500"/>
    <n v="3"/>
    <n v="3"/>
    <x v="1"/>
    <n v="170968.9"/>
    <n v="66311"/>
    <n v="104657.9"/>
    <n v="1200"/>
    <n v="1.25"/>
    <n v="54073.9"/>
    <n v="87379.7"/>
    <n v="141453.6"/>
    <n v="12288.8"/>
    <n v="5545.1"/>
    <n v="17833.900000000001"/>
    <n v="6.83"/>
    <n v="0.04"/>
    <n v="5251.2"/>
    <n v="17540"/>
    <n v="1.29"/>
    <n v="407"/>
    <n v="158993.60000000001"/>
    <n v="7"/>
    <n v="4000"/>
  </r>
  <r>
    <s v="4000_0.4_0.5_500_3.0_order_4"/>
    <x v="1"/>
    <n v="0.4"/>
    <n v="0.5"/>
    <n v="500"/>
    <n v="3"/>
    <n v="4"/>
    <x v="1"/>
    <n v="176088"/>
    <n v="67017.2"/>
    <n v="109070.8"/>
    <n v="1200"/>
    <n v="1.2"/>
    <n v="51147.5"/>
    <n v="86627.4"/>
    <n v="137774.9"/>
    <n v="18153.8"/>
    <n v="8731"/>
    <n v="26884.799999999999"/>
    <n v="6.49"/>
    <n v="0.14000000000000001"/>
    <n v="8116.2"/>
    <n v="26270"/>
    <n v="1.33"/>
    <n v="631"/>
    <n v="164044.9"/>
    <n v="6.84"/>
    <n v="4000"/>
  </r>
  <r>
    <s v="4000_0.4_0.5_500_3.0_order_5"/>
    <x v="1"/>
    <n v="0.4"/>
    <n v="0.5"/>
    <n v="500"/>
    <n v="3"/>
    <n v="5"/>
    <x v="1"/>
    <n v="180565.1"/>
    <n v="70104.7"/>
    <n v="110460.4"/>
    <n v="1200"/>
    <n v="1.1100000000000001"/>
    <n v="52198.5"/>
    <n v="82795.100000000006"/>
    <n v="134993.60000000001"/>
    <n v="22410.6"/>
    <n v="9968.1"/>
    <n v="32378.7"/>
    <n v="7.31"/>
    <n v="0.15"/>
    <n v="9326.6"/>
    <n v="31737.200000000001"/>
    <n v="1.26"/>
    <n v="748"/>
    <n v="166730.79999999999"/>
    <n v="7.66"/>
    <n v="4000"/>
  </r>
  <r>
    <s v="800_0.2_0.5_1000_1.0_order_1"/>
    <x v="2"/>
    <n v="0.2"/>
    <n v="0.5"/>
    <n v="1000"/>
    <n v="1"/>
    <n v="1"/>
    <x v="1"/>
    <n v="87087.3"/>
    <n v="36452.6"/>
    <n v="50634.7"/>
    <n v="240"/>
    <n v="0.1"/>
    <n v="29490.3"/>
    <n v="44258.9"/>
    <n v="73749.2"/>
    <n v="3202.3"/>
    <n v="940"/>
    <n v="4142.3"/>
    <n v="10.56"/>
    <n v="0.01"/>
    <n v="819"/>
    <n v="4021.3"/>
    <n v="0.1"/>
    <n v="227"/>
    <n v="77770.5"/>
    <n v="10.7"/>
    <n v="800"/>
  </r>
  <r>
    <s v="800_0.2_0.5_1000_1.0_order_2"/>
    <x v="2"/>
    <n v="0.2"/>
    <n v="0.5"/>
    <n v="1000"/>
    <n v="1"/>
    <n v="2"/>
    <x v="1"/>
    <n v="85252.3"/>
    <n v="35206.400000000001"/>
    <n v="50045.9"/>
    <n v="240"/>
    <n v="0.09"/>
    <n v="29149.7"/>
    <n v="44163.7"/>
    <n v="73313.399999999994"/>
    <n v="2988"/>
    <n v="880.4"/>
    <n v="3868.4"/>
    <n v="9.4700000000000006"/>
    <n v="0.01"/>
    <n v="817.1"/>
    <n v="3805.1"/>
    <n v="0.1"/>
    <n v="212"/>
    <n v="77118.5"/>
    <n v="9.5399999999999991"/>
    <n v="800"/>
  </r>
  <r>
    <s v="800_0.2_0.5_1000_1.0_order_3"/>
    <x v="2"/>
    <n v="0.2"/>
    <n v="0.5"/>
    <n v="1000"/>
    <n v="1"/>
    <n v="3"/>
    <x v="1"/>
    <n v="83157.600000000006"/>
    <n v="33716.1"/>
    <n v="49441.5"/>
    <n v="240"/>
    <n v="0.08"/>
    <n v="27883.1"/>
    <n v="42959.1"/>
    <n v="70842.2"/>
    <n v="3236.3"/>
    <n v="842.7"/>
    <n v="4079"/>
    <n v="9.9"/>
    <n v="0.01"/>
    <n v="793.3"/>
    <n v="4029.6"/>
    <n v="0.08"/>
    <n v="235"/>
    <n v="74871.8"/>
    <n v="9.9600000000000009"/>
    <n v="800"/>
  </r>
  <r>
    <s v="800_0.2_0.5_1000_1.0_order_4"/>
    <x v="2"/>
    <n v="0.2"/>
    <n v="0.5"/>
    <n v="1000"/>
    <n v="1"/>
    <n v="4"/>
    <x v="1"/>
    <n v="84371.6"/>
    <n v="35098.199999999997"/>
    <n v="49273.4"/>
    <n v="240"/>
    <n v="0.11"/>
    <n v="29543.3"/>
    <n v="43778.3"/>
    <n v="73321.600000000006"/>
    <n v="2562.4"/>
    <n v="766.8"/>
    <n v="3329.2"/>
    <n v="9.15"/>
    <n v="0.01"/>
    <n v="705.6"/>
    <n v="3268"/>
    <n v="0.11"/>
    <n v="189"/>
    <n v="76589.600000000006"/>
    <n v="9.2200000000000006"/>
    <n v="800"/>
  </r>
  <r>
    <s v="800_0.2_0.5_1000_1.0_order_5"/>
    <x v="2"/>
    <n v="0.2"/>
    <n v="0.5"/>
    <n v="1000"/>
    <n v="1"/>
    <n v="5"/>
    <x v="1"/>
    <n v="86498.4"/>
    <n v="34835"/>
    <n v="51663.4"/>
    <n v="240"/>
    <n v="0.1"/>
    <n v="28883"/>
    <n v="45017.1"/>
    <n v="73900.100000000006"/>
    <n v="2992.4"/>
    <n v="772"/>
    <n v="3764.4"/>
    <n v="10.210000000000001"/>
    <n v="0.01"/>
    <n v="692.2"/>
    <n v="3684.6"/>
    <n v="0.1"/>
    <n v="214"/>
    <n v="77584.7"/>
    <n v="10.31"/>
    <n v="800"/>
  </r>
  <r>
    <s v="800_0.2_0.5_1000_2.0_order_1"/>
    <x v="2"/>
    <n v="0.2"/>
    <n v="0.5"/>
    <n v="1000"/>
    <n v="2"/>
    <n v="1"/>
    <x v="1"/>
    <n v="124979.2"/>
    <n v="52678.5"/>
    <n v="72300.7"/>
    <n v="240"/>
    <n v="0.16"/>
    <n v="45443"/>
    <n v="64860.800000000003"/>
    <n v="110303.8"/>
    <n v="2896.2"/>
    <n v="879.6"/>
    <n v="3775.8"/>
    <n v="8.7200000000000006"/>
    <n v="0.02"/>
    <n v="808.8"/>
    <n v="3705"/>
    <n v="0.18"/>
    <n v="208"/>
    <n v="114008.8"/>
    <n v="8.7799999999999994"/>
    <n v="800"/>
  </r>
  <r>
    <s v="800_0.2_0.5_1000_2.0_order_2"/>
    <x v="2"/>
    <n v="0.2"/>
    <n v="0.5"/>
    <n v="1000"/>
    <n v="2"/>
    <n v="2"/>
    <x v="1"/>
    <n v="123878"/>
    <n v="49806.9"/>
    <n v="74071.100000000006"/>
    <n v="240"/>
    <n v="0.19"/>
    <n v="42959.5"/>
    <n v="67257.3"/>
    <n v="110216.8"/>
    <n v="2963.6"/>
    <n v="879.9"/>
    <n v="3843.5"/>
    <n v="7.93"/>
    <n v="0.02"/>
    <n v="820.4"/>
    <n v="3784"/>
    <n v="0.21"/>
    <n v="217"/>
    <n v="114000.8"/>
    <n v="7.97"/>
    <n v="800"/>
  </r>
  <r>
    <s v="800_0.2_0.5_1000_2.0_order_3"/>
    <x v="2"/>
    <n v="0.2"/>
    <n v="0.5"/>
    <n v="1000"/>
    <n v="2"/>
    <n v="3"/>
    <x v="1"/>
    <n v="122027.6"/>
    <n v="48486.3"/>
    <n v="73541.3"/>
    <n v="240"/>
    <n v="0.16"/>
    <n v="42322.8"/>
    <n v="66189.5"/>
    <n v="108512.3"/>
    <n v="2865.4"/>
    <n v="858.2"/>
    <n v="3723.6"/>
    <n v="8.02"/>
    <n v="0.02"/>
    <n v="759.3"/>
    <n v="3624.7"/>
    <n v="0.18"/>
    <n v="213"/>
    <n v="112137"/>
    <n v="8.11"/>
    <n v="800"/>
  </r>
  <r>
    <s v="800_0.2_0.5_1000_2.0_order_4"/>
    <x v="2"/>
    <n v="0.2"/>
    <n v="0.5"/>
    <n v="1000"/>
    <n v="2"/>
    <n v="4"/>
    <x v="1"/>
    <n v="125666.4"/>
    <n v="50755.1"/>
    <n v="74911.3"/>
    <n v="240"/>
    <n v="0.16"/>
    <n v="43616.4"/>
    <n v="66612.899999999994"/>
    <n v="110229.3"/>
    <n v="2924.9"/>
    <n v="898.8"/>
    <n v="3823.7"/>
    <n v="9.24"/>
    <n v="0.01"/>
    <n v="800.5"/>
    <n v="3725.4"/>
    <n v="0.17"/>
    <n v="213"/>
    <n v="113954.7"/>
    <n v="9.32"/>
    <n v="800"/>
  </r>
  <r>
    <s v="800_0.2_0.5_1000_2.0_order_5"/>
    <x v="2"/>
    <n v="0.2"/>
    <n v="0.5"/>
    <n v="1000"/>
    <n v="2"/>
    <n v="5"/>
    <x v="1"/>
    <n v="123503.4"/>
    <n v="49154.400000000001"/>
    <n v="74349"/>
    <n v="240"/>
    <n v="0.16"/>
    <n v="42660.9"/>
    <n v="66223.7"/>
    <n v="108884.6"/>
    <n v="3009.5"/>
    <n v="933"/>
    <n v="3942.5"/>
    <n v="8.64"/>
    <n v="0.01"/>
    <n v="796"/>
    <n v="3805.5"/>
    <n v="0.17"/>
    <n v="215"/>
    <n v="112690.1"/>
    <n v="8.76"/>
    <n v="800"/>
  </r>
  <r>
    <s v="800_0.2_0.5_1000_3.0_order_1"/>
    <x v="2"/>
    <n v="0.2"/>
    <n v="0.5"/>
    <n v="1000"/>
    <n v="3"/>
    <n v="1"/>
    <x v="1"/>
    <n v="148479.1"/>
    <n v="59976.5"/>
    <n v="88502.6"/>
    <n v="240"/>
    <n v="0.22"/>
    <n v="53088.9"/>
    <n v="80957.8"/>
    <n v="134046.70000000001"/>
    <n v="2983.1"/>
    <n v="864"/>
    <n v="3847.1"/>
    <n v="7.13"/>
    <n v="0.01"/>
    <n v="774.9"/>
    <n v="3758"/>
    <n v="0.23"/>
    <n v="220"/>
    <n v="137804.70000000001"/>
    <n v="7.19"/>
    <n v="800"/>
  </r>
  <r>
    <s v="800_0.2_0.5_1000_3.0_order_2"/>
    <x v="2"/>
    <n v="0.2"/>
    <n v="0.5"/>
    <n v="1000"/>
    <n v="3"/>
    <n v="2"/>
    <x v="1"/>
    <n v="154768.20000000001"/>
    <n v="63488.1"/>
    <n v="91280.1"/>
    <n v="240"/>
    <n v="0.28999999999999998"/>
    <n v="55807.1"/>
    <n v="82316.3"/>
    <n v="138123.4"/>
    <n v="2901.2"/>
    <n v="990.1"/>
    <n v="3891.3"/>
    <n v="8.24"/>
    <n v="0.01"/>
    <n v="886.7"/>
    <n v="3787.9"/>
    <n v="0.3"/>
    <n v="206"/>
    <n v="141911.29999999999"/>
    <n v="8.31"/>
    <n v="800"/>
  </r>
  <r>
    <s v="800_0.2_0.5_1000_3.0_order_3"/>
    <x v="2"/>
    <n v="0.2"/>
    <n v="0.5"/>
    <n v="1000"/>
    <n v="3"/>
    <n v="3"/>
    <x v="1"/>
    <n v="154773.79999999999"/>
    <n v="62475.5"/>
    <n v="92298.3"/>
    <n v="240"/>
    <n v="0.25"/>
    <n v="53921"/>
    <n v="82617.399999999994"/>
    <n v="136538.4"/>
    <n v="2935.7"/>
    <n v="923.2"/>
    <n v="3858.9"/>
    <n v="9.2899999999999991"/>
    <n v="0.01"/>
    <n v="861.4"/>
    <n v="3797.1"/>
    <n v="0.26"/>
    <n v="205"/>
    <n v="140335.5"/>
    <n v="9.33"/>
    <n v="800"/>
  </r>
  <r>
    <s v="800_0.2_0.5_1000_3.0_order_4"/>
    <x v="2"/>
    <n v="0.2"/>
    <n v="0.5"/>
    <n v="1000"/>
    <n v="3"/>
    <n v="4"/>
    <x v="1"/>
    <n v="156995.70000000001"/>
    <n v="65727.199999999997"/>
    <n v="91268.5"/>
    <n v="240"/>
    <n v="0.26"/>
    <n v="56076.1"/>
    <n v="81463.600000000006"/>
    <n v="137539.70000000001"/>
    <n v="2981.3"/>
    <n v="931.2"/>
    <n v="3912.5"/>
    <n v="9.9"/>
    <n v="0.01"/>
    <n v="815.3"/>
    <n v="3796.6"/>
    <n v="0.27"/>
    <n v="220"/>
    <n v="141336.29999999999"/>
    <n v="9.9700000000000006"/>
    <n v="800"/>
  </r>
  <r>
    <s v="800_0.2_0.5_1000_3.0_order_5"/>
    <x v="2"/>
    <n v="0.2"/>
    <n v="0.5"/>
    <n v="1000"/>
    <n v="3"/>
    <n v="5"/>
    <x v="1"/>
    <n v="153496.9"/>
    <n v="61169.2"/>
    <n v="92327.7"/>
    <n v="240"/>
    <n v="0.23"/>
    <n v="53249.599999999999"/>
    <n v="83472.600000000006"/>
    <n v="136722.20000000001"/>
    <n v="2947.6"/>
    <n v="903.8"/>
    <n v="3851.4"/>
    <n v="8.42"/>
    <n v="0.01"/>
    <n v="845.8"/>
    <n v="3793.4"/>
    <n v="0.24"/>
    <n v="207"/>
    <n v="140515.6"/>
    <n v="8.4600000000000009"/>
    <n v="800"/>
  </r>
  <r>
    <s v="800_0.2_0.5_2000_1.0_order_1"/>
    <x v="2"/>
    <n v="0.2"/>
    <n v="0.5"/>
    <n v="2000"/>
    <n v="1"/>
    <n v="1"/>
    <x v="1"/>
    <n v="170586.4"/>
    <n v="68832.399999999994"/>
    <n v="101754"/>
    <n v="240"/>
    <n v="0.13"/>
    <n v="58659.6"/>
    <n v="90884"/>
    <n v="149543.6"/>
    <n v="2960.1"/>
    <n v="900.3"/>
    <n v="3860.4"/>
    <n v="10.07"/>
    <n v="0.01"/>
    <n v="843.8"/>
    <n v="3803.9"/>
    <n v="0.14000000000000001"/>
    <n v="202"/>
    <n v="153347.5"/>
    <n v="10.11"/>
    <n v="800"/>
  </r>
  <r>
    <s v="800_0.2_0.5_2000_1.0_order_2"/>
    <x v="2"/>
    <n v="0.2"/>
    <n v="0.5"/>
    <n v="2000"/>
    <n v="1"/>
    <n v="2"/>
    <x v="1"/>
    <n v="165460"/>
    <n v="69625.7"/>
    <n v="95834.3"/>
    <n v="240"/>
    <n v="0.15"/>
    <n v="60284"/>
    <n v="86401.1"/>
    <n v="146685.1"/>
    <n v="2991.8"/>
    <n v="835.7"/>
    <n v="3827.5"/>
    <n v="9.0299999999999994"/>
    <n v="0.01"/>
    <n v="699.2"/>
    <n v="3691"/>
    <n v="0.16"/>
    <n v="230"/>
    <n v="150376.1"/>
    <n v="9.1199999999999992"/>
    <n v="800"/>
  </r>
  <r>
    <s v="800_0.2_0.5_2000_1.0_order_3"/>
    <x v="2"/>
    <n v="0.2"/>
    <n v="0.5"/>
    <n v="2000"/>
    <n v="1"/>
    <n v="3"/>
    <x v="1"/>
    <n v="168221.5"/>
    <n v="70384.5"/>
    <n v="97837"/>
    <n v="240"/>
    <n v="0.15"/>
    <n v="59223.4"/>
    <n v="86660.9"/>
    <n v="145884.29999999999"/>
    <n v="3182.4"/>
    <n v="924"/>
    <n v="4106.3999999999996"/>
    <n v="10.84"/>
    <n v="0.01"/>
    <n v="822.2"/>
    <n v="4004.6"/>
    <n v="0.16"/>
    <n v="232"/>
    <n v="149888.9"/>
    <n v="10.9"/>
    <n v="800"/>
  </r>
  <r>
    <s v="800_0.2_0.5_2000_1.0_order_4"/>
    <x v="2"/>
    <n v="0.2"/>
    <n v="0.5"/>
    <n v="2000"/>
    <n v="1"/>
    <n v="4"/>
    <x v="1"/>
    <n v="168917.2"/>
    <n v="69517.8"/>
    <n v="99399.4"/>
    <n v="240"/>
    <n v="0.14000000000000001"/>
    <n v="58682.7"/>
    <n v="88987.8"/>
    <n v="147670.5"/>
    <n v="3063.6"/>
    <n v="910.5"/>
    <n v="3974.1"/>
    <n v="10.23"/>
    <n v="0.01"/>
    <n v="807.7"/>
    <n v="3871.3"/>
    <n v="0.15"/>
    <n v="218"/>
    <n v="151541.79999999999"/>
    <n v="10.29"/>
    <n v="800"/>
  </r>
  <r>
    <s v="800_0.2_0.5_2000_1.0_order_5"/>
    <x v="2"/>
    <n v="0.2"/>
    <n v="0.5"/>
    <n v="2000"/>
    <n v="1"/>
    <n v="5"/>
    <x v="1"/>
    <n v="168479.3"/>
    <n v="68009.100000000006"/>
    <n v="100470.2"/>
    <n v="240"/>
    <n v="0.17"/>
    <n v="56545.7"/>
    <n v="87103.3"/>
    <n v="143649"/>
    <n v="2470.3000000000002"/>
    <n v="860.3"/>
    <n v="3330.6"/>
    <n v="12.76"/>
    <n v="0.01"/>
    <n v="789.3"/>
    <n v="3259.6"/>
    <n v="0.17"/>
    <n v="177"/>
    <n v="146908.6"/>
    <n v="12.8"/>
    <n v="800"/>
  </r>
  <r>
    <s v="800_0.2_0.5_2000_2.0_order_1"/>
    <x v="2"/>
    <n v="0.2"/>
    <n v="0.5"/>
    <n v="2000"/>
    <n v="2"/>
    <n v="1"/>
    <x v="1"/>
    <n v="245290.8"/>
    <n v="101416.6"/>
    <n v="143874.20000000001"/>
    <n v="240"/>
    <n v="0.4"/>
    <n v="87297.7"/>
    <n v="130522.3"/>
    <n v="217820"/>
    <n v="3162.9"/>
    <n v="967.8"/>
    <n v="4130.7"/>
    <n v="9.52"/>
    <n v="0.01"/>
    <n v="803.1"/>
    <n v="3966"/>
    <n v="0.41"/>
    <n v="217"/>
    <n v="221786"/>
    <n v="9.58"/>
    <n v="800"/>
  </r>
  <r>
    <s v="800_0.2_0.5_2000_2.0_order_2"/>
    <x v="2"/>
    <n v="0.2"/>
    <n v="0.5"/>
    <n v="2000"/>
    <n v="2"/>
    <n v="2"/>
    <x v="1"/>
    <n v="244984.3"/>
    <n v="99494.9"/>
    <n v="145489.4"/>
    <n v="240"/>
    <n v="0.41"/>
    <n v="87819.8"/>
    <n v="131978.1"/>
    <n v="219797.9"/>
    <n v="3094.6"/>
    <n v="951.5"/>
    <n v="4046.1"/>
    <n v="8.6300000000000008"/>
    <n v="0.01"/>
    <n v="848.1"/>
    <n v="3942.7"/>
    <n v="0.42"/>
    <n v="220"/>
    <n v="223740.6"/>
    <n v="8.67"/>
    <n v="800"/>
  </r>
  <r>
    <s v="800_0.2_0.5_2000_2.0_order_3"/>
    <x v="2"/>
    <n v="0.2"/>
    <n v="0.5"/>
    <n v="2000"/>
    <n v="2"/>
    <n v="3"/>
    <x v="1"/>
    <n v="246364.79999999999"/>
    <n v="99776.2"/>
    <n v="146588.6"/>
    <n v="240"/>
    <n v="0.41"/>
    <n v="88071.2"/>
    <n v="132113.79999999999"/>
    <n v="220185"/>
    <n v="2784.2"/>
    <n v="988.1"/>
    <n v="3772.3"/>
    <n v="9.1"/>
    <n v="0.01"/>
    <n v="811.1"/>
    <n v="3595.3"/>
    <n v="0.42"/>
    <n v="204"/>
    <n v="223780.3"/>
    <n v="9.17"/>
    <n v="800"/>
  </r>
  <r>
    <s v="800_0.2_0.5_2000_2.0_order_4"/>
    <x v="2"/>
    <n v="0.2"/>
    <n v="0.5"/>
    <n v="2000"/>
    <n v="2"/>
    <n v="4"/>
    <x v="1"/>
    <n v="242464.7"/>
    <n v="99473.1"/>
    <n v="142991.6"/>
    <n v="240"/>
    <n v="0.36"/>
    <n v="87947.9"/>
    <n v="129279.8"/>
    <n v="217227.7"/>
    <n v="2708.7"/>
    <n v="893.8"/>
    <n v="3602.5"/>
    <n v="8.92"/>
    <n v="0.01"/>
    <n v="764.1"/>
    <n v="3472.8"/>
    <n v="0.37"/>
    <n v="203"/>
    <n v="220700.5"/>
    <n v="8.98"/>
    <n v="800"/>
  </r>
  <r>
    <s v="800_0.2_0.5_2000_2.0_order_5"/>
    <x v="2"/>
    <n v="0.2"/>
    <n v="0.5"/>
    <n v="2000"/>
    <n v="2"/>
    <n v="5"/>
    <x v="1"/>
    <n v="247997.4"/>
    <n v="101583.4"/>
    <n v="146414"/>
    <n v="240"/>
    <n v="0.36"/>
    <n v="86934.3"/>
    <n v="130275.9"/>
    <n v="217210.2"/>
    <n v="3191"/>
    <n v="942.5"/>
    <n v="4133.5"/>
    <n v="10.75"/>
    <n v="0.01"/>
    <n v="830.4"/>
    <n v="4021.4"/>
    <n v="0.38"/>
    <n v="222"/>
    <n v="221231.6"/>
    <n v="10.79"/>
    <n v="800"/>
  </r>
  <r>
    <s v="800_0.2_0.5_2000_3.0_order_1"/>
    <x v="2"/>
    <n v="0.2"/>
    <n v="0.5"/>
    <n v="2000"/>
    <n v="3"/>
    <n v="1"/>
    <x v="1"/>
    <n v="299881.40000000002"/>
    <n v="120588.9"/>
    <n v="179292.5"/>
    <n v="240"/>
    <n v="0.56000000000000005"/>
    <n v="108147.7"/>
    <n v="165334.20000000001"/>
    <n v="273481.90000000002"/>
    <n v="2464.4"/>
    <n v="934.3"/>
    <n v="3398.7"/>
    <n v="7.67"/>
    <n v="0.01"/>
    <n v="830.2"/>
    <n v="3294.6"/>
    <n v="0.56000000000000005"/>
    <n v="174"/>
    <n v="276776.5"/>
    <n v="7.7"/>
    <n v="800"/>
  </r>
  <r>
    <s v="800_0.2_0.5_2000_3.0_order_2"/>
    <x v="2"/>
    <n v="0.2"/>
    <n v="0.5"/>
    <n v="2000"/>
    <n v="3"/>
    <n v="2"/>
    <x v="1"/>
    <n v="313359.5"/>
    <n v="131053.2"/>
    <n v="182306.3"/>
    <n v="240"/>
    <n v="0.22"/>
    <n v="115842.1"/>
    <n v="167404.6"/>
    <n v="283246.7"/>
    <n v="3327.2"/>
    <n v="832.2"/>
    <n v="4159.3999999999996"/>
    <n v="8.2799999999999994"/>
    <n v="0.01"/>
    <n v="810.2"/>
    <n v="4137.3999999999996"/>
    <n v="0.24"/>
    <n v="240"/>
    <n v="287384.09999999998"/>
    <n v="8.2899999999999991"/>
    <n v="800"/>
  </r>
  <r>
    <s v="800_0.2_0.5_2000_3.0_order_3"/>
    <x v="2"/>
    <n v="0.2"/>
    <n v="0.5"/>
    <n v="2000"/>
    <n v="3"/>
    <n v="3"/>
    <x v="1"/>
    <n v="312901.7"/>
    <n v="123616.3"/>
    <n v="189285.4"/>
    <n v="240"/>
    <n v="0.41"/>
    <n v="108157.1"/>
    <n v="172357.3"/>
    <n v="280514.40000000002"/>
    <n v="2956.2"/>
    <n v="992"/>
    <n v="3948.2"/>
    <n v="9.09"/>
    <n v="0.01"/>
    <n v="886.8"/>
    <n v="3843"/>
    <n v="0.42"/>
    <n v="208"/>
    <n v="284357.40000000002"/>
    <n v="9.1199999999999992"/>
    <n v="800"/>
  </r>
  <r>
    <s v="800_0.2_0.5_2000_3.0_order_4"/>
    <x v="2"/>
    <n v="0.2"/>
    <n v="0.5"/>
    <n v="2000"/>
    <n v="3"/>
    <n v="4"/>
    <x v="1"/>
    <n v="315103.40000000002"/>
    <n v="126781"/>
    <n v="188322.4"/>
    <n v="240"/>
    <n v="0.57999999999999996"/>
    <n v="110383.8"/>
    <n v="169615.2"/>
    <n v="279999"/>
    <n v="3100.6"/>
    <n v="954.2"/>
    <n v="4054.8"/>
    <n v="9.85"/>
    <n v="0.01"/>
    <n v="832.6"/>
    <n v="3933.2"/>
    <n v="0.59"/>
    <n v="217"/>
    <n v="283932.2"/>
    <n v="9.89"/>
    <n v="800"/>
  </r>
  <r>
    <s v="800_0.2_0.5_2000_3.0_order_5"/>
    <x v="2"/>
    <n v="0.2"/>
    <n v="0.5"/>
    <n v="2000"/>
    <n v="3"/>
    <n v="5"/>
    <x v="1"/>
    <n v="306717"/>
    <n v="125797.8"/>
    <n v="180919.2"/>
    <n v="240"/>
    <n v="0.52"/>
    <n v="110779.5"/>
    <n v="166352.4"/>
    <n v="277131.90000000002"/>
    <n v="2902.7"/>
    <n v="956.5"/>
    <n v="3859.2"/>
    <n v="8.39"/>
    <n v="0.01"/>
    <n v="866.5"/>
    <n v="3769.2"/>
    <n v="0.53"/>
    <n v="215"/>
    <n v="280901.09999999998"/>
    <n v="8.42"/>
    <n v="800"/>
  </r>
  <r>
    <s v="800_0.2_0.5_500_1.0_order_1"/>
    <x v="2"/>
    <n v="0.2"/>
    <n v="0.5"/>
    <n v="500"/>
    <n v="1"/>
    <n v="1"/>
    <x v="1"/>
    <n v="42456"/>
    <n v="17710.900000000001"/>
    <n v="24745.1"/>
    <n v="240"/>
    <n v="0.28000000000000003"/>
    <n v="15179.1"/>
    <n v="21469.4"/>
    <n v="36648.5"/>
    <n v="2358.8000000000002"/>
    <n v="559.70000000000005"/>
    <n v="2918.5"/>
    <n v="6.8"/>
    <n v="0.1"/>
    <n v="521.1"/>
    <n v="2879.9"/>
    <n v="0.38"/>
    <n v="169"/>
    <n v="39528.400000000001"/>
    <n v="6.9"/>
    <n v="800"/>
  </r>
  <r>
    <s v="800_0.2_0.5_500_1.0_order_2"/>
    <x v="2"/>
    <n v="0.2"/>
    <n v="0.5"/>
    <n v="500"/>
    <n v="1"/>
    <n v="2"/>
    <x v="1"/>
    <n v="39729.800000000003"/>
    <n v="15669.4"/>
    <n v="24060.400000000001"/>
    <n v="240"/>
    <n v="0.26"/>
    <n v="12742"/>
    <n v="20606.3"/>
    <n v="33348.300000000003"/>
    <n v="2618.8000000000002"/>
    <n v="699.8"/>
    <n v="3318.6"/>
    <n v="7.71"/>
    <n v="0.12"/>
    <n v="657.3"/>
    <n v="3276.1"/>
    <n v="0.38"/>
    <n v="203"/>
    <n v="36624.400000000001"/>
    <n v="7.82"/>
    <n v="800"/>
  </r>
  <r>
    <s v="800_0.2_0.5_500_1.0_order_3"/>
    <x v="2"/>
    <n v="0.2"/>
    <n v="0.5"/>
    <n v="500"/>
    <n v="1"/>
    <n v="3"/>
    <x v="1"/>
    <n v="41512.699999999997"/>
    <n v="16714"/>
    <n v="24798.7"/>
    <n v="240"/>
    <n v="0.26"/>
    <n v="13946.1"/>
    <n v="21298.7"/>
    <n v="35244.800000000003"/>
    <n v="2503.6999999999998"/>
    <n v="684"/>
    <n v="3187.7"/>
    <n v="7.42"/>
    <n v="0.11"/>
    <n v="615.6"/>
    <n v="3119.3"/>
    <n v="0.38"/>
    <n v="183"/>
    <n v="38364.1"/>
    <n v="7.58"/>
    <n v="800"/>
  </r>
  <r>
    <s v="800_0.2_0.5_500_1.0_order_4"/>
    <x v="2"/>
    <n v="0.2"/>
    <n v="0.5"/>
    <n v="500"/>
    <n v="1"/>
    <n v="4"/>
    <x v="1"/>
    <n v="44381.599999999999"/>
    <n v="18877.900000000001"/>
    <n v="25503.7"/>
    <n v="240"/>
    <n v="0.27"/>
    <n v="15629.8"/>
    <n v="22552.1"/>
    <n v="38181.9"/>
    <n v="3044.4"/>
    <n v="797.8"/>
    <n v="3842.2"/>
    <n v="5.31"/>
    <n v="0.12"/>
    <n v="672.4"/>
    <n v="3716.8"/>
    <n v="0.39"/>
    <n v="224"/>
    <n v="41898.699999999997"/>
    <n v="5.59"/>
    <n v="800"/>
  </r>
  <r>
    <s v="800_0.2_0.5_500_1.0_order_5"/>
    <x v="2"/>
    <n v="0.2"/>
    <n v="0.5"/>
    <n v="500"/>
    <n v="1"/>
    <n v="5"/>
    <x v="1"/>
    <n v="42373.3"/>
    <n v="16880"/>
    <n v="25493.3"/>
    <n v="240"/>
    <n v="0.27"/>
    <n v="14045.2"/>
    <n v="21591.200000000001"/>
    <n v="35636.400000000001"/>
    <n v="2541.5"/>
    <n v="620.9"/>
    <n v="3162.4"/>
    <n v="8.44"/>
    <n v="0.11"/>
    <n v="565.70000000000005"/>
    <n v="3107.2"/>
    <n v="0.38"/>
    <n v="182"/>
    <n v="38743.599999999999"/>
    <n v="8.57"/>
    <n v="800"/>
  </r>
  <r>
    <s v="800_0.2_0.5_500_2.0_order_1"/>
    <x v="2"/>
    <n v="0.2"/>
    <n v="0.5"/>
    <n v="500"/>
    <n v="2"/>
    <n v="1"/>
    <x v="1"/>
    <n v="58760.1"/>
    <n v="23869.599999999999"/>
    <n v="34890.5"/>
    <n v="240"/>
    <n v="0.28999999999999998"/>
    <n v="21029.1"/>
    <n v="31039.5"/>
    <n v="52068.6"/>
    <n v="2520"/>
    <n v="664.2"/>
    <n v="3184.2"/>
    <n v="5.97"/>
    <n v="0.09"/>
    <n v="598.20000000000005"/>
    <n v="3118.2"/>
    <n v="0.38"/>
    <n v="182"/>
    <n v="55186.8"/>
    <n v="6.08"/>
    <n v="800"/>
  </r>
  <r>
    <s v="800_0.2_0.5_500_2.0_order_2"/>
    <x v="2"/>
    <n v="0.2"/>
    <n v="0.5"/>
    <n v="500"/>
    <n v="2"/>
    <n v="2"/>
    <x v="1"/>
    <n v="61570.7"/>
    <n v="26005.7"/>
    <n v="35565"/>
    <n v="240"/>
    <n v="0.28999999999999998"/>
    <n v="22573"/>
    <n v="31857.200000000001"/>
    <n v="54430.2"/>
    <n v="2608"/>
    <n v="752.2"/>
    <n v="3360.2"/>
    <n v="6.14"/>
    <n v="0.1"/>
    <n v="623.29999999999995"/>
    <n v="3231.3"/>
    <n v="0.38"/>
    <n v="182"/>
    <n v="57661.5"/>
    <n v="6.35"/>
    <n v="800"/>
  </r>
  <r>
    <s v="800_0.2_0.5_500_2.0_order_3"/>
    <x v="2"/>
    <n v="0.2"/>
    <n v="0.5"/>
    <n v="500"/>
    <n v="2"/>
    <n v="3"/>
    <x v="1"/>
    <n v="63072.5"/>
    <n v="23232.1"/>
    <n v="39840.400000000001"/>
    <n v="240"/>
    <n v="0.28999999999999998"/>
    <n v="20344.400000000001"/>
    <n v="34919"/>
    <n v="55263.4"/>
    <n v="3109.5"/>
    <n v="794.9"/>
    <n v="3904.4"/>
    <n v="6.19"/>
    <n v="0.1"/>
    <n v="735.4"/>
    <n v="3844.9"/>
    <n v="0.38"/>
    <n v="222"/>
    <n v="59108.3"/>
    <n v="6.29"/>
    <n v="800"/>
  </r>
  <r>
    <s v="800_0.2_0.5_500_2.0_order_4"/>
    <x v="2"/>
    <n v="0.2"/>
    <n v="0.5"/>
    <n v="500"/>
    <n v="2"/>
    <n v="4"/>
    <x v="1"/>
    <n v="62339.8"/>
    <n v="25439"/>
    <n v="36900.800000000003"/>
    <n v="240"/>
    <n v="0.28999999999999998"/>
    <n v="22477.5"/>
    <n v="33479.9"/>
    <n v="55957.4"/>
    <n v="2106.6999999999998"/>
    <n v="686"/>
    <n v="2792.7"/>
    <n v="5.76"/>
    <n v="0.08"/>
    <n v="629.29999999999995"/>
    <n v="2736"/>
    <n v="0.37"/>
    <n v="146"/>
    <n v="58693.4"/>
    <n v="5.85"/>
    <n v="800"/>
  </r>
  <r>
    <s v="800_0.2_0.5_500_2.0_order_5"/>
    <x v="2"/>
    <n v="0.2"/>
    <n v="0.5"/>
    <n v="500"/>
    <n v="2"/>
    <n v="5"/>
    <x v="1"/>
    <n v="64404.800000000003"/>
    <n v="25541.1"/>
    <n v="38863.699999999997"/>
    <n v="240"/>
    <n v="0.28999999999999998"/>
    <n v="22069.5"/>
    <n v="34879.800000000003"/>
    <n v="56949.3"/>
    <n v="1961.2"/>
    <n v="791"/>
    <n v="2752.2"/>
    <n v="7.3"/>
    <n v="0.1"/>
    <n v="682.1"/>
    <n v="2643.3"/>
    <n v="0.38"/>
    <n v="141"/>
    <n v="59592.6"/>
    <n v="7.47"/>
    <n v="800"/>
  </r>
  <r>
    <s v="800_0.2_0.5_500_3.0_order_1"/>
    <x v="2"/>
    <n v="0.2"/>
    <n v="0.5"/>
    <n v="500"/>
    <n v="3"/>
    <n v="1"/>
    <x v="1"/>
    <n v="79313.899999999994"/>
    <n v="31214.7"/>
    <n v="48099.199999999997"/>
    <n v="240"/>
    <n v="0.15"/>
    <n v="26827.5"/>
    <n v="43221.4"/>
    <n v="70048.899999999994"/>
    <n v="2701.4"/>
    <n v="859.8"/>
    <n v="3561.2"/>
    <n v="7.19"/>
    <n v="0.01"/>
    <n v="839"/>
    <n v="3540.4"/>
    <n v="0.16"/>
    <n v="190"/>
    <n v="73589.3"/>
    <n v="7.22"/>
    <n v="800"/>
  </r>
  <r>
    <s v="800_0.2_0.5_500_3.0_order_2"/>
    <x v="2"/>
    <n v="0.2"/>
    <n v="0.5"/>
    <n v="500"/>
    <n v="3"/>
    <n v="2"/>
    <x v="1"/>
    <n v="79561.8"/>
    <n v="30927.7"/>
    <n v="48634.1"/>
    <n v="240"/>
    <n v="0.18"/>
    <n v="26759.5"/>
    <n v="43504"/>
    <n v="70263.5"/>
    <n v="3101.9"/>
    <n v="948.8"/>
    <n v="4050.7"/>
    <n v="6.6"/>
    <n v="0.01"/>
    <n v="835.9"/>
    <n v="3937.8"/>
    <n v="0.19"/>
    <n v="217"/>
    <n v="74201.3"/>
    <n v="6.74"/>
    <n v="800"/>
  </r>
  <r>
    <s v="800_0.2_0.5_500_3.0_order_3"/>
    <x v="2"/>
    <n v="0.2"/>
    <n v="0.5"/>
    <n v="500"/>
    <n v="3"/>
    <n v="3"/>
    <x v="1"/>
    <n v="73403.7"/>
    <n v="31356.799999999999"/>
    <n v="42046.9"/>
    <n v="240"/>
    <n v="0.15"/>
    <n v="26733.9"/>
    <n v="37171.4"/>
    <n v="63905.3"/>
    <n v="2909.5"/>
    <n v="850.4"/>
    <n v="3759.9"/>
    <n v="7.82"/>
    <n v="0.01"/>
    <n v="740.5"/>
    <n v="3650"/>
    <n v="0.16"/>
    <n v="209"/>
    <n v="67555.3"/>
    <n v="7.97"/>
    <n v="800"/>
  </r>
  <r>
    <s v="800_0.2_0.5_500_3.0_order_4"/>
    <x v="2"/>
    <n v="0.2"/>
    <n v="0.5"/>
    <n v="500"/>
    <n v="3"/>
    <n v="4"/>
    <x v="1"/>
    <n v="79997"/>
    <n v="32625.7"/>
    <n v="47371.3"/>
    <n v="240"/>
    <n v="0.17"/>
    <n v="28022.400000000001"/>
    <n v="40921.4"/>
    <n v="68943.8"/>
    <n v="3051.6"/>
    <n v="900.4"/>
    <n v="3952"/>
    <n v="8.8800000000000008"/>
    <n v="0.01"/>
    <n v="784.2"/>
    <n v="3835.8"/>
    <n v="0.17"/>
    <n v="218"/>
    <n v="72779.600000000006"/>
    <n v="9.02"/>
    <n v="800"/>
  </r>
  <r>
    <s v="800_0.2_0.5_500_3.0_order_5"/>
    <x v="2"/>
    <n v="0.2"/>
    <n v="0.5"/>
    <n v="500"/>
    <n v="3"/>
    <n v="5"/>
    <x v="1"/>
    <n v="79466.7"/>
    <n v="34632.300000000003"/>
    <n v="44834.400000000001"/>
    <n v="240"/>
    <n v="0.14000000000000001"/>
    <n v="30174.7"/>
    <n v="40307.199999999997"/>
    <n v="70481.899999999994"/>
    <n v="2791.1"/>
    <n v="871"/>
    <n v="3662.1"/>
    <n v="6.7"/>
    <n v="0.01"/>
    <n v="758.8"/>
    <n v="3549.9"/>
    <n v="0.15"/>
    <n v="206"/>
    <n v="74031.8"/>
    <n v="6.84"/>
    <n v="800"/>
  </r>
  <r>
    <s v="800_0.3_0.5_1000_1.0_order_1"/>
    <x v="2"/>
    <n v="0.3"/>
    <n v="0.5"/>
    <n v="1000"/>
    <n v="1"/>
    <n v="1"/>
    <x v="1"/>
    <n v="84653.3"/>
    <n v="35326.1"/>
    <n v="49327.199999999997"/>
    <n v="240"/>
    <n v="0.06"/>
    <n v="27869.8"/>
    <n v="41028"/>
    <n v="68897.8"/>
    <n v="3385"/>
    <n v="1244.0999999999999"/>
    <n v="4629.1000000000004"/>
    <n v="13.14"/>
    <n v="0.02"/>
    <n v="1122.7"/>
    <n v="4507.7"/>
    <n v="0.08"/>
    <n v="234"/>
    <n v="73405.5"/>
    <n v="13.29"/>
    <n v="800"/>
  </r>
  <r>
    <s v="800_0.3_0.5_1000_1.0_order_2"/>
    <x v="2"/>
    <n v="0.3"/>
    <n v="0.5"/>
    <n v="1000"/>
    <n v="1"/>
    <n v="2"/>
    <x v="1"/>
    <n v="82666.2"/>
    <n v="34357"/>
    <n v="48309.2"/>
    <n v="240"/>
    <n v="7.0000000000000007E-2"/>
    <n v="26444.5"/>
    <n v="40032"/>
    <n v="66476.5"/>
    <n v="3281.6"/>
    <n v="1099"/>
    <n v="4380.6000000000004"/>
    <n v="14.29"/>
    <n v="0.01"/>
    <n v="1037"/>
    <n v="4318.6000000000004"/>
    <n v="0.08"/>
    <n v="240"/>
    <n v="70795.100000000006"/>
    <n v="14.36"/>
    <n v="800"/>
  </r>
  <r>
    <s v="800_0.3_0.5_1000_1.0_order_3"/>
    <x v="2"/>
    <n v="0.3"/>
    <n v="0.5"/>
    <n v="1000"/>
    <n v="1"/>
    <n v="3"/>
    <x v="1"/>
    <n v="85677.4"/>
    <n v="34507"/>
    <n v="51170.400000000001"/>
    <n v="240"/>
    <n v="0.08"/>
    <n v="26920.9"/>
    <n v="41908.5"/>
    <n v="68829.399999999994"/>
    <n v="3104.9"/>
    <n v="1169"/>
    <n v="4273.8999999999996"/>
    <n v="14.68"/>
    <n v="0.01"/>
    <n v="1023.3"/>
    <n v="4128.2"/>
    <n v="0.09"/>
    <n v="229"/>
    <n v="72957.600000000006"/>
    <n v="14.85"/>
    <n v="800"/>
  </r>
  <r>
    <s v="800_0.3_0.5_1000_1.0_order_4"/>
    <x v="2"/>
    <n v="0.3"/>
    <n v="0.5"/>
    <n v="1000"/>
    <n v="1"/>
    <n v="4"/>
    <x v="1"/>
    <n v="83697.600000000006"/>
    <n v="35227.4"/>
    <n v="48470.2"/>
    <n v="240"/>
    <n v="7.0000000000000007E-2"/>
    <n v="27912.3"/>
    <n v="40651"/>
    <n v="68563.3"/>
    <n v="2931.6"/>
    <n v="1213.9000000000001"/>
    <n v="4145.5"/>
    <n v="13.13"/>
    <n v="0.01"/>
    <n v="1101.7"/>
    <n v="4033.3"/>
    <n v="0.08"/>
    <n v="207"/>
    <n v="72596.600000000006"/>
    <n v="13.26"/>
    <n v="800"/>
  </r>
  <r>
    <s v="800_0.3_0.5_1000_1.0_order_5"/>
    <x v="2"/>
    <n v="0.3"/>
    <n v="0.5"/>
    <n v="1000"/>
    <n v="1"/>
    <n v="5"/>
    <x v="1"/>
    <n v="84517.4"/>
    <n v="33762.1"/>
    <n v="50755.3"/>
    <n v="240"/>
    <n v="0.08"/>
    <n v="27189.200000000001"/>
    <n v="42498.8"/>
    <n v="69688"/>
    <n v="3044.1"/>
    <n v="1191.3"/>
    <n v="4235.3999999999996"/>
    <n v="12.53"/>
    <n v="0.01"/>
    <n v="1070.7"/>
    <n v="4114.8"/>
    <n v="0.09"/>
    <n v="217"/>
    <n v="73802.8"/>
    <n v="12.68"/>
    <n v="800"/>
  </r>
  <r>
    <s v="800_0.3_0.5_1000_2.0_order_1"/>
    <x v="2"/>
    <n v="0.3"/>
    <n v="0.5"/>
    <n v="1000"/>
    <n v="2"/>
    <n v="1"/>
    <x v="1"/>
    <n v="123870.9"/>
    <n v="51589.4"/>
    <n v="72281.5"/>
    <n v="240"/>
    <n v="0.14000000000000001"/>
    <n v="41538.199999999997"/>
    <n v="61850.3"/>
    <n v="103388.5"/>
    <n v="3108.9"/>
    <n v="1257.4000000000001"/>
    <n v="4366.3"/>
    <n v="13.01"/>
    <n v="0.02"/>
    <n v="1126.8"/>
    <n v="4235.7"/>
    <n v="0.16"/>
    <n v="223"/>
    <n v="107624.2"/>
    <n v="13.12"/>
    <n v="800"/>
  </r>
  <r>
    <s v="800_0.3_0.5_1000_2.0_order_2"/>
    <x v="2"/>
    <n v="0.3"/>
    <n v="0.5"/>
    <n v="1000"/>
    <n v="2"/>
    <n v="2"/>
    <x v="1"/>
    <n v="123697.2"/>
    <n v="50663.4"/>
    <n v="73033.8"/>
    <n v="240"/>
    <n v="0.14000000000000001"/>
    <n v="42013.3"/>
    <n v="62334.1"/>
    <n v="104347.4"/>
    <n v="3092"/>
    <n v="1209.5"/>
    <n v="4301.5"/>
    <n v="12.17"/>
    <n v="0.02"/>
    <n v="1106.4000000000001"/>
    <n v="4198.3999999999996"/>
    <n v="0.15"/>
    <n v="226"/>
    <n v="108545.8"/>
    <n v="12.25"/>
    <n v="800"/>
  </r>
  <r>
    <s v="800_0.3_0.5_1000_2.0_order_3"/>
    <x v="2"/>
    <n v="0.3"/>
    <n v="0.5"/>
    <n v="1000"/>
    <n v="2"/>
    <n v="3"/>
    <x v="1"/>
    <n v="126029.9"/>
    <n v="50118.3"/>
    <n v="75911.600000000006"/>
    <n v="240"/>
    <n v="0.13"/>
    <n v="41013.1"/>
    <n v="65067.8"/>
    <n v="106080.9"/>
    <n v="3294.8"/>
    <n v="1220.7"/>
    <n v="4515.5"/>
    <n v="12.25"/>
    <n v="0.02"/>
    <n v="1166.7"/>
    <n v="4461.5"/>
    <n v="0.15"/>
    <n v="231"/>
    <n v="110542.39999999999"/>
    <n v="12.29"/>
    <n v="800"/>
  </r>
  <r>
    <s v="800_0.3_0.5_1000_2.0_order_4"/>
    <x v="2"/>
    <n v="0.3"/>
    <n v="0.5"/>
    <n v="1000"/>
    <n v="2"/>
    <n v="4"/>
    <x v="1"/>
    <n v="124838.2"/>
    <n v="49077.599999999999"/>
    <n v="75760.600000000006"/>
    <n v="240"/>
    <n v="0.15"/>
    <n v="38582.6"/>
    <n v="64839.1"/>
    <n v="103421.7"/>
    <n v="3230.1"/>
    <n v="1297.2"/>
    <n v="4527.3"/>
    <n v="13.53"/>
    <n v="0.02"/>
    <n v="1185"/>
    <n v="4415.1000000000004"/>
    <n v="0.16"/>
    <n v="225"/>
    <n v="107836.8"/>
    <n v="13.62"/>
    <n v="800"/>
  </r>
  <r>
    <s v="800_0.3_0.5_1000_2.0_order_5"/>
    <x v="2"/>
    <n v="0.3"/>
    <n v="0.5"/>
    <n v="1000"/>
    <n v="2"/>
    <n v="5"/>
    <x v="1"/>
    <n v="130583.5"/>
    <n v="53589.9"/>
    <n v="76993.600000000006"/>
    <n v="240"/>
    <n v="0.15"/>
    <n v="43432.3"/>
    <n v="65981.8"/>
    <n v="109414.1"/>
    <n v="3220.1"/>
    <n v="1234.7"/>
    <n v="4454.8"/>
    <n v="12.8"/>
    <n v="0.02"/>
    <n v="1091.5999999999999"/>
    <n v="4311.7"/>
    <n v="0.17"/>
    <n v="222"/>
    <n v="113725.8"/>
    <n v="12.91"/>
    <n v="800"/>
  </r>
  <r>
    <s v="800_0.3_0.5_1000_3.0_order_1"/>
    <x v="2"/>
    <n v="0.3"/>
    <n v="0.5"/>
    <n v="1000"/>
    <n v="3"/>
    <n v="1"/>
    <x v="1"/>
    <n v="165838"/>
    <n v="67188.399999999994"/>
    <n v="98649.600000000006"/>
    <n v="240"/>
    <n v="0.3"/>
    <n v="56877.1"/>
    <n v="85575.1"/>
    <n v="142452.20000000001"/>
    <n v="3273.1"/>
    <n v="1222.4000000000001"/>
    <n v="4495.5"/>
    <n v="11.39"/>
    <n v="0.02"/>
    <n v="1169.9000000000001"/>
    <n v="4443"/>
    <n v="0.32"/>
    <n v="223"/>
    <n v="146895.20000000001"/>
    <n v="11.42"/>
    <n v="800"/>
  </r>
  <r>
    <s v="800_0.3_0.5_1000_3.0_order_2"/>
    <x v="2"/>
    <n v="0.3"/>
    <n v="0.5"/>
    <n v="1000"/>
    <n v="3"/>
    <n v="2"/>
    <x v="1"/>
    <n v="157725.29999999999"/>
    <n v="62671.7"/>
    <n v="95053.6"/>
    <n v="240"/>
    <n v="0.23"/>
    <n v="52445"/>
    <n v="81614.899999999994"/>
    <n v="134059.9"/>
    <n v="3089"/>
    <n v="1305.4000000000001"/>
    <n v="4394.3999999999996"/>
    <n v="12.22"/>
    <n v="0.02"/>
    <n v="1259.7"/>
    <n v="4348.7"/>
    <n v="0.25"/>
    <n v="234"/>
    <n v="138408.6"/>
    <n v="12.25"/>
    <n v="800"/>
  </r>
  <r>
    <s v="800_0.3_0.5_1000_3.0_order_3"/>
    <x v="2"/>
    <n v="0.3"/>
    <n v="0.5"/>
    <n v="1000"/>
    <n v="3"/>
    <n v="3"/>
    <x v="1"/>
    <n v="158113.60000000001"/>
    <n v="62217.4"/>
    <n v="95896.2"/>
    <n v="240"/>
    <n v="0.21"/>
    <n v="51718.3"/>
    <n v="81530.899999999994"/>
    <n v="133249.20000000001"/>
    <n v="2905.5"/>
    <n v="1251.0999999999999"/>
    <n v="4156.6000000000004"/>
    <n v="13.1"/>
    <n v="0.02"/>
    <n v="1137.2"/>
    <n v="4042.7"/>
    <n v="0.23"/>
    <n v="203"/>
    <n v="137291.9"/>
    <n v="13.17"/>
    <n v="800"/>
  </r>
  <r>
    <s v="800_0.3_0.5_1000_3.0_order_4"/>
    <x v="2"/>
    <n v="0.3"/>
    <n v="0.5"/>
    <n v="1000"/>
    <n v="3"/>
    <n v="4"/>
    <x v="1"/>
    <n v="152442.79999999999"/>
    <n v="62484.3"/>
    <n v="89958.5"/>
    <n v="240"/>
    <n v="0.18"/>
    <n v="51023.6"/>
    <n v="76081.8"/>
    <n v="127105.4"/>
    <n v="3165.9"/>
    <n v="1287.5999999999999"/>
    <n v="4453.5"/>
    <n v="13.7"/>
    <n v="0.02"/>
    <n v="1248.2"/>
    <n v="4414.1000000000004"/>
    <n v="0.2"/>
    <n v="224"/>
    <n v="131519.5"/>
    <n v="13.73"/>
    <n v="800"/>
  </r>
  <r>
    <s v="800_0.3_0.5_1000_3.0_order_5"/>
    <x v="2"/>
    <n v="0.3"/>
    <n v="0.5"/>
    <n v="1000"/>
    <n v="3"/>
    <n v="5"/>
    <x v="1"/>
    <n v="155852.5"/>
    <n v="62377.7"/>
    <n v="93474.8"/>
    <n v="240"/>
    <n v="0.25"/>
    <n v="51831.7"/>
    <n v="80072.899999999994"/>
    <n v="131904.6"/>
    <n v="2659.4"/>
    <n v="1243.7"/>
    <n v="3903.1"/>
    <n v="12.86"/>
    <n v="0.02"/>
    <n v="1132.7"/>
    <n v="3792.1"/>
    <n v="0.26"/>
    <n v="191"/>
    <n v="135696.70000000001"/>
    <n v="12.93"/>
    <n v="800"/>
  </r>
  <r>
    <s v="800_0.3_0.5_2000_1.0_order_1"/>
    <x v="2"/>
    <n v="0.3"/>
    <n v="0.5"/>
    <n v="2000"/>
    <n v="1"/>
    <n v="1"/>
    <x v="1"/>
    <n v="171006.7"/>
    <n v="71207.600000000006"/>
    <n v="99799.1"/>
    <n v="240"/>
    <n v="0.11"/>
    <n v="56173"/>
    <n v="83193.399999999994"/>
    <n v="139366.39999999999"/>
    <n v="2885.9"/>
    <n v="1265.0999999999999"/>
    <n v="4151"/>
    <n v="16.07"/>
    <n v="0.01"/>
    <n v="1183.9000000000001"/>
    <n v="4069.8"/>
    <n v="0.13"/>
    <n v="201"/>
    <n v="143436.20000000001"/>
    <n v="16.12"/>
    <n v="800"/>
  </r>
  <r>
    <s v="800_0.3_0.5_2000_1.0_order_2"/>
    <x v="2"/>
    <n v="0.3"/>
    <n v="0.5"/>
    <n v="2000"/>
    <n v="1"/>
    <n v="2"/>
    <x v="1"/>
    <n v="172500.6"/>
    <n v="71637.7"/>
    <n v="100862.9"/>
    <n v="240"/>
    <n v="0.13"/>
    <n v="57413.1"/>
    <n v="85115.1"/>
    <n v="142528.20000000001"/>
    <n v="3183"/>
    <n v="1284.3"/>
    <n v="4467.3"/>
    <n v="14.79"/>
    <n v="0.02"/>
    <n v="1181.7"/>
    <n v="4364.7"/>
    <n v="0.15"/>
    <n v="230"/>
    <n v="146892.9"/>
    <n v="14.84"/>
    <n v="800"/>
  </r>
  <r>
    <s v="800_0.3_0.5_2000_1.0_order_3"/>
    <x v="2"/>
    <n v="0.3"/>
    <n v="0.5"/>
    <n v="2000"/>
    <n v="1"/>
    <n v="3"/>
    <x v="1"/>
    <n v="168558.4"/>
    <n v="67244.600000000006"/>
    <n v="101313.8"/>
    <n v="240"/>
    <n v="0.13"/>
    <n v="53857.1"/>
    <n v="85497.8"/>
    <n v="139354.9"/>
    <n v="3202.3"/>
    <n v="1342.6"/>
    <n v="4544.8999999999996"/>
    <n v="14.63"/>
    <n v="0.02"/>
    <n v="1217.0999999999999"/>
    <n v="4419.3999999999996"/>
    <n v="0.15"/>
    <n v="224"/>
    <n v="143774.29999999999"/>
    <n v="14.7"/>
    <n v="800"/>
  </r>
  <r>
    <s v="800_0.3_0.5_2000_1.0_order_4"/>
    <x v="2"/>
    <n v="0.3"/>
    <n v="0.5"/>
    <n v="2000"/>
    <n v="1"/>
    <n v="4"/>
    <x v="1"/>
    <n v="176111.9"/>
    <n v="72025.8"/>
    <n v="104086.1"/>
    <n v="240"/>
    <n v="0.14000000000000001"/>
    <n v="57057.5"/>
    <n v="86729.7"/>
    <n v="143787.20000000001"/>
    <n v="3181.3"/>
    <n v="1322.2"/>
    <n v="4503.5"/>
    <n v="15.8"/>
    <n v="0.02"/>
    <n v="1219.7"/>
    <n v="4401"/>
    <n v="0.16"/>
    <n v="221"/>
    <n v="148188.20000000001"/>
    <n v="15.86"/>
    <n v="800"/>
  </r>
  <r>
    <s v="800_0.3_0.5_2000_1.0_order_5"/>
    <x v="2"/>
    <n v="0.3"/>
    <n v="0.5"/>
    <n v="2000"/>
    <n v="1"/>
    <n v="5"/>
    <x v="1"/>
    <n v="169328.4"/>
    <n v="68708.100000000006"/>
    <n v="100620.3"/>
    <n v="240"/>
    <n v="0.12"/>
    <n v="55491.3"/>
    <n v="86147.8"/>
    <n v="141639.1"/>
    <n v="2864.7"/>
    <n v="1265.4000000000001"/>
    <n v="4130.1000000000004"/>
    <n v="13.91"/>
    <n v="0.02"/>
    <n v="1167.4000000000001"/>
    <n v="4032.1"/>
    <n v="0.13"/>
    <n v="208"/>
    <n v="145671.20000000001"/>
    <n v="13.97"/>
    <n v="800"/>
  </r>
  <r>
    <s v="800_0.3_0.5_2000_2.0_order_1"/>
    <x v="2"/>
    <n v="0.3"/>
    <n v="0.5"/>
    <n v="2000"/>
    <n v="2"/>
    <n v="1"/>
    <x v="1"/>
    <n v="248948.8"/>
    <n v="101892.4"/>
    <n v="147056.4"/>
    <n v="240"/>
    <n v="0.27"/>
    <n v="82491.8"/>
    <n v="124973.6"/>
    <n v="207465.4"/>
    <n v="3194"/>
    <n v="1331.4"/>
    <n v="4525.3999999999996"/>
    <n v="14.85"/>
    <n v="0.02"/>
    <n v="1193.5"/>
    <n v="4387.5"/>
    <n v="0.28000000000000003"/>
    <n v="219"/>
    <n v="211852.9"/>
    <n v="14.9"/>
    <n v="800"/>
  </r>
  <r>
    <s v="800_0.3_0.5_2000_2.0_order_2"/>
    <x v="2"/>
    <n v="0.3"/>
    <n v="0.5"/>
    <n v="2000"/>
    <n v="2"/>
    <n v="2"/>
    <x v="1"/>
    <n v="251798.1"/>
    <n v="99478.3"/>
    <n v="152319.79999999999"/>
    <n v="240"/>
    <n v="0.22"/>
    <n v="82079.7"/>
    <n v="130414.9"/>
    <n v="212494.6"/>
    <n v="3112.9"/>
    <n v="1348.3"/>
    <n v="4461.2"/>
    <n v="13.84"/>
    <n v="0.02"/>
    <n v="1243"/>
    <n v="4355.8999999999996"/>
    <n v="0.24"/>
    <n v="220"/>
    <n v="216850.5"/>
    <n v="13.88"/>
    <n v="800"/>
  </r>
  <r>
    <s v="800_0.3_0.5_2000_2.0_order_3"/>
    <x v="2"/>
    <n v="0.3"/>
    <n v="0.5"/>
    <n v="2000"/>
    <n v="2"/>
    <n v="3"/>
    <x v="1"/>
    <n v="256798.8"/>
    <n v="104496.9"/>
    <n v="152301.9"/>
    <n v="240"/>
    <n v="0.28999999999999998"/>
    <n v="85623.2"/>
    <n v="130595.9"/>
    <n v="216219.1"/>
    <n v="3176.1"/>
    <n v="1212.8"/>
    <n v="4388.8999999999996"/>
    <n v="14.09"/>
    <n v="0.02"/>
    <n v="1126.8"/>
    <n v="4302.8999999999996"/>
    <n v="0.31"/>
    <n v="215"/>
    <n v="220522"/>
    <n v="14.13"/>
    <n v="800"/>
  </r>
  <r>
    <s v="800_0.3_0.5_2000_2.0_order_4"/>
    <x v="2"/>
    <n v="0.3"/>
    <n v="0.5"/>
    <n v="2000"/>
    <n v="2"/>
    <n v="4"/>
    <x v="1"/>
    <n v="253933.9"/>
    <n v="102202.1"/>
    <n v="151731.79999999999"/>
    <n v="240"/>
    <n v="0.32"/>
    <n v="83789.399999999994"/>
    <n v="130448.9"/>
    <n v="214238.3"/>
    <n v="3227.6"/>
    <n v="1286.7"/>
    <n v="4514.3"/>
    <n v="13.85"/>
    <n v="0.02"/>
    <n v="1165.7"/>
    <n v="4393.3"/>
    <n v="0.34"/>
    <n v="221"/>
    <n v="218631.6"/>
    <n v="13.9"/>
    <n v="800"/>
  </r>
  <r>
    <s v="800_0.3_0.5_2000_2.0_order_5"/>
    <x v="2"/>
    <n v="0.3"/>
    <n v="0.5"/>
    <n v="2000"/>
    <n v="2"/>
    <n v="5"/>
    <x v="1"/>
    <n v="249086.1"/>
    <n v="101164.3"/>
    <n v="147921.79999999999"/>
    <n v="240"/>
    <n v="0.32"/>
    <n v="81842.5"/>
    <n v="124597.1"/>
    <n v="206439.6"/>
    <n v="2989.8"/>
    <n v="1353.2"/>
    <n v="4343"/>
    <n v="15.38"/>
    <n v="0.02"/>
    <n v="1279.3"/>
    <n v="4269.1000000000004"/>
    <n v="0.33"/>
    <n v="217"/>
    <n v="210708.7"/>
    <n v="15.41"/>
    <n v="800"/>
  </r>
  <r>
    <s v="800_0.3_0.5_2000_3.0_order_1"/>
    <x v="2"/>
    <n v="0.3"/>
    <n v="0.5"/>
    <n v="2000"/>
    <n v="3"/>
    <n v="1"/>
    <x v="1"/>
    <n v="310754.59999999998"/>
    <n v="128361.4"/>
    <n v="182393.2"/>
    <n v="240"/>
    <n v="0.19"/>
    <n v="105883.8"/>
    <n v="157436.4"/>
    <n v="263320.2"/>
    <n v="3306.3"/>
    <n v="1333.9"/>
    <n v="4640.2"/>
    <n v="13.77"/>
    <n v="0.02"/>
    <n v="1273.5"/>
    <n v="4579.8"/>
    <n v="0.21"/>
    <n v="226"/>
    <n v="267900"/>
    <n v="13.79"/>
    <n v="800"/>
  </r>
  <r>
    <s v="800_0.3_0.5_2000_3.0_order_2"/>
    <x v="2"/>
    <n v="0.3"/>
    <n v="0.5"/>
    <n v="2000"/>
    <n v="3"/>
    <n v="2"/>
    <x v="1"/>
    <n v="313880.8"/>
    <n v="128693.3"/>
    <n v="185187.5"/>
    <n v="240"/>
    <n v="0.41"/>
    <n v="108132.3"/>
    <n v="159851"/>
    <n v="267983.3"/>
    <n v="3140.1"/>
    <n v="1304"/>
    <n v="4444.1000000000004"/>
    <n v="13.21"/>
    <n v="0.02"/>
    <n v="1246.9000000000001"/>
    <n v="4387"/>
    <n v="0.43"/>
    <n v="214"/>
    <n v="272370.3"/>
    <n v="13.22"/>
    <n v="800"/>
  </r>
  <r>
    <s v="800_0.3_0.5_2000_3.0_order_3"/>
    <x v="2"/>
    <n v="0.3"/>
    <n v="0.5"/>
    <n v="2000"/>
    <n v="3"/>
    <n v="3"/>
    <x v="1"/>
    <n v="309386.8"/>
    <n v="122023.6"/>
    <n v="187363.20000000001"/>
    <n v="240"/>
    <n v="0.5"/>
    <n v="102004.5"/>
    <n v="163063.9"/>
    <n v="265068.40000000002"/>
    <n v="3228.4"/>
    <n v="1450"/>
    <n v="4678.3999999999996"/>
    <n v="12.81"/>
    <n v="0.02"/>
    <n v="1370.1"/>
    <n v="4598.5"/>
    <n v="0.52"/>
    <n v="218"/>
    <n v="269666.90000000002"/>
    <n v="12.84"/>
    <n v="800"/>
  </r>
  <r>
    <s v="800_0.3_0.5_2000_3.0_order_4"/>
    <x v="2"/>
    <n v="0.3"/>
    <n v="0.5"/>
    <n v="2000"/>
    <n v="3"/>
    <n v="4"/>
    <x v="1"/>
    <n v="310158.2"/>
    <n v="127750.1"/>
    <n v="182408.1"/>
    <n v="240"/>
    <n v="0.47"/>
    <n v="105473.9"/>
    <n v="155773.1"/>
    <n v="261247"/>
    <n v="3113.4"/>
    <n v="1306.5999999999999"/>
    <n v="4420"/>
    <n v="14.34"/>
    <n v="0.02"/>
    <n v="1225.2"/>
    <n v="4338.6000000000004"/>
    <n v="0.48"/>
    <n v="220"/>
    <n v="265585.59999999998"/>
    <n v="14.37"/>
    <n v="800"/>
  </r>
  <r>
    <s v="800_0.3_0.5_2000_3.0_order_5"/>
    <x v="2"/>
    <n v="0.3"/>
    <n v="0.5"/>
    <n v="2000"/>
    <n v="3"/>
    <n v="5"/>
    <x v="1"/>
    <n v="314621.59999999998"/>
    <n v="129787.3"/>
    <n v="184834.3"/>
    <n v="240"/>
    <n v="0.27"/>
    <n v="107596.3"/>
    <n v="160261"/>
    <n v="267857.3"/>
    <n v="3182.9"/>
    <n v="1276"/>
    <n v="4458.8999999999996"/>
    <n v="13.45"/>
    <n v="0.03"/>
    <n v="1177.4000000000001"/>
    <n v="4360.3"/>
    <n v="0.3"/>
    <n v="219"/>
    <n v="272217.59999999998"/>
    <n v="13.48"/>
    <n v="800"/>
  </r>
  <r>
    <s v="800_0.3_0.5_500_1.0_order_1"/>
    <x v="2"/>
    <n v="0.3"/>
    <n v="0.5"/>
    <n v="500"/>
    <n v="1"/>
    <n v="1"/>
    <x v="1"/>
    <n v="42104.1"/>
    <n v="17539.8"/>
    <n v="24564.3"/>
    <n v="240"/>
    <n v="0.05"/>
    <n v="13615.4"/>
    <n v="20252.7"/>
    <n v="33868.1"/>
    <n v="3139.6"/>
    <n v="1072.4000000000001"/>
    <n v="4212"/>
    <n v="9.56"/>
    <n v="0.01"/>
    <n v="1014"/>
    <n v="4153.6000000000004"/>
    <n v="0.06"/>
    <n v="226"/>
    <n v="38021.699999999997"/>
    <n v="9.6999999999999993"/>
    <n v="800"/>
  </r>
  <r>
    <s v="800_0.3_0.5_500_1.0_order_2"/>
    <x v="2"/>
    <n v="0.3"/>
    <n v="0.5"/>
    <n v="500"/>
    <n v="1"/>
    <n v="2"/>
    <x v="1"/>
    <n v="41779.599999999999"/>
    <n v="17994.900000000001"/>
    <n v="23784.7"/>
    <n v="240"/>
    <n v="0.05"/>
    <n v="14387.8"/>
    <n v="19772.900000000001"/>
    <n v="34160.699999999997"/>
    <n v="2921.9"/>
    <n v="1007"/>
    <n v="3928.9"/>
    <n v="8.83"/>
    <n v="0.01"/>
    <n v="958.4"/>
    <n v="3880.3"/>
    <n v="0.05"/>
    <n v="211"/>
    <n v="38041"/>
    <n v="8.9499999999999993"/>
    <n v="800"/>
  </r>
  <r>
    <s v="800_0.3_0.5_500_1.0_order_3"/>
    <x v="2"/>
    <n v="0.3"/>
    <n v="0.5"/>
    <n v="500"/>
    <n v="1"/>
    <n v="3"/>
    <x v="1"/>
    <n v="40950.1"/>
    <n v="17179.099999999999"/>
    <n v="23771"/>
    <n v="240"/>
    <n v="0.05"/>
    <n v="13614"/>
    <n v="20207"/>
    <n v="33821"/>
    <n v="2242.5"/>
    <n v="809.6"/>
    <n v="3052.1"/>
    <n v="9.9600000000000009"/>
    <n v="0.01"/>
    <n v="730"/>
    <n v="2972.5"/>
    <n v="0.05"/>
    <n v="161"/>
    <n v="36793.5"/>
    <n v="10.15"/>
    <n v="800"/>
  </r>
  <r>
    <s v="800_0.3_0.5_500_1.0_order_4"/>
    <x v="2"/>
    <n v="0.3"/>
    <n v="0.5"/>
    <n v="500"/>
    <n v="1"/>
    <n v="4"/>
    <x v="1"/>
    <n v="41546.400000000001"/>
    <n v="16396.099999999999"/>
    <n v="25150.3"/>
    <n v="240"/>
    <n v="0.04"/>
    <n v="13032.4"/>
    <n v="20921.3"/>
    <n v="33953.699999999997"/>
    <n v="2457.5"/>
    <n v="850"/>
    <n v="3307.5"/>
    <n v="10.31"/>
    <n v="0.01"/>
    <n v="773.8"/>
    <n v="3231.3"/>
    <n v="0.05"/>
    <n v="176"/>
    <n v="37185"/>
    <n v="10.5"/>
    <n v="800"/>
  </r>
  <r>
    <s v="800_0.3_0.5_500_1.0_order_5"/>
    <x v="2"/>
    <n v="0.3"/>
    <n v="0.5"/>
    <n v="500"/>
    <n v="1"/>
    <n v="5"/>
    <x v="1"/>
    <n v="42722"/>
    <n v="18044.599999999999"/>
    <n v="24677.4"/>
    <n v="240"/>
    <n v="0.05"/>
    <n v="14506.3"/>
    <n v="20222.900000000001"/>
    <n v="34729.199999999997"/>
    <n v="2945.4"/>
    <n v="880.1"/>
    <n v="3825.5"/>
    <n v="9.75"/>
    <n v="0.01"/>
    <n v="808.8"/>
    <n v="3754.2"/>
    <n v="0.05"/>
    <n v="208"/>
    <n v="38483.4"/>
    <n v="9.92"/>
    <n v="800"/>
  </r>
  <r>
    <s v="800_0.3_0.5_500_2.0_order_1"/>
    <x v="2"/>
    <n v="0.3"/>
    <n v="0.5"/>
    <n v="500"/>
    <n v="2"/>
    <n v="1"/>
    <x v="1"/>
    <n v="60998.8"/>
    <n v="24909.4"/>
    <n v="36089.4"/>
    <n v="240"/>
    <n v="0.08"/>
    <n v="20091.8"/>
    <n v="30593.1"/>
    <n v="50684.9"/>
    <n v="3044"/>
    <n v="1171.9000000000001"/>
    <n v="4215.8999999999996"/>
    <n v="10"/>
    <n v="0.01"/>
    <n v="1088.8"/>
    <n v="4132.8"/>
    <n v="0.09"/>
    <n v="220"/>
    <n v="54817.7"/>
    <n v="10.130000000000001"/>
    <n v="800"/>
  </r>
  <r>
    <s v="800_0.3_0.5_500_2.0_order_2"/>
    <x v="2"/>
    <n v="0.3"/>
    <n v="0.5"/>
    <n v="500"/>
    <n v="2"/>
    <n v="2"/>
    <x v="1"/>
    <n v="64804.6"/>
    <n v="25518.2"/>
    <n v="39286.400000000001"/>
    <n v="240"/>
    <n v="0.09"/>
    <n v="20624.599999999999"/>
    <n v="32492.2"/>
    <n v="53116.800000000003"/>
    <n v="2915.9"/>
    <n v="1243.5999999999999"/>
    <n v="4159.5"/>
    <n v="11.62"/>
    <n v="0.01"/>
    <n v="1105.4000000000001"/>
    <n v="4021.3"/>
    <n v="0.1"/>
    <n v="204"/>
    <n v="57138.1"/>
    <n v="11.83"/>
    <n v="800"/>
  </r>
  <r>
    <s v="800_0.3_0.5_500_2.0_order_3"/>
    <x v="2"/>
    <n v="0.3"/>
    <n v="0.5"/>
    <n v="500"/>
    <n v="2"/>
    <n v="3"/>
    <x v="1"/>
    <n v="63051.4"/>
    <n v="26785.9"/>
    <n v="36265.5"/>
    <n v="240"/>
    <n v="0.09"/>
    <n v="21480.6"/>
    <n v="30781"/>
    <n v="52261.599999999999"/>
    <n v="2982.2"/>
    <n v="1131.7"/>
    <n v="4113.8999999999996"/>
    <n v="10.59"/>
    <n v="0.01"/>
    <n v="1036.8"/>
    <n v="4019"/>
    <n v="0.1"/>
    <n v="210"/>
    <n v="56280.6"/>
    <n v="10.74"/>
    <n v="800"/>
  </r>
  <r>
    <s v="800_0.3_0.5_500_2.0_order_4"/>
    <x v="2"/>
    <n v="0.3"/>
    <n v="0.5"/>
    <n v="500"/>
    <n v="2"/>
    <n v="4"/>
    <x v="1"/>
    <n v="62455.6"/>
    <n v="24925.4"/>
    <n v="37530.199999999997"/>
    <n v="240"/>
    <n v="0.09"/>
    <n v="20314.599999999999"/>
    <n v="31863"/>
    <n v="52177.599999999999"/>
    <n v="2494.9"/>
    <n v="1152.8"/>
    <n v="3647.7"/>
    <n v="10.62"/>
    <n v="0.01"/>
    <n v="1002.3"/>
    <n v="3497.2"/>
    <n v="0.1"/>
    <n v="183"/>
    <n v="55674.8"/>
    <n v="10.86"/>
    <n v="800"/>
  </r>
  <r>
    <s v="800_0.3_0.5_500_2.0_order_5"/>
    <x v="2"/>
    <n v="0.3"/>
    <n v="0.5"/>
    <n v="500"/>
    <n v="2"/>
    <n v="5"/>
    <x v="1"/>
    <n v="63319.6"/>
    <n v="28112.7"/>
    <n v="35206.9"/>
    <n v="240"/>
    <n v="0.09"/>
    <n v="22302.5"/>
    <n v="29387.8"/>
    <n v="51690.3"/>
    <n v="3348.7"/>
    <n v="1190"/>
    <n v="4538.7"/>
    <n v="11.2"/>
    <n v="0.01"/>
    <n v="1062.8"/>
    <n v="4411.5"/>
    <n v="0.1"/>
    <n v="237"/>
    <n v="56101.8"/>
    <n v="11.4"/>
    <n v="800"/>
  </r>
  <r>
    <s v="800_0.3_0.5_500_3.0_order_1"/>
    <x v="2"/>
    <n v="0.3"/>
    <n v="0.5"/>
    <n v="500"/>
    <n v="3"/>
    <n v="1"/>
    <x v="1"/>
    <n v="76825.100000000006"/>
    <n v="32308.5"/>
    <n v="44516.6"/>
    <n v="240"/>
    <n v="0.14000000000000001"/>
    <n v="26848.7"/>
    <n v="38409.5"/>
    <n v="65258.2"/>
    <n v="2739.7"/>
    <n v="1147"/>
    <n v="3886.7"/>
    <n v="10"/>
    <n v="0.01"/>
    <n v="1074.0999999999999"/>
    <n v="3813.8"/>
    <n v="0.15"/>
    <n v="190"/>
    <n v="69072"/>
    <n v="10.09"/>
    <n v="800"/>
  </r>
  <r>
    <s v="800_0.3_0.5_500_3.0_order_2"/>
    <x v="2"/>
    <n v="0.3"/>
    <n v="0.5"/>
    <n v="500"/>
    <n v="3"/>
    <n v="2"/>
    <x v="1"/>
    <n v="79939"/>
    <n v="31659.1"/>
    <n v="48279.9"/>
    <n v="240"/>
    <n v="0.12"/>
    <n v="25971.200000000001"/>
    <n v="41024.199999999997"/>
    <n v="66995.399999999994"/>
    <n v="3192.4"/>
    <n v="1241.3"/>
    <n v="4433.7"/>
    <n v="10.65"/>
    <n v="0.02"/>
    <n v="1131.4000000000001"/>
    <n v="4323.8"/>
    <n v="0.14000000000000001"/>
    <n v="225"/>
    <n v="71319.199999999997"/>
    <n v="10.78"/>
    <n v="800"/>
  </r>
  <r>
    <s v="800_0.3_0.5_500_3.0_order_3"/>
    <x v="2"/>
    <n v="0.3"/>
    <n v="0.5"/>
    <n v="500"/>
    <n v="3"/>
    <n v="3"/>
    <x v="1"/>
    <n v="79677.899999999994"/>
    <n v="32024.3"/>
    <n v="47653.599999999999"/>
    <n v="240"/>
    <n v="0.11"/>
    <n v="26081.8"/>
    <n v="40863.199999999997"/>
    <n v="66945"/>
    <n v="2528.5"/>
    <n v="1109.5999999999999"/>
    <n v="3638.1"/>
    <n v="11.41"/>
    <n v="0.01"/>
    <n v="1046"/>
    <n v="3574.5"/>
    <n v="0.12"/>
    <n v="170"/>
    <n v="70519.5"/>
    <n v="11.49"/>
    <n v="800"/>
  </r>
  <r>
    <s v="800_0.3_0.5_500_3.0_order_4"/>
    <x v="2"/>
    <n v="0.3"/>
    <n v="0.5"/>
    <n v="500"/>
    <n v="3"/>
    <n v="4"/>
    <x v="1"/>
    <n v="78989.600000000006"/>
    <n v="31902.7"/>
    <n v="47086.9"/>
    <n v="240"/>
    <n v="0.13"/>
    <n v="26807.9"/>
    <n v="41234.9"/>
    <n v="68042.8"/>
    <n v="2489"/>
    <n v="1131.2"/>
    <n v="3620.2"/>
    <n v="9.2799999999999994"/>
    <n v="0.02"/>
    <n v="1014.4"/>
    <n v="3503.4"/>
    <n v="0.15"/>
    <n v="180"/>
    <n v="71546.2"/>
    <n v="9.42"/>
    <n v="800"/>
  </r>
  <r>
    <s v="800_0.3_0.5_500_3.0_order_5"/>
    <x v="2"/>
    <n v="0.3"/>
    <n v="0.5"/>
    <n v="500"/>
    <n v="3"/>
    <n v="5"/>
    <x v="1"/>
    <n v="80569.2"/>
    <n v="33784.800000000003"/>
    <n v="46784.4"/>
    <n v="240"/>
    <n v="0.13"/>
    <n v="27972.3"/>
    <n v="40374"/>
    <n v="68346.3"/>
    <n v="2813.7"/>
    <n v="1258.5"/>
    <n v="4072.2"/>
    <n v="10.119999999999999"/>
    <n v="0.02"/>
    <n v="1125.5"/>
    <n v="3939.2"/>
    <n v="0.15"/>
    <n v="198"/>
    <n v="72285.5"/>
    <n v="10.28"/>
    <n v="800"/>
  </r>
  <r>
    <s v="800_0.4_0.5_1000_1.0_order_1"/>
    <x v="2"/>
    <n v="0.4"/>
    <n v="0.5"/>
    <n v="1000"/>
    <n v="1"/>
    <n v="1"/>
    <x v="1"/>
    <n v="86875.5"/>
    <n v="35462.5"/>
    <n v="51413"/>
    <n v="240"/>
    <n v="7.0000000000000007E-2"/>
    <n v="26786.2"/>
    <n v="41443.300000000003"/>
    <n v="68229.5"/>
    <n v="3151"/>
    <n v="1421"/>
    <n v="4572"/>
    <n v="16.2"/>
    <n v="0.02"/>
    <n v="1329.8"/>
    <n v="4480.8"/>
    <n v="0.09"/>
    <n v="220"/>
    <n v="72710.3"/>
    <n v="16.309999999999999"/>
    <n v="800"/>
  </r>
  <r>
    <s v="800_0.4_0.5_1000_1.0_order_2"/>
    <x v="2"/>
    <n v="0.4"/>
    <n v="0.5"/>
    <n v="1000"/>
    <n v="1"/>
    <n v="2"/>
    <x v="1"/>
    <n v="87343.7"/>
    <n v="35450.300000000003"/>
    <n v="51893.4"/>
    <n v="240"/>
    <n v="0.08"/>
    <n v="25686.2"/>
    <n v="40896.800000000003"/>
    <n v="66583"/>
    <n v="3052.7"/>
    <n v="1461"/>
    <n v="4513.7"/>
    <n v="18.600000000000001"/>
    <n v="0.02"/>
    <n v="1361.7"/>
    <n v="4414.3999999999996"/>
    <n v="0.1"/>
    <n v="219"/>
    <n v="70997.399999999994"/>
    <n v="18.71"/>
    <n v="800"/>
  </r>
  <r>
    <s v="800_0.4_0.5_1000_1.0_order_3"/>
    <x v="2"/>
    <n v="0.4"/>
    <n v="0.5"/>
    <n v="1000"/>
    <n v="1"/>
    <n v="3"/>
    <x v="1"/>
    <n v="86584.4"/>
    <n v="35892.6"/>
    <n v="50691.8"/>
    <n v="240"/>
    <n v="7.0000000000000007E-2"/>
    <n v="26677"/>
    <n v="40483.5"/>
    <n v="67160.5"/>
    <n v="2809.3"/>
    <n v="1502.4"/>
    <n v="4311.7"/>
    <n v="17.45"/>
    <n v="0.02"/>
    <n v="1343.6"/>
    <n v="4152.8999999999996"/>
    <n v="0.09"/>
    <n v="200"/>
    <n v="71313.399999999994"/>
    <n v="17.64"/>
    <n v="800"/>
  </r>
  <r>
    <s v="800_0.4_0.5_1000_1.0_order_4"/>
    <x v="2"/>
    <n v="0.4"/>
    <n v="0.5"/>
    <n v="1000"/>
    <n v="1"/>
    <n v="4"/>
    <x v="1"/>
    <n v="84463.6"/>
    <n v="34051.300000000003"/>
    <n v="50412.3"/>
    <n v="240"/>
    <n v="7.0000000000000007E-2"/>
    <n v="24838.3"/>
    <n v="40300.6"/>
    <n v="65138.9"/>
    <n v="3233.8"/>
    <n v="1518.8"/>
    <n v="4752.6000000000004"/>
    <n v="17.25"/>
    <n v="0.02"/>
    <n v="1405.6"/>
    <n v="4639.3999999999996"/>
    <n v="0.09"/>
    <n v="234"/>
    <n v="69778.3"/>
    <n v="17.39"/>
    <n v="800"/>
  </r>
  <r>
    <s v="800_0.4_0.5_1000_1.0_order_5"/>
    <x v="2"/>
    <n v="0.4"/>
    <n v="0.5"/>
    <n v="1000"/>
    <n v="1"/>
    <n v="5"/>
    <x v="1"/>
    <n v="85389.5"/>
    <n v="35210.300000000003"/>
    <n v="50179.199999999997"/>
    <n v="240"/>
    <n v="7.0000000000000007E-2"/>
    <n v="26898.3"/>
    <n v="40485"/>
    <n v="67383.3"/>
    <n v="3121.2"/>
    <n v="1452.3"/>
    <n v="4573.5"/>
    <n v="15.73"/>
    <n v="0.02"/>
    <n v="1370.5"/>
    <n v="4491.7"/>
    <n v="0.09"/>
    <n v="224"/>
    <n v="71875"/>
    <n v="15.83"/>
    <n v="800"/>
  </r>
  <r>
    <s v="800_0.4_0.5_1000_2.0_order_1"/>
    <x v="2"/>
    <n v="0.4"/>
    <n v="0.5"/>
    <n v="1000"/>
    <n v="2"/>
    <n v="1"/>
    <x v="1"/>
    <n v="120010.4"/>
    <n v="50108.7"/>
    <n v="69901.7"/>
    <n v="240"/>
    <n v="0.15"/>
    <n v="39055.199999999997"/>
    <n v="57853.599999999999"/>
    <n v="96908.800000000003"/>
    <n v="3110.3"/>
    <n v="1450.4"/>
    <n v="4560.7"/>
    <n v="15.45"/>
    <n v="0.03"/>
    <n v="1342.5"/>
    <n v="4452.8"/>
    <n v="0.19"/>
    <n v="221"/>
    <n v="101361.60000000001"/>
    <n v="15.54"/>
    <n v="800"/>
  </r>
  <r>
    <s v="800_0.4_0.5_1000_2.0_order_2"/>
    <x v="2"/>
    <n v="0.4"/>
    <n v="0.5"/>
    <n v="1000"/>
    <n v="2"/>
    <n v="2"/>
    <x v="1"/>
    <n v="122422.7"/>
    <n v="49651.199999999997"/>
    <n v="72771.5"/>
    <n v="240"/>
    <n v="0.15"/>
    <n v="38895.599999999999"/>
    <n v="60709.599999999999"/>
    <n v="99605.2"/>
    <n v="3026.8"/>
    <n v="1454.2"/>
    <n v="4481"/>
    <n v="14.98"/>
    <n v="0.03"/>
    <n v="1339.4"/>
    <n v="4366.2"/>
    <n v="0.18"/>
    <n v="216"/>
    <n v="103971.4"/>
    <n v="15.07"/>
    <n v="800"/>
  </r>
  <r>
    <s v="800_0.4_0.5_1000_2.0_order_3"/>
    <x v="2"/>
    <n v="0.4"/>
    <n v="0.5"/>
    <n v="1000"/>
    <n v="2"/>
    <n v="3"/>
    <x v="1"/>
    <n v="121057.1"/>
    <n v="49231.7"/>
    <n v="71825.399999999994"/>
    <n v="240"/>
    <n v="0.14000000000000001"/>
    <n v="37897.300000000003"/>
    <n v="57756.7"/>
    <n v="95654"/>
    <n v="3059.5"/>
    <n v="1553.8"/>
    <n v="4613.3"/>
    <n v="17.170000000000002"/>
    <n v="0.02"/>
    <n v="1486.2"/>
    <n v="4545.7"/>
    <n v="0.17"/>
    <n v="221"/>
    <n v="100199.7"/>
    <n v="17.23"/>
    <n v="800"/>
  </r>
  <r>
    <s v="800_0.4_0.5_1000_2.0_order_4"/>
    <x v="2"/>
    <n v="0.4"/>
    <n v="0.5"/>
    <n v="1000"/>
    <n v="2"/>
    <n v="4"/>
    <x v="1"/>
    <n v="123447.4"/>
    <n v="51496.6"/>
    <n v="71950.8"/>
    <n v="240"/>
    <n v="0.15"/>
    <n v="39594.300000000003"/>
    <n v="58553.1"/>
    <n v="98147.4"/>
    <n v="3062.4"/>
    <n v="1615.4"/>
    <n v="4677.8"/>
    <n v="16.71"/>
    <n v="0.03"/>
    <n v="1501.4"/>
    <n v="4563.8"/>
    <n v="0.18"/>
    <n v="207"/>
    <n v="102711.2"/>
    <n v="16.8"/>
    <n v="800"/>
  </r>
  <r>
    <s v="800_0.4_0.5_1000_2.0_order_5"/>
    <x v="2"/>
    <n v="0.4"/>
    <n v="0.5"/>
    <n v="1000"/>
    <n v="2"/>
    <n v="5"/>
    <x v="1"/>
    <n v="120041.2"/>
    <n v="49650.400000000001"/>
    <n v="70390.8"/>
    <n v="240"/>
    <n v="0.15"/>
    <n v="37600.699999999997"/>
    <n v="57328.1"/>
    <n v="94928.8"/>
    <n v="3140"/>
    <n v="1493.2"/>
    <n v="4633.2"/>
    <n v="17.059999999999999"/>
    <n v="0.03"/>
    <n v="1393.9"/>
    <n v="4533.8999999999996"/>
    <n v="0.18"/>
    <n v="225"/>
    <n v="99462.7"/>
    <n v="17.14"/>
    <n v="800"/>
  </r>
  <r>
    <s v="800_0.4_0.5_1000_3.0_order_1"/>
    <x v="2"/>
    <n v="0.4"/>
    <n v="0.5"/>
    <n v="1000"/>
    <n v="3"/>
    <n v="1"/>
    <x v="1"/>
    <n v="146868"/>
    <n v="60175.9"/>
    <n v="86692.1"/>
    <n v="240"/>
    <n v="0.28000000000000003"/>
    <n v="48296.9"/>
    <n v="73599.5"/>
    <n v="121896.4"/>
    <n v="3114.4"/>
    <n v="1450.3"/>
    <n v="4564.7"/>
    <n v="13.89"/>
    <n v="0.03"/>
    <n v="1315.1"/>
    <n v="4429.5"/>
    <n v="0.3"/>
    <n v="217"/>
    <n v="126325.9"/>
    <n v="13.99"/>
    <n v="800"/>
  </r>
  <r>
    <s v="800_0.4_0.5_1000_3.0_order_2"/>
    <x v="2"/>
    <n v="0.4"/>
    <n v="0.5"/>
    <n v="1000"/>
    <n v="3"/>
    <n v="2"/>
    <x v="1"/>
    <n v="152324.6"/>
    <n v="62718.5"/>
    <n v="89606.1"/>
    <n v="240"/>
    <n v="0.21"/>
    <n v="48502.400000000001"/>
    <n v="72263.100000000006"/>
    <n v="120765.5"/>
    <n v="3258.6"/>
    <n v="1595.5"/>
    <n v="4854.1000000000004"/>
    <n v="17.53"/>
    <n v="0.03"/>
    <n v="1464.1"/>
    <n v="4722.7"/>
    <n v="0.25"/>
    <n v="224"/>
    <n v="125488.2"/>
    <n v="17.62"/>
    <n v="800"/>
  </r>
  <r>
    <s v="800_0.4_0.5_1000_3.0_order_3"/>
    <x v="2"/>
    <n v="0.4"/>
    <n v="0.5"/>
    <n v="1000"/>
    <n v="3"/>
    <n v="3"/>
    <x v="1"/>
    <n v="157468.70000000001"/>
    <n v="63259.3"/>
    <n v="94209.4"/>
    <n v="240"/>
    <n v="0.17"/>
    <n v="50308.7"/>
    <n v="77772.7"/>
    <n v="128081.4"/>
    <n v="3175.6"/>
    <n v="1488.1"/>
    <n v="4663.7"/>
    <n v="15.7"/>
    <n v="0.03"/>
    <n v="1432.4"/>
    <n v="4608"/>
    <n v="0.2"/>
    <n v="225"/>
    <n v="132689.4"/>
    <n v="15.74"/>
    <n v="800"/>
  </r>
  <r>
    <s v="800_0.4_0.5_1000_3.0_order_4"/>
    <x v="2"/>
    <n v="0.4"/>
    <n v="0.5"/>
    <n v="1000"/>
    <n v="3"/>
    <n v="4"/>
    <x v="1"/>
    <n v="153712.1"/>
    <n v="61756.6"/>
    <n v="91955.5"/>
    <n v="240"/>
    <n v="0.21"/>
    <n v="48874.5"/>
    <n v="77030.899999999994"/>
    <n v="125905.4"/>
    <n v="3201.9"/>
    <n v="1554.7"/>
    <n v="4756.6000000000004"/>
    <n v="15"/>
    <n v="0.03"/>
    <n v="1492.5"/>
    <n v="4694.3999999999996"/>
    <n v="0.24"/>
    <n v="222"/>
    <n v="130599.8"/>
    <n v="15.04"/>
    <n v="800"/>
  </r>
  <r>
    <s v="800_0.4_0.5_1000_3.0_order_5"/>
    <x v="2"/>
    <n v="0.4"/>
    <n v="0.5"/>
    <n v="1000"/>
    <n v="3"/>
    <n v="5"/>
    <x v="1"/>
    <n v="154868.70000000001"/>
    <n v="62106"/>
    <n v="92762.7"/>
    <n v="240"/>
    <n v="0.08"/>
    <n v="48758.3"/>
    <n v="76845.3"/>
    <n v="125603.6"/>
    <n v="3393.6"/>
    <n v="1416"/>
    <n v="4809.6000000000004"/>
    <n v="15.79"/>
    <n v="0.03"/>
    <n v="1411.8"/>
    <n v="4805.3999999999996"/>
    <n v="0.11"/>
    <n v="240"/>
    <n v="130409"/>
    <n v="15.79"/>
    <n v="800"/>
  </r>
  <r>
    <s v="800_0.4_0.5_2000_1.0_order_1"/>
    <x v="2"/>
    <n v="0.4"/>
    <n v="0.5"/>
    <n v="2000"/>
    <n v="1"/>
    <n v="1"/>
    <x v="1"/>
    <n v="170213.4"/>
    <n v="69005.2"/>
    <n v="101208.2"/>
    <n v="240"/>
    <n v="0.13"/>
    <n v="51779"/>
    <n v="81694"/>
    <n v="133473"/>
    <n v="3291.2"/>
    <n v="1557"/>
    <n v="4848.2"/>
    <n v="18.739999999999998"/>
    <n v="0.03"/>
    <n v="1440.1"/>
    <n v="4731.3"/>
    <n v="0.16"/>
    <n v="227"/>
    <n v="138204.29999999999"/>
    <n v="18.809999999999999"/>
    <n v="800"/>
  </r>
  <r>
    <s v="800_0.4_0.5_2000_1.0_order_2"/>
    <x v="2"/>
    <n v="0.4"/>
    <n v="0.5"/>
    <n v="2000"/>
    <n v="1"/>
    <n v="2"/>
    <x v="1"/>
    <n v="169988.2"/>
    <n v="70466.899999999994"/>
    <n v="99521.3"/>
    <n v="240"/>
    <n v="0.13"/>
    <n v="53508"/>
    <n v="82861.100000000006"/>
    <n v="136369.1"/>
    <n v="3277.6"/>
    <n v="1556.7"/>
    <n v="4834.3"/>
    <n v="16.93"/>
    <n v="0.03"/>
    <n v="1510.7"/>
    <n v="4788.3"/>
    <n v="0.15"/>
    <n v="226"/>
    <n v="141157.4"/>
    <n v="16.96"/>
    <n v="800"/>
  </r>
  <r>
    <s v="800_0.4_0.5_2000_1.0_order_3"/>
    <x v="2"/>
    <n v="0.4"/>
    <n v="0.5"/>
    <n v="2000"/>
    <n v="1"/>
    <n v="3"/>
    <x v="1"/>
    <n v="169951.6"/>
    <n v="69481.600000000006"/>
    <n v="100470"/>
    <n v="240"/>
    <n v="0.13"/>
    <n v="52756.5"/>
    <n v="82699.100000000006"/>
    <n v="135455.6"/>
    <n v="3165.6"/>
    <n v="1498.1"/>
    <n v="4663.7"/>
    <n v="17.55"/>
    <n v="0.03"/>
    <n v="1446.8"/>
    <n v="4612.3999999999996"/>
    <n v="0.15"/>
    <n v="222"/>
    <n v="140068"/>
    <n v="17.579999999999998"/>
    <n v="800"/>
  </r>
  <r>
    <s v="800_0.4_0.5_2000_1.0_order_4"/>
    <x v="2"/>
    <n v="0.4"/>
    <n v="0.5"/>
    <n v="2000"/>
    <n v="1"/>
    <n v="4"/>
    <x v="1"/>
    <n v="165701.20000000001"/>
    <n v="67770.8"/>
    <n v="97930.4"/>
    <n v="240"/>
    <n v="0.13"/>
    <n v="52755.4"/>
    <n v="81195.899999999994"/>
    <n v="133951.29999999999"/>
    <n v="2903"/>
    <n v="1414.9"/>
    <n v="4317.8999999999996"/>
    <n v="16.559999999999999"/>
    <n v="0.02"/>
    <n v="1353.8"/>
    <n v="4256.8"/>
    <n v="0.15"/>
    <n v="208"/>
    <n v="138208.1"/>
    <n v="16.59"/>
    <n v="800"/>
  </r>
  <r>
    <s v="800_0.4_0.5_2000_1.0_order_5"/>
    <x v="2"/>
    <n v="0.4"/>
    <n v="0.5"/>
    <n v="2000"/>
    <n v="1"/>
    <n v="5"/>
    <x v="1"/>
    <n v="168020"/>
    <n v="71133"/>
    <n v="96887"/>
    <n v="240"/>
    <n v="0.11"/>
    <n v="52203.1"/>
    <n v="79276.800000000003"/>
    <n v="131479.9"/>
    <n v="3105.3"/>
    <n v="1465.8"/>
    <n v="4571.1000000000004"/>
    <n v="19.03"/>
    <n v="0.03"/>
    <n v="1424.1"/>
    <n v="4529.3999999999996"/>
    <n v="0.14000000000000001"/>
    <n v="221"/>
    <n v="136009.29999999999"/>
    <n v="19.05"/>
    <n v="800"/>
  </r>
  <r>
    <s v="800_0.4_0.5_2000_2.0_order_1"/>
    <x v="2"/>
    <n v="0.4"/>
    <n v="0.5"/>
    <n v="2000"/>
    <n v="2"/>
    <n v="1"/>
    <x v="1"/>
    <n v="250362.9"/>
    <n v="98155.4"/>
    <n v="152207.5"/>
    <n v="240"/>
    <n v="0.32"/>
    <n v="76599"/>
    <n v="124852.4"/>
    <n v="201451.4"/>
    <n v="3240.4"/>
    <n v="1496.6"/>
    <n v="4737"/>
    <n v="17.64"/>
    <n v="0.03"/>
    <n v="1450"/>
    <n v="4690.3999999999996"/>
    <n v="0.34"/>
    <n v="225"/>
    <n v="206141.8"/>
    <n v="17.66"/>
    <n v="800"/>
  </r>
  <r>
    <s v="800_0.4_0.5_2000_2.0_order_2"/>
    <x v="2"/>
    <n v="0.4"/>
    <n v="0.5"/>
    <n v="2000"/>
    <n v="2"/>
    <n v="2"/>
    <x v="1"/>
    <n v="250230.39999999999"/>
    <n v="100944"/>
    <n v="149286.39999999999"/>
    <n v="240"/>
    <n v="0.31"/>
    <n v="78409.399999999994"/>
    <n v="122687.8"/>
    <n v="201097.2"/>
    <n v="3176.6"/>
    <n v="1584"/>
    <n v="4760.6000000000004"/>
    <n v="17.73"/>
    <n v="0.03"/>
    <n v="1531"/>
    <n v="4707.6000000000004"/>
    <n v="0.34"/>
    <n v="224"/>
    <n v="205804.79999999999"/>
    <n v="17.75"/>
    <n v="800"/>
  </r>
  <r>
    <s v="800_0.4_0.5_2000_2.0_order_3"/>
    <x v="2"/>
    <n v="0.4"/>
    <n v="0.5"/>
    <n v="2000"/>
    <n v="2"/>
    <n v="3"/>
    <x v="1"/>
    <n v="247828"/>
    <n v="100347.6"/>
    <n v="147480.4"/>
    <n v="240"/>
    <n v="0.34"/>
    <n v="79895.100000000006"/>
    <n v="121078.7"/>
    <n v="200973.8"/>
    <n v="2943.5"/>
    <n v="1435.1"/>
    <n v="4378.6000000000004"/>
    <n v="17.14"/>
    <n v="0.03"/>
    <n v="1294.4000000000001"/>
    <n v="4237.8999999999996"/>
    <n v="0.37"/>
    <n v="206"/>
    <n v="205211.7"/>
    <n v="17.2"/>
    <n v="800"/>
  </r>
  <r>
    <s v="800_0.4_0.5_2000_2.0_order_4"/>
    <x v="2"/>
    <n v="0.4"/>
    <n v="0.5"/>
    <n v="2000"/>
    <n v="2"/>
    <n v="4"/>
    <x v="1"/>
    <n v="251946.4"/>
    <n v="102935.6"/>
    <n v="149010.79999999999"/>
    <n v="240"/>
    <n v="0.32"/>
    <n v="78954.899999999994"/>
    <n v="121139.9"/>
    <n v="200094.8"/>
    <n v="3267.8"/>
    <n v="1524.8"/>
    <n v="4792.6000000000004"/>
    <n v="18.68"/>
    <n v="0.03"/>
    <n v="1462.7"/>
    <n v="4730.5"/>
    <n v="0.35"/>
    <n v="221"/>
    <n v="204825.3"/>
    <n v="18.7"/>
    <n v="800"/>
  </r>
  <r>
    <s v="800_0.4_0.5_2000_2.0_order_5"/>
    <x v="2"/>
    <n v="0.4"/>
    <n v="0.5"/>
    <n v="2000"/>
    <n v="2"/>
    <n v="5"/>
    <x v="1"/>
    <n v="245726.4"/>
    <n v="101268.2"/>
    <n v="144458.20000000001"/>
    <n v="240"/>
    <n v="0.3"/>
    <n v="78779.199999999997"/>
    <n v="119140.1"/>
    <n v="197919.3"/>
    <n v="3259.5"/>
    <n v="1581.3"/>
    <n v="4840.8"/>
    <n v="17.489999999999998"/>
    <n v="0.03"/>
    <n v="1467"/>
    <n v="4726.5"/>
    <n v="0.33"/>
    <n v="224"/>
    <n v="202645.8"/>
    <n v="17.53"/>
    <n v="800"/>
  </r>
  <r>
    <s v="800_0.4_0.5_2000_3.0_order_1"/>
    <x v="2"/>
    <n v="0.4"/>
    <n v="0.5"/>
    <n v="2000"/>
    <n v="3"/>
    <n v="1"/>
    <x v="1"/>
    <n v="311641.90000000002"/>
    <n v="130002.5"/>
    <n v="181639.4"/>
    <n v="240"/>
    <n v="0.42"/>
    <n v="103114.3"/>
    <n v="149757.70000000001"/>
    <n v="252872"/>
    <n v="3144.6"/>
    <n v="1606.9"/>
    <n v="4751.5"/>
    <n v="17.329999999999998"/>
    <n v="0.03"/>
    <n v="1507.3"/>
    <n v="4651.8999999999996"/>
    <n v="0.45"/>
    <n v="217"/>
    <n v="257523.9"/>
    <n v="17.37"/>
    <n v="800"/>
  </r>
  <r>
    <s v="800_0.4_0.5_2000_3.0_order_2"/>
    <x v="2"/>
    <n v="0.4"/>
    <n v="0.5"/>
    <n v="2000"/>
    <n v="3"/>
    <n v="2"/>
    <x v="1"/>
    <n v="305552.90000000002"/>
    <n v="126112.6"/>
    <n v="179440.3"/>
    <n v="240"/>
    <n v="0.19"/>
    <n v="97196.1"/>
    <n v="147142.5"/>
    <n v="244338.6"/>
    <n v="3164.8"/>
    <n v="1603.9"/>
    <n v="4768.7"/>
    <n v="18.47"/>
    <n v="0.03"/>
    <n v="1518.4"/>
    <n v="4683.2"/>
    <n v="0.22"/>
    <n v="227"/>
    <n v="249021.8"/>
    <n v="18.5"/>
    <n v="800"/>
  </r>
  <r>
    <s v="800_0.4_0.5_2000_3.0_order_3"/>
    <x v="2"/>
    <n v="0.4"/>
    <n v="0.5"/>
    <n v="2000"/>
    <n v="3"/>
    <n v="3"/>
    <x v="1"/>
    <n v="303425.09999999998"/>
    <n v="122185.60000000001"/>
    <n v="181239.5"/>
    <n v="240"/>
    <n v="0.17"/>
    <n v="98229.4"/>
    <n v="152908.20000000001"/>
    <n v="251137.6"/>
    <n v="3286.9"/>
    <n v="1452.3"/>
    <n v="4739.2"/>
    <n v="15.67"/>
    <n v="0.03"/>
    <n v="1449.5"/>
    <n v="4736.3999999999996"/>
    <n v="0.21"/>
    <n v="229"/>
    <n v="255874"/>
    <n v="15.67"/>
    <n v="800"/>
  </r>
  <r>
    <s v="800_0.4_0.5_2000_3.0_order_4"/>
    <x v="2"/>
    <n v="0.4"/>
    <n v="0.5"/>
    <n v="2000"/>
    <n v="3"/>
    <n v="4"/>
    <x v="1"/>
    <n v="313216.59999999998"/>
    <n v="131697"/>
    <n v="181519.6"/>
    <n v="240"/>
    <n v="0.33"/>
    <n v="104973.2"/>
    <n v="152114.70000000001"/>
    <n v="257087.9"/>
    <n v="3430.4"/>
    <n v="1555.1"/>
    <n v="4985.5"/>
    <n v="16.329999999999998"/>
    <n v="0.03"/>
    <n v="1534.7"/>
    <n v="4965.1000000000004"/>
    <n v="0.35"/>
    <n v="232"/>
    <n v="262053"/>
    <n v="16.329999999999998"/>
    <n v="800"/>
  </r>
  <r>
    <s v="800_0.4_0.5_2000_3.0_order_5"/>
    <x v="2"/>
    <n v="0.4"/>
    <n v="0.5"/>
    <n v="2000"/>
    <n v="3"/>
    <n v="5"/>
    <x v="1"/>
    <n v="303871.5"/>
    <n v="126862.1"/>
    <n v="177009.4"/>
    <n v="240"/>
    <n v="0.2"/>
    <n v="99999.3"/>
    <n v="145735.20000000001"/>
    <n v="245734.5"/>
    <n v="3331"/>
    <n v="1631.1"/>
    <n v="4962.1000000000004"/>
    <n v="17.5"/>
    <n v="0.03"/>
    <n v="1513.8"/>
    <n v="4844.8"/>
    <n v="0.23"/>
    <n v="223"/>
    <n v="250579.3"/>
    <n v="17.54"/>
    <n v="800"/>
  </r>
  <r>
    <s v="800_0.4_0.5_500_1.0_order_1"/>
    <x v="2"/>
    <n v="0.4"/>
    <n v="0.5"/>
    <n v="500"/>
    <n v="1"/>
    <n v="1"/>
    <x v="1"/>
    <n v="40837.5"/>
    <n v="17869.3"/>
    <n v="22968.2"/>
    <n v="240"/>
    <n v="0.04"/>
    <n v="12617.2"/>
    <n v="17844.400000000001"/>
    <n v="30461.599999999999"/>
    <n v="3383"/>
    <n v="1444.9"/>
    <n v="4827.8999999999996"/>
    <n v="13.59"/>
    <n v="0.02"/>
    <n v="1346.6"/>
    <n v="4729.6000000000004"/>
    <n v="0.06"/>
    <n v="228"/>
    <n v="35191.199999999997"/>
    <n v="13.83"/>
    <n v="800"/>
  </r>
  <r>
    <s v="800_0.4_0.5_500_1.0_order_2"/>
    <x v="2"/>
    <n v="0.4"/>
    <n v="0.5"/>
    <n v="500"/>
    <n v="1"/>
    <n v="2"/>
    <x v="1"/>
    <n v="42627.6"/>
    <n v="17237.8"/>
    <n v="25389.8"/>
    <n v="240"/>
    <n v="0.04"/>
    <n v="12369.2"/>
    <n v="19868.5"/>
    <n v="32237.7"/>
    <n v="3004.6"/>
    <n v="1386.1"/>
    <n v="4390.7"/>
    <n v="14.07"/>
    <n v="0.02"/>
    <n v="1245.4000000000001"/>
    <n v="4250"/>
    <n v="0.06"/>
    <n v="204"/>
    <n v="36487.699999999997"/>
    <n v="14.4"/>
    <n v="800"/>
  </r>
  <r>
    <s v="800_0.4_0.5_500_1.0_order_3"/>
    <x v="2"/>
    <n v="0.4"/>
    <n v="0.5"/>
    <n v="500"/>
    <n v="1"/>
    <n v="3"/>
    <x v="1"/>
    <n v="43861.8"/>
    <n v="17522.599999999999"/>
    <n v="26339.200000000001"/>
    <n v="240"/>
    <n v="0.05"/>
    <n v="12567.3"/>
    <n v="19865"/>
    <n v="32432.3"/>
    <n v="3209.5"/>
    <n v="1407"/>
    <n v="4616.5"/>
    <n v="15.53"/>
    <n v="0.03"/>
    <n v="1318.4"/>
    <n v="4527.8999999999996"/>
    <n v="7.0000000000000007E-2"/>
    <n v="227"/>
    <n v="36960.199999999997"/>
    <n v="15.73"/>
    <n v="800"/>
  </r>
  <r>
    <s v="800_0.4_0.5_500_1.0_order_4"/>
    <x v="2"/>
    <n v="0.4"/>
    <n v="0.5"/>
    <n v="500"/>
    <n v="1"/>
    <n v="4"/>
    <x v="1"/>
    <n v="41801.800000000003"/>
    <n v="16903"/>
    <n v="24898.799999999999"/>
    <n v="240"/>
    <n v="0.05"/>
    <n v="12593.1"/>
    <n v="19872.900000000001"/>
    <n v="32466"/>
    <n v="2611.1999999999998"/>
    <n v="1216.3"/>
    <n v="3827.5"/>
    <n v="13.18"/>
    <n v="0.01"/>
    <n v="1144.5999999999999"/>
    <n v="3755.8"/>
    <n v="0.06"/>
    <n v="183"/>
    <n v="36221.800000000003"/>
    <n v="13.35"/>
    <n v="800"/>
  </r>
  <r>
    <s v="800_0.4_0.5_500_1.0_order_5"/>
    <x v="2"/>
    <n v="0.4"/>
    <n v="0.5"/>
    <n v="500"/>
    <n v="1"/>
    <n v="5"/>
    <x v="1"/>
    <n v="42102.1"/>
    <n v="17936.900000000001"/>
    <n v="24165.200000000001"/>
    <n v="240"/>
    <n v="0.05"/>
    <n v="12631.1"/>
    <n v="18883.3"/>
    <n v="31514.400000000001"/>
    <n v="3161.5"/>
    <n v="1382.5"/>
    <n v="4544"/>
    <n v="14.35"/>
    <n v="0.02"/>
    <n v="1327.9"/>
    <n v="4489.3999999999996"/>
    <n v="7.0000000000000007E-2"/>
    <n v="224"/>
    <n v="36003.800000000003"/>
    <n v="14.48"/>
    <n v="800"/>
  </r>
  <r>
    <s v="800_0.4_0.5_500_2.0_order_1"/>
    <x v="2"/>
    <n v="0.4"/>
    <n v="0.5"/>
    <n v="500"/>
    <n v="2"/>
    <n v="1"/>
    <x v="1"/>
    <n v="62386"/>
    <n v="25311.5"/>
    <n v="37074.5"/>
    <n v="240"/>
    <n v="0.09"/>
    <n v="19532.5"/>
    <n v="29769.7"/>
    <n v="49302.2"/>
    <n v="3081.1"/>
    <n v="1389.6"/>
    <n v="4470.7"/>
    <n v="13.81"/>
    <n v="0.02"/>
    <n v="1287.4000000000001"/>
    <n v="4368.5"/>
    <n v="0.11"/>
    <n v="227"/>
    <n v="53670.7"/>
    <n v="13.97"/>
    <n v="800"/>
  </r>
  <r>
    <s v="800_0.4_0.5_500_2.0_order_2"/>
    <x v="2"/>
    <n v="0.4"/>
    <n v="0.5"/>
    <n v="500"/>
    <n v="2"/>
    <n v="2"/>
    <x v="1"/>
    <n v="62963.7"/>
    <n v="25003.3"/>
    <n v="37960.400000000001"/>
    <n v="240"/>
    <n v="7.0000000000000007E-2"/>
    <n v="18443.5"/>
    <n v="29976.9"/>
    <n v="48420.4"/>
    <n v="3260"/>
    <n v="1425.2"/>
    <n v="4685.2"/>
    <n v="15.66"/>
    <n v="0.02"/>
    <n v="1343.6"/>
    <n v="4603.6000000000004"/>
    <n v="0.09"/>
    <n v="225"/>
    <n v="53024"/>
    <n v="15.79"/>
    <n v="800"/>
  </r>
  <r>
    <s v="800_0.4_0.5_500_2.0_order_3"/>
    <x v="2"/>
    <n v="0.4"/>
    <n v="0.5"/>
    <n v="500"/>
    <n v="2"/>
    <n v="3"/>
    <x v="1"/>
    <n v="63392.6"/>
    <n v="24930.6"/>
    <n v="38462"/>
    <n v="240"/>
    <n v="7.0000000000000007E-2"/>
    <n v="19279.2"/>
    <n v="30905.9"/>
    <n v="50185.1"/>
    <n v="3010.9"/>
    <n v="1466.9"/>
    <n v="4477.8"/>
    <n v="13.77"/>
    <n v="0.02"/>
    <n v="1355"/>
    <n v="4365.8999999999996"/>
    <n v="0.09"/>
    <n v="212"/>
    <n v="54551"/>
    <n v="13.95"/>
    <n v="800"/>
  </r>
  <r>
    <s v="800_0.4_0.5_500_2.0_order_4"/>
    <x v="2"/>
    <n v="0.4"/>
    <n v="0.5"/>
    <n v="500"/>
    <n v="2"/>
    <n v="4"/>
    <x v="1"/>
    <n v="62566.6"/>
    <n v="25917.8"/>
    <n v="36648.800000000003"/>
    <n v="240"/>
    <n v="0.08"/>
    <n v="19416.7"/>
    <n v="29152.9"/>
    <n v="48569.599999999999"/>
    <n v="3319.9"/>
    <n v="1454.1"/>
    <n v="4774"/>
    <n v="14.74"/>
    <n v="0.02"/>
    <n v="1381.3"/>
    <n v="4701.2"/>
    <n v="0.1"/>
    <n v="231"/>
    <n v="53270.8"/>
    <n v="14.86"/>
    <n v="800"/>
  </r>
  <r>
    <s v="800_0.4_0.5_500_2.0_order_5"/>
    <x v="2"/>
    <n v="0.4"/>
    <n v="0.5"/>
    <n v="500"/>
    <n v="2"/>
    <n v="5"/>
    <x v="1"/>
    <n v="60912.1"/>
    <n v="25149.8"/>
    <n v="35762.300000000003"/>
    <n v="240"/>
    <n v="0.08"/>
    <n v="19384.7"/>
    <n v="27851.8"/>
    <n v="47236.5"/>
    <n v="3044"/>
    <n v="1417.4"/>
    <n v="4461.3999999999996"/>
    <n v="15.13"/>
    <n v="0.02"/>
    <n v="1288.5"/>
    <n v="4332.5"/>
    <n v="0.1"/>
    <n v="219"/>
    <n v="51569"/>
    <n v="15.34"/>
    <n v="800"/>
  </r>
  <r>
    <s v="800_0.4_0.5_500_3.0_order_1"/>
    <x v="2"/>
    <n v="0.4"/>
    <n v="0.5"/>
    <n v="500"/>
    <n v="3"/>
    <n v="1"/>
    <x v="1"/>
    <n v="78190.600000000006"/>
    <n v="31020.5"/>
    <n v="47170.1"/>
    <n v="240"/>
    <n v="0.12"/>
    <n v="24014"/>
    <n v="38447.800000000003"/>
    <n v="62461.8"/>
    <n v="3110"/>
    <n v="1471.9"/>
    <n v="4581.8999999999996"/>
    <n v="14.26"/>
    <n v="0.02"/>
    <n v="1419"/>
    <n v="4529"/>
    <n v="0.14000000000000001"/>
    <n v="216"/>
    <n v="66990.8"/>
    <n v="14.32"/>
    <n v="800"/>
  </r>
  <r>
    <s v="800_0.4_0.5_500_3.0_order_2"/>
    <x v="2"/>
    <n v="0.4"/>
    <n v="0.5"/>
    <n v="500"/>
    <n v="3"/>
    <n v="2"/>
    <x v="1"/>
    <n v="78179.5"/>
    <n v="31302.5"/>
    <n v="46877"/>
    <n v="240"/>
    <n v="0.15"/>
    <n v="24836.2"/>
    <n v="37944.1"/>
    <n v="62780.3"/>
    <n v="3126.9"/>
    <n v="1447.4"/>
    <n v="4574.3"/>
    <n v="13.85"/>
    <n v="0.02"/>
    <n v="1341.1"/>
    <n v="4468"/>
    <n v="0.17"/>
    <n v="217"/>
    <n v="67248.3"/>
    <n v="13.98"/>
    <n v="800"/>
  </r>
  <r>
    <s v="800_0.4_0.5_500_3.0_order_3"/>
    <x v="2"/>
    <n v="0.4"/>
    <n v="0.5"/>
    <n v="500"/>
    <n v="3"/>
    <n v="3"/>
    <x v="1"/>
    <n v="78884.100000000006"/>
    <n v="31125.200000000001"/>
    <n v="47758.9"/>
    <n v="240"/>
    <n v="0.11"/>
    <n v="24200.9"/>
    <n v="38511.599999999999"/>
    <n v="62712.5"/>
    <n v="2941"/>
    <n v="1400.3"/>
    <n v="4341.3"/>
    <n v="15"/>
    <n v="0.02"/>
    <n v="1306"/>
    <n v="4247"/>
    <n v="0.13"/>
    <n v="204"/>
    <n v="66959.5"/>
    <n v="15.12"/>
    <n v="800"/>
  </r>
  <r>
    <s v="800_0.4_0.5_500_3.0_order_4"/>
    <x v="2"/>
    <n v="0.4"/>
    <n v="0.5"/>
    <n v="500"/>
    <n v="3"/>
    <n v="4"/>
    <x v="1"/>
    <n v="79111"/>
    <n v="30679.1"/>
    <n v="48431.9"/>
    <n v="240"/>
    <n v="0.14000000000000001"/>
    <n v="23826.6"/>
    <n v="39656"/>
    <n v="63482.6"/>
    <n v="2895.8"/>
    <n v="1510.9"/>
    <n v="4406.7"/>
    <n v="14.18"/>
    <n v="0.03"/>
    <n v="1401.7"/>
    <n v="4297.5"/>
    <n v="0.16"/>
    <n v="221"/>
    <n v="67780.100000000006"/>
    <n v="14.32"/>
    <n v="800"/>
  </r>
  <r>
    <s v="800_0.4_0.5_500_3.0_order_5"/>
    <x v="2"/>
    <n v="0.4"/>
    <n v="0.5"/>
    <n v="500"/>
    <n v="3"/>
    <n v="5"/>
    <x v="1"/>
    <n v="75341"/>
    <n v="31353.200000000001"/>
    <n v="43987.8"/>
    <n v="240"/>
    <n v="0.11"/>
    <n v="24029.1"/>
    <n v="36269.300000000003"/>
    <n v="60298.400000000001"/>
    <n v="2845.6"/>
    <n v="1378.9"/>
    <n v="4224.5"/>
    <n v="14.36"/>
    <n v="0.02"/>
    <n v="1274.2"/>
    <n v="4119.8"/>
    <n v="0.13"/>
    <n v="205"/>
    <n v="64418.2"/>
    <n v="14.5"/>
    <n v="800"/>
  </r>
  <r>
    <s v="8000_0.2_0.5_1000_1.0_order_1"/>
    <x v="3"/>
    <n v="0.2"/>
    <n v="0.5"/>
    <n v="1000"/>
    <n v="1"/>
    <n v="1"/>
    <x v="1"/>
    <n v="284028.3"/>
    <n v="113604.7"/>
    <n v="170423.6"/>
    <n v="2400"/>
    <n v="3.85"/>
    <n v="100241.60000000001"/>
    <n v="151503.29999999999"/>
    <n v="251744.9"/>
    <n v="16294.2"/>
    <n v="3174.8"/>
    <n v="19469"/>
    <n v="4.51"/>
    <n v="0"/>
    <n v="3023.3"/>
    <n v="19317.5"/>
    <n v="3.85"/>
    <n v="321"/>
    <n v="271062.40000000002"/>
    <n v="4.57"/>
    <n v="8000"/>
  </r>
  <r>
    <s v="8000_0.2_0.5_1000_1.0_order_2"/>
    <x v="3"/>
    <n v="0.2"/>
    <n v="0.5"/>
    <n v="1000"/>
    <n v="1"/>
    <n v="2"/>
    <x v="1"/>
    <n v="287896"/>
    <n v="114328.4"/>
    <n v="173567.6"/>
    <n v="2400"/>
    <n v="4"/>
    <n v="98885.5"/>
    <n v="151103.1"/>
    <n v="249988.6"/>
    <n v="20793.5"/>
    <n v="4069.3"/>
    <n v="24862.799999999999"/>
    <n v="4.53"/>
    <n v="0"/>
    <n v="3870.1"/>
    <n v="24663.599999999999"/>
    <n v="4.01"/>
    <n v="419"/>
    <n v="274652.2"/>
    <n v="4.5999999999999996"/>
    <n v="8000"/>
  </r>
  <r>
    <s v="8000_0.2_0.5_1000_1.0_order_3"/>
    <x v="3"/>
    <n v="0.2"/>
    <n v="0.5"/>
    <n v="1000"/>
    <n v="1"/>
    <n v="3"/>
    <x v="1"/>
    <n v="300995"/>
    <n v="115406.7"/>
    <n v="185588.3"/>
    <n v="2400"/>
    <n v="3.93"/>
    <n v="96330.1"/>
    <n v="157305.5"/>
    <n v="253635.6"/>
    <n v="26471.200000000001"/>
    <n v="5303.1"/>
    <n v="31774.3"/>
    <n v="5.18"/>
    <n v="0.01"/>
    <n v="4825"/>
    <n v="31296.2"/>
    <n v="3.94"/>
    <n v="570"/>
    <n v="284931.8"/>
    <n v="5.34"/>
    <n v="8000"/>
  </r>
  <r>
    <s v="8000_0.2_0.5_1000_1.0_order_4"/>
    <x v="3"/>
    <n v="0.2"/>
    <n v="0.5"/>
    <n v="1000"/>
    <n v="1"/>
    <n v="4"/>
    <x v="1"/>
    <n v="281856.2"/>
    <n v="115121.2"/>
    <n v="166735"/>
    <n v="2400"/>
    <n v="3.96"/>
    <n v="98505.2"/>
    <n v="146555.9"/>
    <n v="245061.1"/>
    <n v="21335.5"/>
    <n v="4271.1000000000004"/>
    <n v="25606.6"/>
    <n v="3.97"/>
    <n v="0"/>
    <n v="4088.9"/>
    <n v="25424.400000000001"/>
    <n v="3.96"/>
    <n v="412"/>
    <n v="270485.5"/>
    <n v="4.03"/>
    <n v="8000"/>
  </r>
  <r>
    <s v="8000_0.2_0.5_1000_1.0_order_5"/>
    <x v="3"/>
    <n v="0.2"/>
    <n v="0.5"/>
    <n v="1000"/>
    <n v="1"/>
    <n v="5"/>
    <x v="1"/>
    <n v="290451.90000000002"/>
    <n v="115475.8"/>
    <n v="174976.1"/>
    <n v="2400"/>
    <n v="3.65"/>
    <n v="101103.8"/>
    <n v="156956.20000000001"/>
    <n v="258060"/>
    <n v="17469.7"/>
    <n v="3434.5"/>
    <n v="20904.2"/>
    <n v="3.96"/>
    <n v="0"/>
    <n v="3338.4"/>
    <n v="20808.099999999999"/>
    <n v="3.65"/>
    <n v="323"/>
    <n v="278868.09999999998"/>
    <n v="3.99"/>
    <n v="8000"/>
  </r>
  <r>
    <s v="8000_0.2_0.5_1000_2.0_order_1"/>
    <x v="3"/>
    <n v="0.2"/>
    <n v="0.5"/>
    <n v="1000"/>
    <n v="2"/>
    <n v="1"/>
    <x v="1"/>
    <n v="451665.2"/>
    <n v="173512.3"/>
    <n v="278152.90000000002"/>
    <n v="2400"/>
    <n v="4.49"/>
    <n v="137569.4"/>
    <n v="227231.8"/>
    <n v="364801.2"/>
    <n v="55423.1"/>
    <n v="12490.9"/>
    <n v="67914"/>
    <n v="4.2"/>
    <n v="0.11"/>
    <n v="11535.4"/>
    <n v="66958.5"/>
    <n v="4.5999999999999996"/>
    <n v="1222"/>
    <n v="431759.7"/>
    <n v="4.41"/>
    <n v="8000"/>
  </r>
  <r>
    <s v="8000_0.2_0.5_1000_2.0_order_2"/>
    <x v="3"/>
    <n v="0.2"/>
    <n v="0.5"/>
    <n v="1000"/>
    <n v="2"/>
    <n v="2"/>
    <x v="1"/>
    <n v="440100.8"/>
    <n v="164654.6"/>
    <n v="275446.2"/>
    <n v="2400"/>
    <n v="4.2699999999999996"/>
    <n v="135393.5"/>
    <n v="229980.4"/>
    <n v="365373.9"/>
    <n v="41525.1"/>
    <n v="9663.2000000000007"/>
    <n v="51188.3"/>
    <n v="5.35"/>
    <n v="0.03"/>
    <n v="8931.9"/>
    <n v="50457"/>
    <n v="4.3"/>
    <n v="877"/>
    <n v="415830.9"/>
    <n v="5.51"/>
    <n v="8000"/>
  </r>
  <r>
    <s v="8000_0.2_0.5_1000_2.0_order_3"/>
    <x v="3"/>
    <n v="0.2"/>
    <n v="0.5"/>
    <n v="1000"/>
    <n v="2"/>
    <n v="3"/>
    <x v="1"/>
    <n v="437246.5"/>
    <n v="162976.70000000001"/>
    <n v="274269.8"/>
    <n v="2400"/>
    <n v="4.25"/>
    <n v="149572.79999999999"/>
    <n v="252890.2"/>
    <n v="402463"/>
    <n v="14000.8"/>
    <n v="3522"/>
    <n v="17522.8"/>
    <n v="3.95"/>
    <n v="0"/>
    <n v="3186.8"/>
    <n v="17187.599999999999"/>
    <n v="4.26"/>
    <n v="314"/>
    <n v="419650.6"/>
    <n v="4.0199999999999996"/>
    <n v="8000"/>
  </r>
  <r>
    <s v="8000_0.2_0.5_1000_2.0_order_4"/>
    <x v="3"/>
    <n v="0.2"/>
    <n v="0.5"/>
    <n v="1000"/>
    <n v="2"/>
    <n v="4"/>
    <x v="1"/>
    <n v="456550.1"/>
    <n v="164153.29999999999"/>
    <n v="292396.79999999999"/>
    <n v="2400"/>
    <n v="4.3600000000000003"/>
    <n v="150421.79999999999"/>
    <n v="270798.40000000002"/>
    <n v="421220.2"/>
    <n v="16198.9"/>
    <n v="4144.2"/>
    <n v="20343.099999999999"/>
    <n v="3.28"/>
    <n v="0.01"/>
    <n v="3711"/>
    <n v="19909.900000000001"/>
    <n v="4.3600000000000003"/>
    <n v="362"/>
    <n v="441130.1"/>
    <n v="3.38"/>
    <n v="8000"/>
  </r>
  <r>
    <s v="8000_0.2_0.5_1000_2.0_order_5"/>
    <x v="3"/>
    <n v="0.2"/>
    <n v="0.5"/>
    <n v="1000"/>
    <n v="2"/>
    <n v="5"/>
    <x v="1"/>
    <n v="457523.20000000001"/>
    <n v="176183.7"/>
    <n v="281339.5"/>
    <n v="2400"/>
    <n v="3.97"/>
    <n v="144516"/>
    <n v="234898.4"/>
    <n v="379414.4"/>
    <n v="45807.4"/>
    <n v="11219.4"/>
    <n v="57026.8"/>
    <n v="4.6100000000000003"/>
    <n v="7.0000000000000007E-2"/>
    <n v="10367.799999999999"/>
    <n v="56175.199999999997"/>
    <n v="4.05"/>
    <n v="980"/>
    <n v="435589.6"/>
    <n v="4.79"/>
    <n v="8000"/>
  </r>
  <r>
    <s v="8000_0.2_0.5_1000_3.0_order_1"/>
    <x v="3"/>
    <n v="0.2"/>
    <n v="0.5"/>
    <n v="1000"/>
    <n v="3"/>
    <n v="1"/>
    <x v="1"/>
    <n v="593161.5"/>
    <n v="215760"/>
    <n v="377401.5"/>
    <n v="2400"/>
    <n v="6.16"/>
    <n v="174390.8"/>
    <n v="317992.40000000002"/>
    <n v="492383.2"/>
    <n v="60192.2"/>
    <n v="15430"/>
    <n v="75622.2"/>
    <n v="4.24"/>
    <n v="0.19"/>
    <n v="13981.9"/>
    <n v="74174.100000000006"/>
    <n v="6.35"/>
    <n v="1372"/>
    <n v="566557.30000000005"/>
    <n v="4.49"/>
    <n v="8000"/>
  </r>
  <r>
    <s v="8000_0.2_0.5_1000_3.0_order_2"/>
    <x v="3"/>
    <n v="0.2"/>
    <n v="0.5"/>
    <n v="1000"/>
    <n v="3"/>
    <n v="2"/>
    <x v="1"/>
    <n v="597665.69999999995"/>
    <n v="223856.5"/>
    <n v="373809.2"/>
    <n v="2400"/>
    <n v="5.81"/>
    <n v="173186.5"/>
    <n v="297001"/>
    <n v="470187.5"/>
    <n v="85020.3"/>
    <n v="21408"/>
    <n v="106428.3"/>
    <n v="3.52"/>
    <n v="0.35"/>
    <n v="19532"/>
    <n v="104552.3"/>
    <n v="6.16"/>
    <n v="1958"/>
    <n v="574739.80000000005"/>
    <n v="3.84"/>
    <n v="8000"/>
  </r>
  <r>
    <s v="8000_0.2_0.5_1000_3.0_order_3"/>
    <x v="3"/>
    <n v="0.2"/>
    <n v="0.5"/>
    <n v="1000"/>
    <n v="3"/>
    <n v="3"/>
    <x v="1"/>
    <n v="583722.1"/>
    <n v="223799"/>
    <n v="359923.1"/>
    <n v="2400"/>
    <n v="5.83"/>
    <n v="168841"/>
    <n v="278926.09999999998"/>
    <n v="447767.1"/>
    <n v="89693.4"/>
    <n v="22158.9"/>
    <n v="111852.3"/>
    <n v="4.13"/>
    <n v="0.36"/>
    <n v="20366.3"/>
    <n v="110059.7"/>
    <n v="6.19"/>
    <n v="2008"/>
    <n v="557826.80000000005"/>
    <n v="4.4400000000000004"/>
    <n v="8000"/>
  </r>
  <r>
    <s v="8000_0.2_0.5_1000_3.0_order_4"/>
    <x v="3"/>
    <n v="0.2"/>
    <n v="0.5"/>
    <n v="1000"/>
    <n v="3"/>
    <n v="4"/>
    <x v="1"/>
    <n v="587036.19999999995"/>
    <n v="229321.60000000001"/>
    <n v="357714.6"/>
    <n v="2400"/>
    <n v="5.96"/>
    <n v="181176.2"/>
    <n v="294753.7"/>
    <n v="475929.9"/>
    <n v="66437"/>
    <n v="18054.5"/>
    <n v="84491.5"/>
    <n v="4.53"/>
    <n v="0.23"/>
    <n v="16770.2"/>
    <n v="83207.199999999997"/>
    <n v="6.19"/>
    <n v="1483"/>
    <n v="559137.1"/>
    <n v="4.75"/>
    <n v="8000"/>
  </r>
  <r>
    <s v="8000_0.2_0.5_1000_3.0_order_5"/>
    <x v="3"/>
    <n v="0.2"/>
    <n v="0.5"/>
    <n v="1000"/>
    <n v="3"/>
    <n v="5"/>
    <x v="1"/>
    <n v="592275.9"/>
    <n v="226754.8"/>
    <n v="365521.1"/>
    <n v="2400"/>
    <n v="6.06"/>
    <n v="188661"/>
    <n v="311462.09999999998"/>
    <n v="500123.1"/>
    <n v="53683.7"/>
    <n v="15021.2"/>
    <n v="68704.899999999994"/>
    <n v="3.96"/>
    <n v="0.15"/>
    <n v="13655.1"/>
    <n v="67338.8"/>
    <n v="6.21"/>
    <n v="1131"/>
    <n v="567461.9"/>
    <n v="4.1900000000000004"/>
    <n v="8000"/>
  </r>
  <r>
    <s v="8000_0.2_0.5_2000_1.0_order_1"/>
    <x v="3"/>
    <n v="0.2"/>
    <n v="0.5"/>
    <n v="2000"/>
    <n v="1"/>
    <n v="1"/>
    <x v="1"/>
    <n v="572946.6"/>
    <n v="225821.5"/>
    <n v="347125.1"/>
    <n v="2400"/>
    <n v="3.72"/>
    <n v="153144"/>
    <n v="247652.1"/>
    <n v="400796.1"/>
    <n v="91196"/>
    <n v="19383.099999999999"/>
    <n v="110579.1"/>
    <n v="10.75"/>
    <n v="0.23"/>
    <n v="18046.3"/>
    <n v="109242.3"/>
    <n v="3.94"/>
    <n v="1921"/>
    <n v="510038.4"/>
    <n v="10.98"/>
    <n v="8000"/>
  </r>
  <r>
    <s v="8000_0.2_0.5_2000_1.0_order_2"/>
    <x v="3"/>
    <n v="0.2"/>
    <n v="0.5"/>
    <n v="2000"/>
    <n v="1"/>
    <n v="2"/>
    <x v="1"/>
    <n v="581428.4"/>
    <n v="226042.1"/>
    <n v="355386.3"/>
    <n v="2400"/>
    <n v="3.95"/>
    <n v="157988.29999999999"/>
    <n v="256641.9"/>
    <n v="414630.2"/>
    <n v="93407"/>
    <n v="19417.400000000001"/>
    <n v="112824.4"/>
    <n v="9.2799999999999994"/>
    <n v="0.24"/>
    <n v="18353.2"/>
    <n v="111760.2"/>
    <n v="4.1900000000000004"/>
    <n v="2040"/>
    <n v="526390.4"/>
    <n v="9.4700000000000006"/>
    <n v="8000"/>
  </r>
  <r>
    <s v="8000_0.2_0.5_2000_1.0_order_3"/>
    <x v="3"/>
    <n v="0.2"/>
    <n v="0.5"/>
    <n v="2000"/>
    <n v="1"/>
    <n v="3"/>
    <x v="1"/>
    <n v="579172.6"/>
    <n v="229614.6"/>
    <n v="349558"/>
    <n v="2400"/>
    <n v="3.94"/>
    <n v="160127.79999999999"/>
    <n v="248997.9"/>
    <n v="409125.7"/>
    <n v="94319.5"/>
    <n v="19679.900000000001"/>
    <n v="113999.4"/>
    <n v="9.68"/>
    <n v="0.27"/>
    <n v="18291.5"/>
    <n v="112611"/>
    <n v="4.21"/>
    <n v="2041"/>
    <n v="521736.7"/>
    <n v="9.92"/>
    <n v="8000"/>
  </r>
  <r>
    <s v="8000_0.2_0.5_2000_1.0_order_4"/>
    <x v="3"/>
    <n v="0.2"/>
    <n v="0.5"/>
    <n v="2000"/>
    <n v="1"/>
    <n v="4"/>
    <x v="1"/>
    <n v="566645.6"/>
    <n v="222393.3"/>
    <n v="344252.3"/>
    <n v="2400"/>
    <n v="3.55"/>
    <n v="156844.1"/>
    <n v="251112.5"/>
    <n v="407956.6"/>
    <n v="85631.6"/>
    <n v="19054"/>
    <n v="104685.6"/>
    <n v="9.5299999999999994"/>
    <n v="0.23"/>
    <n v="17859.400000000001"/>
    <n v="103491"/>
    <n v="3.78"/>
    <n v="1800"/>
    <n v="511447.6"/>
    <n v="9.74"/>
    <n v="8000"/>
  </r>
  <r>
    <s v="8000_0.2_0.5_2000_1.0_order_5"/>
    <x v="3"/>
    <n v="0.2"/>
    <n v="0.5"/>
    <n v="2000"/>
    <n v="1"/>
    <n v="5"/>
    <x v="1"/>
    <n v="577946.30000000005"/>
    <n v="226808.2"/>
    <n v="351138.1"/>
    <n v="2400"/>
    <n v="3.64"/>
    <n v="163673.60000000001"/>
    <n v="259624.6"/>
    <n v="423298.2"/>
    <n v="84909.2"/>
    <n v="17566.5"/>
    <n v="102475.7"/>
    <n v="9.0299999999999994"/>
    <n v="0.23"/>
    <n v="16706.3"/>
    <n v="101615.5"/>
    <n v="3.87"/>
    <n v="1800"/>
    <n v="524913.69999999995"/>
    <n v="9.18"/>
    <n v="8000"/>
  </r>
  <r>
    <s v="8000_0.2_0.5_2000_2.0_order_1"/>
    <x v="3"/>
    <n v="0.2"/>
    <n v="0.5"/>
    <n v="2000"/>
    <n v="2"/>
    <n v="1"/>
    <x v="1"/>
    <n v="886233.1"/>
    <n v="345610.9"/>
    <n v="540622.19999999995"/>
    <n v="2400"/>
    <n v="7.63"/>
    <n v="249970.6"/>
    <n v="408560.9"/>
    <n v="658531.5"/>
    <n v="105323.6"/>
    <n v="27917.4"/>
    <n v="133241"/>
    <n v="10.66"/>
    <n v="0.56000000000000005"/>
    <n v="25738.5"/>
    <n v="131062.1"/>
    <n v="8.19"/>
    <n v="2400"/>
    <n v="789593.59999999998"/>
    <n v="10.9"/>
    <n v="8000"/>
  </r>
  <r>
    <s v="8000_0.2_0.5_2000_2.0_order_2"/>
    <x v="3"/>
    <n v="0.2"/>
    <n v="0.5"/>
    <n v="2000"/>
    <n v="2"/>
    <n v="2"/>
    <x v="1"/>
    <n v="892256.8"/>
    <n v="337135.3"/>
    <n v="555121.5"/>
    <n v="2400"/>
    <n v="7.05"/>
    <n v="250596.8"/>
    <n v="422131.5"/>
    <n v="672728.3"/>
    <n v="101693.7"/>
    <n v="26882.1"/>
    <n v="128575.8"/>
    <n v="10.19"/>
    <n v="0.54"/>
    <n v="24788.7"/>
    <n v="126482.4"/>
    <n v="7.59"/>
    <n v="2281"/>
    <n v="799210.7"/>
    <n v="10.43"/>
    <n v="8000"/>
  </r>
  <r>
    <s v="8000_0.2_0.5_2000_2.0_order_3"/>
    <x v="3"/>
    <n v="0.2"/>
    <n v="0.5"/>
    <n v="2000"/>
    <n v="2"/>
    <n v="3"/>
    <x v="1"/>
    <n v="915025.1"/>
    <n v="344856.5"/>
    <n v="570168.6"/>
    <n v="2400"/>
    <n v="6.88"/>
    <n v="249937.8"/>
    <n v="432039.7"/>
    <n v="681977.5"/>
    <n v="101127.6"/>
    <n v="26168.7"/>
    <n v="127296.3"/>
    <n v="11.56"/>
    <n v="0.48"/>
    <n v="24445.7"/>
    <n v="125573.3"/>
    <n v="7.36"/>
    <n v="2281"/>
    <n v="807550.8"/>
    <n v="11.75"/>
    <n v="8000"/>
  </r>
  <r>
    <s v="8000_0.2_0.5_2000_2.0_order_4"/>
    <x v="3"/>
    <n v="0.2"/>
    <n v="0.5"/>
    <n v="2000"/>
    <n v="2"/>
    <n v="4"/>
    <x v="1"/>
    <n v="904841.1"/>
    <n v="328939.59999999998"/>
    <n v="575901.5"/>
    <n v="2400"/>
    <n v="6.8"/>
    <n v="245382.7"/>
    <n v="442243.1"/>
    <n v="687625.8"/>
    <n v="103521.3"/>
    <n v="26567.4"/>
    <n v="130088.7"/>
    <n v="9.6300000000000008"/>
    <n v="0.53"/>
    <n v="24636.2"/>
    <n v="128157.5"/>
    <n v="7.33"/>
    <n v="2399"/>
    <n v="815783.3"/>
    <n v="9.84"/>
    <n v="8000"/>
  </r>
  <r>
    <s v="8000_0.2_0.5_2000_2.0_order_5"/>
    <x v="3"/>
    <n v="0.2"/>
    <n v="0.5"/>
    <n v="2000"/>
    <n v="2"/>
    <n v="5"/>
    <x v="1"/>
    <n v="914600.1"/>
    <n v="350446.2"/>
    <n v="564153.9"/>
    <n v="2400"/>
    <n v="7.53"/>
    <n v="267285.3"/>
    <n v="431953.7"/>
    <n v="699239"/>
    <n v="94803.3"/>
    <n v="25456.7"/>
    <n v="120260"/>
    <n v="10.4"/>
    <n v="0.52"/>
    <n v="23179.1"/>
    <n v="117982.39999999999"/>
    <n v="8.0500000000000007"/>
    <n v="2161"/>
    <n v="817221.4"/>
    <n v="10.65"/>
    <n v="8000"/>
  </r>
  <r>
    <s v="8000_0.2_0.5_2000_3.0_order_1"/>
    <x v="3"/>
    <n v="0.2"/>
    <n v="0.5"/>
    <n v="2000"/>
    <n v="3"/>
    <n v="1"/>
    <x v="1"/>
    <n v="1177757.2"/>
    <n v="449352.6"/>
    <n v="728404.6"/>
    <n v="2400"/>
    <n v="10.23"/>
    <n v="348972.4"/>
    <n v="575690.69999999995"/>
    <n v="924663.1"/>
    <n v="102471.5"/>
    <n v="29433.3"/>
    <n v="131904.79999999999"/>
    <n v="10.29"/>
    <n v="0.71"/>
    <n v="26924.6"/>
    <n v="129396.1"/>
    <n v="10.95"/>
    <n v="2399"/>
    <n v="1054059.2"/>
    <n v="10.5"/>
    <n v="8000"/>
  </r>
  <r>
    <s v="8000_0.2_0.5_2000_3.0_order_2"/>
    <x v="3"/>
    <n v="0.2"/>
    <n v="0.5"/>
    <n v="2000"/>
    <n v="3"/>
    <n v="2"/>
    <x v="1"/>
    <n v="1164215.3999999999"/>
    <n v="455176.9"/>
    <n v="709038.5"/>
    <n v="2400"/>
    <n v="9.6199999999999992"/>
    <n v="350952"/>
    <n v="559604.4"/>
    <n v="910556.4"/>
    <n v="101434.4"/>
    <n v="29194.400000000001"/>
    <n v="130628.8"/>
    <n v="10.57"/>
    <n v="0.71"/>
    <n v="26324.3"/>
    <n v="127758.7"/>
    <n v="10.33"/>
    <n v="2397"/>
    <n v="1038315.1"/>
    <n v="10.81"/>
    <n v="8000"/>
  </r>
  <r>
    <s v="8000_0.2_0.5_2000_3.0_order_3"/>
    <x v="3"/>
    <n v="0.2"/>
    <n v="0.5"/>
    <n v="2000"/>
    <n v="3"/>
    <n v="3"/>
    <x v="1"/>
    <n v="1186733.8999999999"/>
    <n v="435508.8"/>
    <n v="751225.1"/>
    <n v="2400"/>
    <n v="9.83"/>
    <n v="338054.8"/>
    <n v="590076.9"/>
    <n v="928131.7"/>
    <n v="95991"/>
    <n v="27645.4"/>
    <n v="123636.4"/>
    <n v="11.37"/>
    <n v="0.67"/>
    <n v="25069.7"/>
    <n v="121060.7"/>
    <n v="10.5"/>
    <n v="2278"/>
    <n v="1049192.3999999999"/>
    <n v="11.59"/>
    <n v="8000"/>
  </r>
  <r>
    <s v="8000_0.2_0.5_2000_3.0_order_4"/>
    <x v="3"/>
    <n v="0.2"/>
    <n v="0.5"/>
    <n v="2000"/>
    <n v="3"/>
    <n v="4"/>
    <x v="1"/>
    <n v="1163514.6000000001"/>
    <n v="442546.5"/>
    <n v="720968.1"/>
    <n v="2400"/>
    <n v="9.34"/>
    <n v="342814.1"/>
    <n v="572598.19999999995"/>
    <n v="915412.3"/>
    <n v="96352.1"/>
    <n v="28916"/>
    <n v="125268.1"/>
    <n v="10.56"/>
    <n v="0.74"/>
    <n v="26609"/>
    <n v="122961.1"/>
    <n v="10.08"/>
    <n v="2281"/>
    <n v="1038373.4"/>
    <n v="10.76"/>
    <n v="8000"/>
  </r>
  <r>
    <s v="8000_0.2_0.5_2000_3.0_order_5"/>
    <x v="3"/>
    <n v="0.2"/>
    <n v="0.5"/>
    <n v="2000"/>
    <n v="3"/>
    <n v="5"/>
    <x v="1"/>
    <n v="1171444.5"/>
    <n v="445181.7"/>
    <n v="726262.8"/>
    <n v="2400"/>
    <n v="9.9700000000000006"/>
    <n v="343231.2"/>
    <n v="577333.5"/>
    <n v="920564.7"/>
    <n v="97274.4"/>
    <n v="28717.8"/>
    <n v="125992.2"/>
    <n v="10.66"/>
    <n v="0.65"/>
    <n v="26578.9"/>
    <n v="123853.3"/>
    <n v="10.63"/>
    <n v="2276"/>
    <n v="1044418"/>
    <n v="10.84"/>
    <n v="8000"/>
  </r>
  <r>
    <s v="8000_0.2_0.5_500_1.0_order_1"/>
    <x v="3"/>
    <n v="0.2"/>
    <n v="0.5"/>
    <n v="500"/>
    <n v="1"/>
    <n v="1"/>
    <x v="1"/>
    <n v="147087"/>
    <n v="56509.5"/>
    <n v="90577.5"/>
    <n v="2400"/>
    <n v="3.69"/>
    <n v="45550.1"/>
    <n v="75330.8"/>
    <n v="120880.9"/>
    <n v="16802.5"/>
    <n v="2668.2"/>
    <n v="19470.7"/>
    <n v="4.58"/>
    <n v="0"/>
    <n v="2516.1"/>
    <n v="19318.599999999999"/>
    <n v="3.69"/>
    <n v="358"/>
    <n v="140199.5"/>
    <n v="4.68"/>
    <n v="8000"/>
  </r>
  <r>
    <s v="8000_0.2_0.5_500_1.0_order_2"/>
    <x v="3"/>
    <n v="0.2"/>
    <n v="0.5"/>
    <n v="500"/>
    <n v="1"/>
    <n v="2"/>
    <x v="1"/>
    <n v="140233.70000000001"/>
    <n v="55542.9"/>
    <n v="84690.8"/>
    <n v="2400"/>
    <n v="3.57"/>
    <n v="48120.1"/>
    <n v="74557.100000000006"/>
    <n v="122677.2"/>
    <n v="11613.3"/>
    <n v="1617.9"/>
    <n v="13231.2"/>
    <n v="3.08"/>
    <n v="0"/>
    <n v="1533.7"/>
    <n v="13147"/>
    <n v="3.57"/>
    <n v="274"/>
    <n v="135824.20000000001"/>
    <n v="3.14"/>
    <n v="8000"/>
  </r>
  <r>
    <s v="8000_0.2_0.5_500_1.0_order_3"/>
    <x v="3"/>
    <n v="0.2"/>
    <n v="0.5"/>
    <n v="500"/>
    <n v="1"/>
    <n v="3"/>
    <x v="1"/>
    <n v="140525.6"/>
    <n v="54367.5"/>
    <n v="86158.1"/>
    <n v="2400"/>
    <n v="3.5"/>
    <n v="45840.800000000003"/>
    <n v="75213.5"/>
    <n v="121054.3"/>
    <n v="12128.9"/>
    <n v="2606.5"/>
    <n v="14735.4"/>
    <n v="3.37"/>
    <n v="0"/>
    <n v="2395.6999999999998"/>
    <n v="14524.6"/>
    <n v="3.51"/>
    <n v="270"/>
    <n v="135578.9"/>
    <n v="3.52"/>
    <n v="8000"/>
  </r>
  <r>
    <s v="8000_0.2_0.5_500_1.0_order_4"/>
    <x v="3"/>
    <n v="0.2"/>
    <n v="0.5"/>
    <n v="500"/>
    <n v="1"/>
    <n v="4"/>
    <x v="1"/>
    <n v="151849.20000000001"/>
    <n v="56962.9"/>
    <n v="94886.3"/>
    <n v="2400"/>
    <n v="3.71"/>
    <n v="51205.9"/>
    <n v="86321.4"/>
    <n v="137527.29999999999"/>
    <n v="7586.6"/>
    <n v="1529.6"/>
    <n v="9116.2000000000007"/>
    <n v="3.43"/>
    <n v="0"/>
    <n v="1472.7"/>
    <n v="9059.2999999999993"/>
    <n v="3.71"/>
    <n v="150"/>
    <n v="146586.6"/>
    <n v="3.47"/>
    <n v="8000"/>
  </r>
  <r>
    <s v="8000_0.2_0.5_500_1.0_order_5"/>
    <x v="3"/>
    <n v="0.2"/>
    <n v="0.5"/>
    <n v="500"/>
    <n v="1"/>
    <n v="5"/>
    <x v="1"/>
    <n v="148628.79999999999"/>
    <n v="57255.199999999997"/>
    <n v="91373.6"/>
    <n v="2400"/>
    <n v="3.62"/>
    <n v="48020.4"/>
    <n v="80312.3"/>
    <n v="128332.7"/>
    <n v="12989.6"/>
    <n v="2222.1999999999998"/>
    <n v="15211.8"/>
    <n v="3.42"/>
    <n v="0"/>
    <n v="2061.6"/>
    <n v="15051.2"/>
    <n v="3.62"/>
    <n v="280"/>
    <n v="143383.9"/>
    <n v="3.53"/>
    <n v="8000"/>
  </r>
  <r>
    <s v="8000_0.2_0.5_500_2.0_order_1"/>
    <x v="3"/>
    <n v="0.2"/>
    <n v="0.5"/>
    <n v="500"/>
    <n v="2"/>
    <n v="1"/>
    <x v="1"/>
    <n v="229302.1"/>
    <n v="94901.2"/>
    <n v="134400.9"/>
    <n v="2400"/>
    <n v="4.83"/>
    <n v="85902.9"/>
    <n v="122135.5"/>
    <n v="208038.39999999999"/>
    <n v="12002.3"/>
    <n v="2220.5"/>
    <n v="14222.8"/>
    <n v="3.07"/>
    <n v="0"/>
    <n v="1980.7"/>
    <n v="13983"/>
    <n v="4.83"/>
    <n v="265"/>
    <n v="222021.4"/>
    <n v="3.18"/>
    <n v="8000"/>
  </r>
  <r>
    <s v="8000_0.2_0.5_500_2.0_order_2"/>
    <x v="3"/>
    <n v="0.2"/>
    <n v="0.5"/>
    <n v="500"/>
    <n v="2"/>
    <n v="2"/>
    <x v="1"/>
    <n v="226447.5"/>
    <n v="92815.2"/>
    <n v="133632.29999999999"/>
    <n v="2400"/>
    <n v="4.76"/>
    <n v="83166.600000000006"/>
    <n v="123435.7"/>
    <n v="206602.3"/>
    <n v="11099.7"/>
    <n v="2411"/>
    <n v="13510.7"/>
    <n v="2.8"/>
    <n v="0"/>
    <n v="2253.1"/>
    <n v="13352.8"/>
    <n v="4.76"/>
    <n v="244"/>
    <n v="219955.1"/>
    <n v="2.87"/>
    <n v="8000"/>
  </r>
  <r>
    <s v="8000_0.2_0.5_500_2.0_order_3"/>
    <x v="3"/>
    <n v="0.2"/>
    <n v="0.5"/>
    <n v="500"/>
    <n v="2"/>
    <n v="3"/>
    <x v="1"/>
    <n v="222263.2"/>
    <n v="93658.5"/>
    <n v="128604.7"/>
    <n v="2400"/>
    <n v="4.7"/>
    <n v="83692.800000000003"/>
    <n v="117284.5"/>
    <n v="200977.3"/>
    <n v="13275.6"/>
    <n v="2555.5"/>
    <n v="15831.1"/>
    <n v="2.4500000000000002"/>
    <n v="0"/>
    <n v="2251.8000000000002"/>
    <n v="15527.4"/>
    <n v="4.71"/>
    <n v="300"/>
    <n v="216504.7"/>
    <n v="2.59"/>
    <n v="8000"/>
  </r>
  <r>
    <s v="8000_0.2_0.5_500_2.0_order_4"/>
    <x v="3"/>
    <n v="0.2"/>
    <n v="0.5"/>
    <n v="500"/>
    <n v="2"/>
    <n v="4"/>
    <x v="1"/>
    <n v="229297.3"/>
    <n v="84967.3"/>
    <n v="144330"/>
    <n v="2400"/>
    <n v="4.74"/>
    <n v="77351.399999999994"/>
    <n v="128735.6"/>
    <n v="206087"/>
    <n v="12426.7"/>
    <n v="2062.9"/>
    <n v="14489.6"/>
    <n v="3.8"/>
    <n v="0"/>
    <n v="1928.7"/>
    <n v="14355.4"/>
    <n v="4.74"/>
    <n v="270"/>
    <n v="220442.4"/>
    <n v="3.86"/>
    <n v="8000"/>
  </r>
  <r>
    <s v="8000_0.2_0.5_500_2.0_order_5"/>
    <x v="3"/>
    <n v="0.2"/>
    <n v="0.5"/>
    <n v="500"/>
    <n v="2"/>
    <n v="5"/>
    <x v="1"/>
    <n v="224542.5"/>
    <n v="82787.3"/>
    <n v="141755.20000000001"/>
    <n v="2400"/>
    <n v="4.62"/>
    <n v="72699.7"/>
    <n v="127930.4"/>
    <n v="200630.1"/>
    <n v="13410.9"/>
    <n v="2379.9"/>
    <n v="15790.8"/>
    <n v="3.62"/>
    <n v="0"/>
    <n v="2235.6"/>
    <n v="15646.5"/>
    <n v="4.62"/>
    <n v="293"/>
    <n v="216276.6"/>
    <n v="3.68"/>
    <n v="8000"/>
  </r>
  <r>
    <s v="8000_0.2_0.5_500_3.0_order_1"/>
    <x v="3"/>
    <n v="0.2"/>
    <n v="0.5"/>
    <n v="500"/>
    <n v="3"/>
    <n v="1"/>
    <x v="1"/>
    <n v="292420.09999999998"/>
    <n v="108941.2"/>
    <n v="183478.9"/>
    <n v="2400"/>
    <n v="5.76"/>
    <n v="97862.1"/>
    <n v="169017"/>
    <n v="266879.09999999998"/>
    <n v="12936.1"/>
    <n v="3321.1"/>
    <n v="16257.2"/>
    <n v="3.17"/>
    <n v="0"/>
    <n v="2762.5"/>
    <n v="15698.6"/>
    <n v="5.76"/>
    <n v="317"/>
    <n v="282577.7"/>
    <n v="3.37"/>
    <n v="8000"/>
  </r>
  <r>
    <s v="8000_0.2_0.5_500_3.0_order_2"/>
    <x v="3"/>
    <n v="0.2"/>
    <n v="0.5"/>
    <n v="500"/>
    <n v="3"/>
    <n v="2"/>
    <x v="1"/>
    <n v="282153.40000000002"/>
    <n v="107647.8"/>
    <n v="174505.60000000001"/>
    <n v="2400"/>
    <n v="5.31"/>
    <n v="99644.5"/>
    <n v="161541.9"/>
    <n v="261186.4"/>
    <n v="10475.4"/>
    <n v="2392.1"/>
    <n v="12867.5"/>
    <n v="2.87"/>
    <n v="0"/>
    <n v="2118.9"/>
    <n v="12594.3"/>
    <n v="5.31"/>
    <n v="275"/>
    <n v="273780.7"/>
    <n v="2.97"/>
    <n v="8000"/>
  </r>
  <r>
    <s v="8000_0.2_0.5_500_3.0_order_3"/>
    <x v="3"/>
    <n v="0.2"/>
    <n v="0.5"/>
    <n v="500"/>
    <n v="3"/>
    <n v="3"/>
    <x v="1"/>
    <n v="286274.09999999998"/>
    <n v="110452.9"/>
    <n v="175821.2"/>
    <n v="2400"/>
    <n v="5.49"/>
    <n v="101407.4"/>
    <n v="163825.79999999999"/>
    <n v="265233.2"/>
    <n v="10827"/>
    <n v="2345.3000000000002"/>
    <n v="13172.3"/>
    <n v="2.75"/>
    <n v="0"/>
    <n v="2019.3"/>
    <n v="12846.3"/>
    <n v="5.5"/>
    <n v="280"/>
    <n v="278079.5"/>
    <n v="2.86"/>
    <n v="8000"/>
  </r>
  <r>
    <s v="8000_0.2_0.5_500_3.0_order_4"/>
    <x v="3"/>
    <n v="0.2"/>
    <n v="0.5"/>
    <n v="500"/>
    <n v="3"/>
    <n v="4"/>
    <x v="1"/>
    <n v="295932.79999999999"/>
    <n v="120245.7"/>
    <n v="175687.1"/>
    <n v="2400"/>
    <n v="5.26"/>
    <n v="112864.1"/>
    <n v="164080.1"/>
    <n v="276944.2"/>
    <n v="8391.1"/>
    <n v="2224.9"/>
    <n v="10616"/>
    <n v="2.83"/>
    <n v="0"/>
    <n v="2093.8000000000002"/>
    <n v="10484.9"/>
    <n v="5.27"/>
    <n v="183"/>
    <n v="287429.09999999998"/>
    <n v="2.87"/>
    <n v="8000"/>
  </r>
  <r>
    <s v="8000_0.2_0.5_500_3.0_order_5"/>
    <x v="3"/>
    <n v="0.2"/>
    <n v="0.5"/>
    <n v="500"/>
    <n v="3"/>
    <n v="5"/>
    <x v="1"/>
    <n v="298989.2"/>
    <n v="113792.5"/>
    <n v="185196.7"/>
    <n v="2400"/>
    <n v="5.36"/>
    <n v="105169.2"/>
    <n v="171401"/>
    <n v="276570.2"/>
    <n v="12448.5"/>
    <n v="3032.7"/>
    <n v="15481.2"/>
    <n v="2.3199999999999998"/>
    <n v="0"/>
    <n v="2722"/>
    <n v="15170.5"/>
    <n v="5.36"/>
    <n v="270"/>
    <n v="291740.7"/>
    <n v="2.42"/>
    <n v="8000"/>
  </r>
  <r>
    <s v="8000_0.3_0.5_1000_1.0_order_1"/>
    <x v="3"/>
    <n v="0.3"/>
    <n v="0.5"/>
    <n v="1000"/>
    <n v="1"/>
    <n v="1"/>
    <x v="1"/>
    <n v="286040.5"/>
    <n v="110201.1"/>
    <n v="175839.4"/>
    <n v="2400"/>
    <n v="3.82"/>
    <n v="90804.4"/>
    <n v="147418.5"/>
    <n v="238222.9"/>
    <n v="26611.7"/>
    <n v="6856.2"/>
    <n v="33467.9"/>
    <n v="5.0199999999999996"/>
    <n v="0.01"/>
    <n v="6657.8"/>
    <n v="33269.5"/>
    <n v="3.84"/>
    <n v="527"/>
    <n v="271492.40000000002"/>
    <n v="5.09"/>
    <n v="8000"/>
  </r>
  <r>
    <s v="8000_0.3_0.5_1000_1.0_order_2"/>
    <x v="3"/>
    <n v="0.3"/>
    <n v="0.5"/>
    <n v="1000"/>
    <n v="1"/>
    <n v="2"/>
    <x v="1"/>
    <n v="292003.40000000002"/>
    <n v="110554.4"/>
    <n v="181449"/>
    <n v="2400"/>
    <n v="3.94"/>
    <n v="91748.1"/>
    <n v="155591.79999999999"/>
    <n v="247339.9"/>
    <n v="22823.3"/>
    <n v="6920.5"/>
    <n v="29743.8"/>
    <n v="5.1100000000000003"/>
    <n v="0.01"/>
    <n v="6626.4"/>
    <n v="29449.7"/>
    <n v="3.95"/>
    <n v="439"/>
    <n v="276789.59999999998"/>
    <n v="5.21"/>
    <n v="8000"/>
  </r>
  <r>
    <s v="8000_0.3_0.5_1000_1.0_order_3"/>
    <x v="3"/>
    <n v="0.3"/>
    <n v="0.5"/>
    <n v="1000"/>
    <n v="1"/>
    <n v="3"/>
    <x v="1"/>
    <n v="292940.79999999999"/>
    <n v="116162.1"/>
    <n v="176778.7"/>
    <n v="2400"/>
    <n v="3.87"/>
    <n v="92321.2"/>
    <n v="144652.6"/>
    <n v="236973.8"/>
    <n v="30847.599999999999"/>
    <n v="8412.7000000000007"/>
    <n v="39260.300000000003"/>
    <n v="5.7"/>
    <n v="0.02"/>
    <n v="7945.7"/>
    <n v="38793.300000000003"/>
    <n v="3.89"/>
    <n v="628"/>
    <n v="275767.09999999998"/>
    <n v="5.86"/>
    <n v="8000"/>
  </r>
  <r>
    <s v="8000_0.3_0.5_1000_1.0_order_4"/>
    <x v="3"/>
    <n v="0.3"/>
    <n v="0.5"/>
    <n v="1000"/>
    <n v="1"/>
    <n v="4"/>
    <x v="1"/>
    <n v="280335.2"/>
    <n v="111676"/>
    <n v="168659.20000000001"/>
    <n v="2400"/>
    <n v="3.92"/>
    <n v="97021.1"/>
    <n v="150402.4"/>
    <n v="247423.5"/>
    <n v="15566.9"/>
    <n v="3974.1"/>
    <n v="19541"/>
    <n v="4.7699999999999996"/>
    <n v="0"/>
    <n v="3769.4"/>
    <n v="19336.3"/>
    <n v="3.93"/>
    <n v="308"/>
    <n v="266759.8"/>
    <n v="4.84"/>
    <n v="8000"/>
  </r>
  <r>
    <s v="8000_0.3_0.5_1000_1.0_order_5"/>
    <x v="3"/>
    <n v="0.3"/>
    <n v="0.5"/>
    <n v="1000"/>
    <n v="1"/>
    <n v="5"/>
    <x v="1"/>
    <n v="286002.59999999998"/>
    <n v="115303.6"/>
    <n v="170699"/>
    <n v="2400"/>
    <n v="4.08"/>
    <n v="101008"/>
    <n v="151105.5"/>
    <n v="252113.5"/>
    <n v="15530.3"/>
    <n v="5704.4"/>
    <n v="21234.7"/>
    <n v="4.42"/>
    <n v="0.01"/>
    <n v="5509.8"/>
    <n v="21040.1"/>
    <n v="4.09"/>
    <n v="293"/>
    <n v="273153.59999999998"/>
    <n v="4.49"/>
    <n v="8000"/>
  </r>
  <r>
    <s v="8000_0.3_0.5_1000_2.0_order_1"/>
    <x v="3"/>
    <n v="0.3"/>
    <n v="0.5"/>
    <n v="1000"/>
    <n v="2"/>
    <n v="1"/>
    <x v="1"/>
    <n v="450971.9"/>
    <n v="169991.9"/>
    <n v="280980"/>
    <n v="2400"/>
    <n v="4.43"/>
    <n v="119532.4"/>
    <n v="206252.1"/>
    <n v="325784.5"/>
    <n v="75088.399999999994"/>
    <n v="24478"/>
    <n v="99566.399999999994"/>
    <n v="5.68"/>
    <n v="0.39"/>
    <n v="23242.2"/>
    <n v="98330.6"/>
    <n v="4.82"/>
    <n v="1604"/>
    <n v="424115.1"/>
    <n v="5.96"/>
    <n v="8000"/>
  </r>
  <r>
    <s v="8000_0.3_0.5_1000_2.0_order_2"/>
    <x v="3"/>
    <n v="0.3"/>
    <n v="0.5"/>
    <n v="1000"/>
    <n v="2"/>
    <n v="2"/>
    <x v="1"/>
    <n v="447112"/>
    <n v="171904"/>
    <n v="275208"/>
    <n v="2400"/>
    <n v="4.2699999999999996"/>
    <n v="123654.2"/>
    <n v="202060"/>
    <n v="325714.2"/>
    <n v="77986.8"/>
    <n v="26482.6"/>
    <n v="104469.4"/>
    <n v="3.79"/>
    <n v="0.44"/>
    <n v="24821.5"/>
    <n v="102808.3"/>
    <n v="4.7"/>
    <n v="1670"/>
    <n v="428522.5"/>
    <n v="4.16"/>
    <n v="8000"/>
  </r>
  <r>
    <s v="8000_0.3_0.5_1000_2.0_order_3"/>
    <x v="3"/>
    <n v="0.3"/>
    <n v="0.5"/>
    <n v="1000"/>
    <n v="2"/>
    <n v="3"/>
    <x v="1"/>
    <n v="447008.9"/>
    <n v="167665.79999999999"/>
    <n v="279343.09999999998"/>
    <n v="2400"/>
    <n v="4.33"/>
    <n v="145098.4"/>
    <n v="248227.3"/>
    <n v="393325.7"/>
    <n v="25325.4"/>
    <n v="9213.7000000000007"/>
    <n v="34539.1"/>
    <n v="4.28"/>
    <n v="0.02"/>
    <n v="8829.6"/>
    <n v="34155"/>
    <n v="4.3499999999999996"/>
    <n v="512"/>
    <n v="427480.7"/>
    <n v="4.37"/>
    <n v="8000"/>
  </r>
  <r>
    <s v="8000_0.3_0.5_1000_2.0_order_4"/>
    <x v="3"/>
    <n v="0.3"/>
    <n v="0.5"/>
    <n v="1000"/>
    <n v="2"/>
    <n v="4"/>
    <x v="1"/>
    <n v="441673.7"/>
    <n v="172616.6"/>
    <n v="269057.09999999998"/>
    <n v="2400"/>
    <n v="3.96"/>
    <n v="135098.4"/>
    <n v="218027.6"/>
    <n v="353126"/>
    <n v="47841.3"/>
    <n v="16270.9"/>
    <n v="64112.2"/>
    <n v="5.53"/>
    <n v="0.18"/>
    <n v="15349.2"/>
    <n v="63190.5"/>
    <n v="4.13"/>
    <n v="994"/>
    <n v="416316.5"/>
    <n v="5.74"/>
    <n v="8000"/>
  </r>
  <r>
    <s v="8000_0.3_0.5_1000_2.0_order_5"/>
    <x v="3"/>
    <n v="0.3"/>
    <n v="0.5"/>
    <n v="1000"/>
    <n v="2"/>
    <n v="5"/>
    <x v="1"/>
    <n v="441622.8"/>
    <n v="175651.8"/>
    <n v="265971"/>
    <n v="2400"/>
    <n v="3.88"/>
    <n v="139808.6"/>
    <n v="222243.9"/>
    <n v="362052.5"/>
    <n v="41972.6"/>
    <n v="14583"/>
    <n v="56555.6"/>
    <n v="5.21"/>
    <n v="0.13"/>
    <n v="13970.8"/>
    <n v="55943.4"/>
    <n v="4.01"/>
    <n v="853"/>
    <n v="417995.9"/>
    <n v="5.35"/>
    <n v="8000"/>
  </r>
  <r>
    <s v="8000_0.3_0.5_1000_3.0_order_1"/>
    <x v="3"/>
    <n v="0.3"/>
    <n v="0.5"/>
    <n v="1000"/>
    <n v="3"/>
    <n v="1"/>
    <x v="1"/>
    <n v="601966.4"/>
    <n v="222890"/>
    <n v="379076.4"/>
    <n v="2400"/>
    <n v="5.74"/>
    <n v="152924"/>
    <n v="264637"/>
    <n v="417561"/>
    <n v="105070.1"/>
    <n v="37587.4"/>
    <n v="142657.5"/>
    <n v="6.94"/>
    <n v="1.03"/>
    <n v="34939.199999999997"/>
    <n v="140009.29999999999"/>
    <n v="6.77"/>
    <n v="2400"/>
    <n v="557570.30000000005"/>
    <n v="7.38"/>
    <n v="8000"/>
  </r>
  <r>
    <s v="8000_0.3_0.5_1000_3.0_order_2"/>
    <x v="3"/>
    <n v="0.3"/>
    <n v="0.5"/>
    <n v="1000"/>
    <n v="3"/>
    <n v="2"/>
    <x v="1"/>
    <n v="565282.6"/>
    <n v="215214.2"/>
    <n v="350068.4"/>
    <n v="2400"/>
    <n v="5.43"/>
    <n v="158084.9"/>
    <n v="260502.39999999999"/>
    <n v="418587.3"/>
    <n v="83359.7"/>
    <n v="28747.5"/>
    <n v="112107.2"/>
    <n v="6.12"/>
    <n v="0.61"/>
    <n v="26317.599999999999"/>
    <n v="109677.3"/>
    <n v="6.04"/>
    <n v="1903"/>
    <n v="528264.6"/>
    <n v="6.55"/>
    <n v="8000"/>
  </r>
  <r>
    <s v="8000_0.3_0.5_1000_3.0_order_3"/>
    <x v="3"/>
    <n v="0.3"/>
    <n v="0.5"/>
    <n v="1000"/>
    <n v="3"/>
    <n v="3"/>
    <x v="1"/>
    <n v="586619.6"/>
    <n v="224384.6"/>
    <n v="362235"/>
    <n v="2400"/>
    <n v="4.67"/>
    <n v="151452.29999999999"/>
    <n v="248050.9"/>
    <n v="399503.2"/>
    <n v="105466.2"/>
    <n v="36173"/>
    <n v="141639.20000000001"/>
    <n v="7.75"/>
    <n v="0.87"/>
    <n v="34113.9"/>
    <n v="139580.1"/>
    <n v="5.53"/>
    <n v="2400"/>
    <n v="539083.30000000005"/>
    <n v="8.1"/>
    <n v="8000"/>
  </r>
  <r>
    <s v="8000_0.3_0.5_1000_3.0_order_4"/>
    <x v="3"/>
    <n v="0.3"/>
    <n v="0.5"/>
    <n v="1000"/>
    <n v="3"/>
    <n v="4"/>
    <x v="1"/>
    <n v="588648.9"/>
    <n v="222740.3"/>
    <n v="365908.6"/>
    <n v="2400"/>
    <n v="5.36"/>
    <n v="152526.29999999999"/>
    <n v="264976.90000000002"/>
    <n v="417503.2"/>
    <n v="100782.39999999999"/>
    <n v="36174"/>
    <n v="136956.4"/>
    <n v="5.81"/>
    <n v="1"/>
    <n v="33516"/>
    <n v="134298.4"/>
    <n v="6.36"/>
    <n v="2370"/>
    <n v="551801.59999999998"/>
    <n v="6.26"/>
    <n v="8000"/>
  </r>
  <r>
    <s v="8000_0.3_0.5_1000_3.0_order_5"/>
    <x v="3"/>
    <n v="0.3"/>
    <n v="0.5"/>
    <n v="1000"/>
    <n v="3"/>
    <n v="5"/>
    <x v="1"/>
    <n v="594008.5"/>
    <n v="227482.3"/>
    <n v="366526.2"/>
    <n v="2400"/>
    <n v="5.3"/>
    <n v="152801.20000000001"/>
    <n v="256985.60000000001"/>
    <n v="409786.8"/>
    <n v="104189.6"/>
    <n v="35262.9"/>
    <n v="139452.5"/>
    <n v="7.54"/>
    <n v="0.9"/>
    <n v="33322.5"/>
    <n v="137512.1"/>
    <n v="6.19"/>
    <n v="2382"/>
    <n v="547298.9"/>
    <n v="7.86"/>
    <n v="8000"/>
  </r>
  <r>
    <s v="8000_0.3_0.5_2000_1.0_order_1"/>
    <x v="3"/>
    <n v="0.3"/>
    <n v="0.5"/>
    <n v="2000"/>
    <n v="1"/>
    <n v="1"/>
    <x v="1"/>
    <n v="568393.69999999995"/>
    <n v="226327.4"/>
    <n v="342066.3"/>
    <n v="2400"/>
    <n v="3.64"/>
    <n v="156554.70000000001"/>
    <n v="242392.4"/>
    <n v="398947.1"/>
    <n v="82655.5"/>
    <n v="27639.1"/>
    <n v="110294.6"/>
    <n v="10.41"/>
    <n v="0.49"/>
    <n v="26253.7"/>
    <n v="108909.2"/>
    <n v="4.12"/>
    <n v="1796"/>
    <n v="507856.3"/>
    <n v="10.65"/>
    <n v="8000"/>
  </r>
  <r>
    <s v="8000_0.3_0.5_2000_1.0_order_2"/>
    <x v="3"/>
    <n v="0.3"/>
    <n v="0.5"/>
    <n v="2000"/>
    <n v="1"/>
    <n v="2"/>
    <x v="1"/>
    <n v="563271"/>
    <n v="221108.7"/>
    <n v="342162.3"/>
    <n v="2400"/>
    <n v="3.48"/>
    <n v="142494.9"/>
    <n v="229804.79999999999"/>
    <n v="372299.7"/>
    <n v="99310.6"/>
    <n v="29907"/>
    <n v="129217.60000000001"/>
    <n v="10.96"/>
    <n v="0.64"/>
    <n v="28062.400000000001"/>
    <n v="127373"/>
    <n v="4.1100000000000003"/>
    <n v="2160"/>
    <n v="499672.7"/>
    <n v="11.29"/>
    <n v="8000"/>
  </r>
  <r>
    <s v="8000_0.3_0.5_2000_1.0_order_3"/>
    <x v="3"/>
    <n v="0.3"/>
    <n v="0.5"/>
    <n v="2000"/>
    <n v="1"/>
    <n v="3"/>
    <x v="1"/>
    <n v="563771"/>
    <n v="216097"/>
    <n v="347674"/>
    <n v="2400"/>
    <n v="3.09"/>
    <n v="144698.6"/>
    <n v="239731.1"/>
    <n v="384429.7"/>
    <n v="88000.2"/>
    <n v="28512.1"/>
    <n v="116512.3"/>
    <n v="11.14"/>
    <n v="0.55000000000000004"/>
    <n v="26994.1"/>
    <n v="114994.3"/>
    <n v="3.64"/>
    <n v="1921"/>
    <n v="499424"/>
    <n v="11.41"/>
    <n v="8000"/>
  </r>
  <r>
    <s v="8000_0.3_0.5_2000_1.0_order_4"/>
    <x v="3"/>
    <n v="0.3"/>
    <n v="0.5"/>
    <n v="2000"/>
    <n v="1"/>
    <n v="4"/>
    <x v="1"/>
    <n v="563641.4"/>
    <n v="223729.6"/>
    <n v="339911.8"/>
    <n v="2400"/>
    <n v="3.43"/>
    <n v="139110"/>
    <n v="217978.2"/>
    <n v="357088.2"/>
    <n v="105880.8"/>
    <n v="31846.3"/>
    <n v="137727.1"/>
    <n v="12.21"/>
    <n v="0.71"/>
    <n v="29665.4"/>
    <n v="135546.20000000001"/>
    <n v="4.1500000000000004"/>
    <n v="2388"/>
    <n v="492634.4"/>
    <n v="12.6"/>
    <n v="8000"/>
  </r>
  <r>
    <s v="8000_0.3_0.5_2000_1.0_order_5"/>
    <x v="3"/>
    <n v="0.3"/>
    <n v="0.5"/>
    <n v="2000"/>
    <n v="1"/>
    <n v="5"/>
    <x v="1"/>
    <n v="569884.69999999995"/>
    <n v="222990.1"/>
    <n v="346894.6"/>
    <n v="2400"/>
    <n v="3.44"/>
    <n v="148456.70000000001"/>
    <n v="243516.79999999999"/>
    <n v="391973.5"/>
    <n v="82716"/>
    <n v="27501.5"/>
    <n v="110217.5"/>
    <n v="11.88"/>
    <n v="0.52"/>
    <n v="25888.7"/>
    <n v="108604.7"/>
    <n v="3.95"/>
    <n v="1800"/>
    <n v="500578.2"/>
    <n v="12.16"/>
    <n v="8000"/>
  </r>
  <r>
    <s v="8000_0.3_0.5_2000_2.0_order_1"/>
    <x v="3"/>
    <n v="0.3"/>
    <n v="0.5"/>
    <n v="2000"/>
    <n v="2"/>
    <n v="1"/>
    <x v="1"/>
    <n v="889423.3"/>
    <n v="336772"/>
    <n v="552651.30000000005"/>
    <n v="2400"/>
    <n v="6.98"/>
    <n v="231431.9"/>
    <n v="388549.2"/>
    <n v="619981.1"/>
    <n v="105351.1"/>
    <n v="38481.300000000003"/>
    <n v="143832.4"/>
    <n v="14.12"/>
    <n v="1.1000000000000001"/>
    <n v="35818.800000000003"/>
    <n v="141169.9"/>
    <n v="8.08"/>
    <n v="2400"/>
    <n v="761151"/>
    <n v="14.42"/>
    <n v="8000"/>
  </r>
  <r>
    <s v="8000_0.3_0.5_2000_2.0_order_2"/>
    <x v="3"/>
    <n v="0.3"/>
    <n v="0.5"/>
    <n v="2000"/>
    <n v="2"/>
    <n v="2"/>
    <x v="1"/>
    <n v="876499.4"/>
    <n v="335114.40000000002"/>
    <n v="541385"/>
    <n v="2400"/>
    <n v="6.79"/>
    <n v="230296.4"/>
    <n v="380539.2"/>
    <n v="610835.6"/>
    <n v="103380.6"/>
    <n v="37783.4"/>
    <n v="141164"/>
    <n v="14.2"/>
    <n v="1.1599999999999999"/>
    <n v="35097.5"/>
    <n v="138478.1"/>
    <n v="7.95"/>
    <n v="2399"/>
    <n v="749313.7"/>
    <n v="14.51"/>
    <n v="8000"/>
  </r>
  <r>
    <s v="8000_0.3_0.5_2000_2.0_order_3"/>
    <x v="3"/>
    <n v="0.3"/>
    <n v="0.5"/>
    <n v="2000"/>
    <n v="2"/>
    <n v="3"/>
    <x v="1"/>
    <n v="929101.5"/>
    <n v="344356.1"/>
    <n v="584745.4"/>
    <n v="2400"/>
    <n v="7.26"/>
    <n v="232835.8"/>
    <n v="406805.5"/>
    <n v="639641.30000000005"/>
    <n v="106713.60000000001"/>
    <n v="39300.699999999997"/>
    <n v="146014.29999999999"/>
    <n v="15.44"/>
    <n v="1.1499999999999999"/>
    <n v="36696.699999999997"/>
    <n v="143410.29999999999"/>
    <n v="8.41"/>
    <n v="2400"/>
    <n v="783051.6"/>
    <n v="15.72"/>
    <n v="8000"/>
  </r>
  <r>
    <s v="8000_0.3_0.5_2000_2.0_order_4"/>
    <x v="3"/>
    <n v="0.3"/>
    <n v="0.5"/>
    <n v="2000"/>
    <n v="2"/>
    <n v="4"/>
    <x v="1"/>
    <n v="919221.2"/>
    <n v="344486.5"/>
    <n v="574734.69999999995"/>
    <n v="2400"/>
    <n v="7.42"/>
    <n v="231383.6"/>
    <n v="398394.9"/>
    <n v="629778.5"/>
    <n v="106424"/>
    <n v="38638"/>
    <n v="145062"/>
    <n v="15.71"/>
    <n v="1.1000000000000001"/>
    <n v="36203.699999999997"/>
    <n v="142627.70000000001"/>
    <n v="8.51"/>
    <n v="2399"/>
    <n v="772406.2"/>
    <n v="15.97"/>
    <n v="8000"/>
  </r>
  <r>
    <s v="8000_0.3_0.5_2000_2.0_order_5"/>
    <x v="3"/>
    <n v="0.3"/>
    <n v="0.5"/>
    <n v="2000"/>
    <n v="2"/>
    <n v="5"/>
    <x v="1"/>
    <n v="908955"/>
    <n v="343497.3"/>
    <n v="565457.69999999995"/>
    <n v="2400"/>
    <n v="7.12"/>
    <n v="236948.1"/>
    <n v="396624.8"/>
    <n v="633572.9"/>
    <n v="105064.9"/>
    <n v="38907.5"/>
    <n v="143972.4"/>
    <n v="14.46"/>
    <n v="1.07"/>
    <n v="36428"/>
    <n v="141492.9"/>
    <n v="8.19"/>
    <n v="2400"/>
    <n v="775065.8"/>
    <n v="14.73"/>
    <n v="8000"/>
  </r>
  <r>
    <s v="8000_0.3_0.5_2000_3.0_order_1"/>
    <x v="3"/>
    <n v="0.3"/>
    <n v="0.5"/>
    <n v="2000"/>
    <n v="3"/>
    <n v="1"/>
    <x v="1"/>
    <n v="1143126.3999999999"/>
    <n v="438006.9"/>
    <n v="705119.5"/>
    <n v="2400"/>
    <n v="9.27"/>
    <n v="312208.90000000002"/>
    <n v="520384.9"/>
    <n v="832593.8"/>
    <n v="102963.3"/>
    <n v="40628.6"/>
    <n v="143591.9"/>
    <n v="14.6"/>
    <n v="1.35"/>
    <n v="38075.4"/>
    <n v="141038.70000000001"/>
    <n v="10.62"/>
    <n v="2400"/>
    <n v="973632.5"/>
    <n v="14.83"/>
    <n v="8000"/>
  </r>
  <r>
    <s v="8000_0.3_0.5_2000_3.0_order_2"/>
    <x v="3"/>
    <n v="0.3"/>
    <n v="0.5"/>
    <n v="2000"/>
    <n v="3"/>
    <n v="2"/>
    <x v="1"/>
    <n v="1172864.3999999999"/>
    <n v="437807.1"/>
    <n v="735057.3"/>
    <n v="2400"/>
    <n v="10"/>
    <n v="313003.40000000002"/>
    <n v="544279.80000000005"/>
    <n v="857283.2"/>
    <n v="103056.8"/>
    <n v="40527"/>
    <n v="143583.79999999999"/>
    <n v="14.66"/>
    <n v="1.37"/>
    <n v="37345.1"/>
    <n v="140401.9"/>
    <n v="11.37"/>
    <n v="2393"/>
    <n v="997685.1"/>
    <n v="14.94"/>
    <n v="8000"/>
  </r>
  <r>
    <s v="8000_0.3_0.5_2000_3.0_order_3"/>
    <x v="3"/>
    <n v="0.3"/>
    <n v="0.5"/>
    <n v="2000"/>
    <n v="3"/>
    <n v="3"/>
    <x v="1"/>
    <n v="1164182"/>
    <n v="438255.1"/>
    <n v="725926.9"/>
    <n v="2400"/>
    <n v="10.17"/>
    <n v="313217.2"/>
    <n v="540971.30000000005"/>
    <n v="854188.5"/>
    <n v="103330.4"/>
    <n v="40004.9"/>
    <n v="143335.29999999999"/>
    <n v="14.32"/>
    <n v="1.25"/>
    <n v="37595.699999999997"/>
    <n v="140926.1"/>
    <n v="11.42"/>
    <n v="2398"/>
    <n v="995114.6"/>
    <n v="14.52"/>
    <n v="8000"/>
  </r>
  <r>
    <s v="8000_0.3_0.5_2000_3.0_order_4"/>
    <x v="3"/>
    <n v="0.3"/>
    <n v="0.5"/>
    <n v="2000"/>
    <n v="3"/>
    <n v="4"/>
    <x v="1"/>
    <n v="1185376.8"/>
    <n v="453914.9"/>
    <n v="731461.9"/>
    <n v="2400"/>
    <n v="9.1"/>
    <n v="323439.90000000002"/>
    <n v="544161"/>
    <n v="867600.9"/>
    <n v="101807.6"/>
    <n v="40878.199999999997"/>
    <n v="142685.79999999999"/>
    <n v="14.77"/>
    <n v="1.3"/>
    <n v="38289"/>
    <n v="140096.6"/>
    <n v="10.4"/>
    <n v="2400"/>
    <n v="1007697.5"/>
    <n v="14.99"/>
    <n v="8000"/>
  </r>
  <r>
    <s v="8000_0.3_0.5_2000_3.0_order_5"/>
    <x v="3"/>
    <n v="0.3"/>
    <n v="0.5"/>
    <n v="2000"/>
    <n v="3"/>
    <n v="5"/>
    <x v="1"/>
    <n v="1186138"/>
    <n v="453406.1"/>
    <n v="732731.9"/>
    <n v="2400"/>
    <n v="9.4499999999999993"/>
    <n v="325213.90000000002"/>
    <n v="545776.6"/>
    <n v="870990.5"/>
    <n v="101958.39999999999"/>
    <n v="40146.400000000001"/>
    <n v="142104.79999999999"/>
    <n v="14.59"/>
    <n v="1.27"/>
    <n v="36937.199999999997"/>
    <n v="138895.6"/>
    <n v="10.72"/>
    <n v="2371"/>
    <n v="1009886.1"/>
    <n v="14.86"/>
    <n v="8000"/>
  </r>
  <r>
    <s v="8000_0.3_0.5_500_1.0_order_1"/>
    <x v="3"/>
    <n v="0.3"/>
    <n v="0.5"/>
    <n v="500"/>
    <n v="1"/>
    <n v="1"/>
    <x v="1"/>
    <n v="144108.1"/>
    <n v="59553.1"/>
    <n v="84555"/>
    <n v="2400"/>
    <n v="3.34"/>
    <n v="51313.4"/>
    <n v="73433.7"/>
    <n v="124747.1"/>
    <n v="11859.2"/>
    <n v="3002.2"/>
    <n v="14861.4"/>
    <n v="3.12"/>
    <n v="0"/>
    <n v="2816"/>
    <n v="14675.2"/>
    <n v="3.35"/>
    <n v="247"/>
    <n v="139422.29999999999"/>
    <n v="3.25"/>
    <n v="8000"/>
  </r>
  <r>
    <s v="8000_0.3_0.5_500_1.0_order_2"/>
    <x v="3"/>
    <n v="0.3"/>
    <n v="0.5"/>
    <n v="500"/>
    <n v="1"/>
    <n v="2"/>
    <x v="1"/>
    <n v="148634.9"/>
    <n v="56161.1"/>
    <n v="92473.8"/>
    <n v="2400"/>
    <n v="3.55"/>
    <n v="47338.5"/>
    <n v="80666.399999999994"/>
    <n v="128004.9"/>
    <n v="11254.2"/>
    <n v="3519.3"/>
    <n v="14773.5"/>
    <n v="3.94"/>
    <n v="0"/>
    <n v="3427"/>
    <n v="14681.2"/>
    <n v="3.55"/>
    <n v="225"/>
    <n v="142686.1"/>
    <n v="4"/>
    <n v="8000"/>
  </r>
  <r>
    <s v="8000_0.3_0.5_500_1.0_order_3"/>
    <x v="3"/>
    <n v="0.3"/>
    <n v="0.5"/>
    <n v="500"/>
    <n v="1"/>
    <n v="3"/>
    <x v="1"/>
    <n v="144262.39999999999"/>
    <n v="58086.3"/>
    <n v="86176.1"/>
    <n v="2400"/>
    <n v="3.47"/>
    <n v="47410.5"/>
    <n v="73513.2"/>
    <n v="120923.7"/>
    <n v="14294.2"/>
    <n v="4284"/>
    <n v="18578.2"/>
    <n v="3.3"/>
    <n v="0"/>
    <n v="4109.8"/>
    <n v="18404"/>
    <n v="3.47"/>
    <n v="282"/>
    <n v="139327.70000000001"/>
    <n v="3.42"/>
    <n v="8000"/>
  </r>
  <r>
    <s v="8000_0.3_0.5_500_1.0_order_4"/>
    <x v="3"/>
    <n v="0.3"/>
    <n v="0.5"/>
    <n v="500"/>
    <n v="1"/>
    <n v="4"/>
    <x v="1"/>
    <n v="148149.79999999999"/>
    <n v="57952.5"/>
    <n v="90197.3"/>
    <n v="2400"/>
    <n v="3.5"/>
    <n v="47854.6"/>
    <n v="76865.899999999994"/>
    <n v="124720.5"/>
    <n v="14502.5"/>
    <n v="3394.3"/>
    <n v="17896.8"/>
    <n v="3.73"/>
    <n v="0"/>
    <n v="3261.2"/>
    <n v="17763.7"/>
    <n v="3.51"/>
    <n v="294"/>
    <n v="142484.20000000001"/>
    <n v="3.82"/>
    <n v="8000"/>
  </r>
  <r>
    <s v="8000_0.3_0.5_500_1.0_order_5"/>
    <x v="3"/>
    <n v="0.3"/>
    <n v="0.5"/>
    <n v="500"/>
    <n v="1"/>
    <n v="5"/>
    <x v="1"/>
    <n v="141610.70000000001"/>
    <n v="56169.4"/>
    <n v="85441.3"/>
    <n v="2400"/>
    <n v="3.32"/>
    <n v="46864.5"/>
    <n v="72577"/>
    <n v="119441.5"/>
    <n v="13867.4"/>
    <n v="3460.9"/>
    <n v="17328.3"/>
    <n v="3.42"/>
    <n v="0"/>
    <n v="3311.1"/>
    <n v="17178.5"/>
    <n v="3.32"/>
    <n v="300"/>
    <n v="136620"/>
    <n v="3.52"/>
    <n v="8000"/>
  </r>
  <r>
    <s v="8000_0.3_0.5_500_2.0_order_1"/>
    <x v="3"/>
    <n v="0.3"/>
    <n v="0.5"/>
    <n v="500"/>
    <n v="2"/>
    <n v="1"/>
    <x v="1"/>
    <n v="221975.5"/>
    <n v="84387.4"/>
    <n v="137588.1"/>
    <n v="2400"/>
    <n v="5.0599999999999996"/>
    <n v="73080.5"/>
    <n v="121760.2"/>
    <n v="194840.7"/>
    <n v="16072.4"/>
    <n v="4599.3999999999996"/>
    <n v="20671.8"/>
    <n v="2.91"/>
    <n v="0.01"/>
    <n v="4351.8999999999996"/>
    <n v="20424.3"/>
    <n v="5.07"/>
    <n v="338"/>
    <n v="215265"/>
    <n v="3.02"/>
    <n v="8000"/>
  </r>
  <r>
    <s v="8000_0.3_0.5_500_2.0_order_2"/>
    <x v="3"/>
    <n v="0.3"/>
    <n v="0.5"/>
    <n v="500"/>
    <n v="2"/>
    <n v="2"/>
    <x v="1"/>
    <n v="226878.6"/>
    <n v="84179.7"/>
    <n v="142698.9"/>
    <n v="2400"/>
    <n v="5.39"/>
    <n v="72892.600000000006"/>
    <n v="126212.5"/>
    <n v="199105.1"/>
    <n v="15455.7"/>
    <n v="4365.8"/>
    <n v="19821.5"/>
    <n v="3.5"/>
    <n v="0.01"/>
    <n v="3841.1"/>
    <n v="19296.8"/>
    <n v="5.4"/>
    <n v="377"/>
    <n v="218401.9"/>
    <n v="3.74"/>
    <n v="8000"/>
  </r>
  <r>
    <s v="8000_0.3_0.5_500_2.0_order_3"/>
    <x v="3"/>
    <n v="0.3"/>
    <n v="0.5"/>
    <n v="500"/>
    <n v="2"/>
    <n v="3"/>
    <x v="1"/>
    <n v="225127.8"/>
    <n v="86872.8"/>
    <n v="138255"/>
    <n v="2400"/>
    <n v="5.13"/>
    <n v="74618.100000000006"/>
    <n v="119028.8"/>
    <n v="193646.9"/>
    <n v="19375.8"/>
    <n v="5269"/>
    <n v="24644.799999999999"/>
    <n v="3.04"/>
    <n v="0.01"/>
    <n v="4726.8"/>
    <n v="24102.6"/>
    <n v="5.14"/>
    <n v="425"/>
    <n v="217749.5"/>
    <n v="3.28"/>
    <n v="8000"/>
  </r>
  <r>
    <s v="8000_0.3_0.5_500_2.0_order_4"/>
    <x v="3"/>
    <n v="0.3"/>
    <n v="0.5"/>
    <n v="500"/>
    <n v="2"/>
    <n v="4"/>
    <x v="1"/>
    <n v="219934.7"/>
    <n v="80894.3"/>
    <n v="139040.4"/>
    <n v="2400"/>
    <n v="5.13"/>
    <n v="73673.8"/>
    <n v="127179.4"/>
    <n v="200853.2"/>
    <n v="9774.7999999999993"/>
    <n v="2980.9"/>
    <n v="12755.7"/>
    <n v="2.88"/>
    <n v="0"/>
    <n v="2764.8"/>
    <n v="12539.6"/>
    <n v="5.13"/>
    <n v="215"/>
    <n v="213392.8"/>
    <n v="2.97"/>
    <n v="8000"/>
  </r>
  <r>
    <s v="8000_0.3_0.5_500_2.0_order_5"/>
    <x v="3"/>
    <n v="0.3"/>
    <n v="0.5"/>
    <n v="500"/>
    <n v="2"/>
    <n v="5"/>
    <x v="1"/>
    <n v="232193.7"/>
    <n v="89018.4"/>
    <n v="143175.29999999999"/>
    <n v="2400"/>
    <n v="5.2"/>
    <n v="81573.7"/>
    <n v="131972.4"/>
    <n v="213546.1"/>
    <n v="7815.8"/>
    <n v="1993.8"/>
    <n v="9809.6"/>
    <n v="3.81"/>
    <n v="0"/>
    <n v="1907.1"/>
    <n v="9722.9"/>
    <n v="5.2"/>
    <n v="175"/>
    <n v="223269"/>
    <n v="3.84"/>
    <n v="8000"/>
  </r>
  <r>
    <s v="8000_0.3_0.5_500_3.0_order_1"/>
    <x v="3"/>
    <n v="0.3"/>
    <n v="0.5"/>
    <n v="500"/>
    <n v="3"/>
    <n v="1"/>
    <x v="1"/>
    <n v="286207.8"/>
    <n v="103330.3"/>
    <n v="182877.5"/>
    <n v="2400"/>
    <n v="6.56"/>
    <n v="94136.7"/>
    <n v="171355.3"/>
    <n v="265492"/>
    <n v="8972.9"/>
    <n v="3392.5"/>
    <n v="12365.4"/>
    <n v="2.92"/>
    <n v="0"/>
    <n v="3007.7"/>
    <n v="11980.6"/>
    <n v="6.56"/>
    <n v="203"/>
    <n v="277472.59999999998"/>
    <n v="3.05"/>
    <n v="8000"/>
  </r>
  <r>
    <s v="8000_0.3_0.5_500_3.0_order_2"/>
    <x v="3"/>
    <n v="0.3"/>
    <n v="0.5"/>
    <n v="500"/>
    <n v="3"/>
    <n v="2"/>
    <x v="1"/>
    <n v="292783.7"/>
    <n v="109648.3"/>
    <n v="183135.4"/>
    <n v="2400"/>
    <n v="6.35"/>
    <n v="96340.3"/>
    <n v="165948.70000000001"/>
    <n v="262289"/>
    <n v="15580.4"/>
    <n v="5276.6"/>
    <n v="20857"/>
    <n v="3.29"/>
    <n v="0.01"/>
    <n v="4540"/>
    <n v="20120.400000000001"/>
    <n v="6.36"/>
    <n v="348"/>
    <n v="282409.40000000002"/>
    <n v="3.54"/>
    <n v="8000"/>
  </r>
  <r>
    <s v="8000_0.3_0.5_500_3.0_order_3"/>
    <x v="3"/>
    <n v="0.3"/>
    <n v="0.5"/>
    <n v="500"/>
    <n v="3"/>
    <n v="3"/>
    <x v="1"/>
    <n v="279304.09999999998"/>
    <n v="97293.7"/>
    <n v="182010.4"/>
    <n v="2400"/>
    <n v="5.95"/>
    <n v="85651"/>
    <n v="165381.6"/>
    <n v="251032.6"/>
    <n v="14058.6"/>
    <n v="4800.6000000000004"/>
    <n v="18859.2"/>
    <n v="3.37"/>
    <n v="0.01"/>
    <n v="4229.6000000000004"/>
    <n v="18288.2"/>
    <n v="5.96"/>
    <n v="346"/>
    <n v="269320.8"/>
    <n v="3.57"/>
    <n v="8000"/>
  </r>
  <r>
    <s v="8000_0.3_0.5_500_3.0_order_4"/>
    <x v="3"/>
    <n v="0.3"/>
    <n v="0.5"/>
    <n v="500"/>
    <n v="3"/>
    <n v="4"/>
    <x v="1"/>
    <n v="288972.40000000002"/>
    <n v="109882.8"/>
    <n v="179089.6"/>
    <n v="2400"/>
    <n v="5.33"/>
    <n v="98150.8"/>
    <n v="160457.4"/>
    <n v="258608.2"/>
    <n v="15345.9"/>
    <n v="4920.2"/>
    <n v="20266.099999999999"/>
    <n v="3.49"/>
    <n v="0.01"/>
    <n v="4388.3999999999996"/>
    <n v="19734.3"/>
    <n v="5.34"/>
    <n v="362"/>
    <n v="278342.5"/>
    <n v="3.68"/>
    <n v="8000"/>
  </r>
  <r>
    <s v="8000_0.3_0.5_500_3.0_order_5"/>
    <x v="3"/>
    <n v="0.3"/>
    <n v="0.5"/>
    <n v="500"/>
    <n v="3"/>
    <n v="5"/>
    <x v="1"/>
    <n v="289757"/>
    <n v="106708"/>
    <n v="183049"/>
    <n v="2400"/>
    <n v="5.49"/>
    <n v="91980.9"/>
    <n v="161855.1"/>
    <n v="253836"/>
    <n v="20080.2"/>
    <n v="6410.5"/>
    <n v="26490.7"/>
    <n v="3.25"/>
    <n v="0.01"/>
    <n v="5854.4"/>
    <n v="25934.6"/>
    <n v="5.5"/>
    <n v="436"/>
    <n v="279770.59999999998"/>
    <n v="3.45"/>
    <n v="8000"/>
  </r>
  <r>
    <s v="8000_0.4_0.5_1000_1.0_order_1"/>
    <x v="3"/>
    <n v="0.4"/>
    <n v="0.5"/>
    <n v="1000"/>
    <n v="1"/>
    <n v="1"/>
    <x v="1"/>
    <n v="278509.5"/>
    <n v="112049.60000000001"/>
    <n v="166459.9"/>
    <n v="2400"/>
    <n v="3.44"/>
    <n v="87830.9"/>
    <n v="134969.70000000001"/>
    <n v="222800.6"/>
    <n v="25777.200000000001"/>
    <n v="9712.6"/>
    <n v="35489.800000000003"/>
    <n v="7.26"/>
    <n v="0.02"/>
    <n v="9489.2000000000007"/>
    <n v="35266.400000000001"/>
    <n v="3.46"/>
    <n v="502"/>
    <n v="258067"/>
    <n v="7.34"/>
    <n v="8000"/>
  </r>
  <r>
    <s v="8000_0.4_0.5_1000_1.0_order_2"/>
    <x v="3"/>
    <n v="0.4"/>
    <n v="0.5"/>
    <n v="1000"/>
    <n v="1"/>
    <n v="2"/>
    <x v="1"/>
    <n v="283492.90000000002"/>
    <n v="109140.8"/>
    <n v="174352.1"/>
    <n v="2400"/>
    <n v="3.62"/>
    <n v="82005.399999999994"/>
    <n v="137919.29999999999"/>
    <n v="219924.7"/>
    <n v="34056.9"/>
    <n v="12214.2"/>
    <n v="46271.1"/>
    <n v="6.1"/>
    <n v="0.05"/>
    <n v="11723.7"/>
    <n v="45780.6"/>
    <n v="3.67"/>
    <n v="656"/>
    <n v="265705.3"/>
    <n v="6.27"/>
    <n v="8000"/>
  </r>
  <r>
    <s v="8000_0.4_0.5_1000_1.0_order_3"/>
    <x v="3"/>
    <n v="0.4"/>
    <n v="0.5"/>
    <n v="1000"/>
    <n v="1"/>
    <n v="3"/>
    <x v="1"/>
    <n v="288322.90000000002"/>
    <n v="112088.6"/>
    <n v="176234.3"/>
    <n v="2400"/>
    <n v="3.65"/>
    <n v="83879.899999999994"/>
    <n v="134817"/>
    <n v="218696.9"/>
    <n v="35568.699999999997"/>
    <n v="13858.1"/>
    <n v="49426.8"/>
    <n v="7.01"/>
    <n v="0.1"/>
    <n v="13136.4"/>
    <n v="48705.1"/>
    <n v="3.75"/>
    <n v="704"/>
    <n v="267402"/>
    <n v="7.26"/>
    <n v="8000"/>
  </r>
  <r>
    <s v="8000_0.4_0.5_1000_1.0_order_4"/>
    <x v="3"/>
    <n v="0.4"/>
    <n v="0.5"/>
    <n v="1000"/>
    <n v="1"/>
    <n v="4"/>
    <x v="1"/>
    <n v="273858.09999999998"/>
    <n v="109017.3"/>
    <n v="164840.79999999999"/>
    <n v="2400"/>
    <n v="3.56"/>
    <n v="87883.1"/>
    <n v="138252.1"/>
    <n v="226135.2"/>
    <n v="24353.200000000001"/>
    <n v="9411"/>
    <n v="33764.199999999997"/>
    <n v="5.0999999999999996"/>
    <n v="0.02"/>
    <n v="9056.5"/>
    <n v="33409.699999999997"/>
    <n v="3.58"/>
    <n v="504"/>
    <n v="259544.9"/>
    <n v="5.23"/>
    <n v="8000"/>
  </r>
  <r>
    <s v="8000_0.4_0.5_1000_1.0_order_5"/>
    <x v="3"/>
    <n v="0.4"/>
    <n v="0.5"/>
    <n v="1000"/>
    <n v="1"/>
    <n v="5"/>
    <x v="1"/>
    <n v="283949.09999999998"/>
    <n v="113617.60000000001"/>
    <n v="170331.5"/>
    <n v="2400"/>
    <n v="3.38"/>
    <n v="86836.5"/>
    <n v="135175.1"/>
    <n v="222011.6"/>
    <n v="30993.8"/>
    <n v="11758.4"/>
    <n v="42752.2"/>
    <n v="6.76"/>
    <n v="0.05"/>
    <n v="11248.7"/>
    <n v="42242.5"/>
    <n v="3.42"/>
    <n v="629"/>
    <n v="264254.09999999998"/>
    <n v="6.94"/>
    <n v="8000"/>
  </r>
  <r>
    <s v="8000_0.4_0.5_1000_2.0_order_1"/>
    <x v="3"/>
    <n v="0.4"/>
    <n v="0.5"/>
    <n v="1000"/>
    <n v="2"/>
    <n v="1"/>
    <x v="1"/>
    <n v="435805.3"/>
    <n v="168093.4"/>
    <n v="267711.90000000002"/>
    <n v="2400"/>
    <n v="3.46"/>
    <n v="109354.4"/>
    <n v="179921.8"/>
    <n v="289276.2"/>
    <n v="82822.8"/>
    <n v="33827"/>
    <n v="116649.8"/>
    <n v="6.86"/>
    <n v="0.76"/>
    <n v="31917.3"/>
    <n v="114740.1"/>
    <n v="4.22"/>
    <n v="1756"/>
    <n v="404016.3"/>
    <n v="7.29"/>
    <n v="8000"/>
  </r>
  <r>
    <s v="8000_0.4_0.5_1000_2.0_order_2"/>
    <x v="3"/>
    <n v="0.4"/>
    <n v="0.5"/>
    <n v="1000"/>
    <n v="2"/>
    <n v="2"/>
    <x v="1"/>
    <n v="442496.5"/>
    <n v="166733.79999999999"/>
    <n v="275762.7"/>
    <n v="2400"/>
    <n v="3.26"/>
    <n v="106596.3"/>
    <n v="182867.3"/>
    <n v="289463.59999999998"/>
    <n v="85354.7"/>
    <n v="35211.9"/>
    <n v="120566.6"/>
    <n v="7.34"/>
    <n v="0.86"/>
    <n v="33247.300000000003"/>
    <n v="118602"/>
    <n v="4.12"/>
    <n v="1851"/>
    <n v="408065.6"/>
    <n v="7.78"/>
    <n v="8000"/>
  </r>
  <r>
    <s v="8000_0.4_0.5_1000_2.0_order_3"/>
    <x v="3"/>
    <n v="0.4"/>
    <n v="0.5"/>
    <n v="1000"/>
    <n v="2"/>
    <n v="3"/>
    <x v="1"/>
    <n v="452037.4"/>
    <n v="182112.7"/>
    <n v="269924.7"/>
    <n v="2400"/>
    <n v="3.41"/>
    <n v="118539.9"/>
    <n v="172757.5"/>
    <n v="291297.40000000002"/>
    <n v="84919.6"/>
    <n v="36399.599999999999"/>
    <n v="121319.2"/>
    <n v="8.7200000000000006"/>
    <n v="0.9"/>
    <n v="34857.4"/>
    <n v="119777"/>
    <n v="4.3099999999999996"/>
    <n v="1854"/>
    <n v="411074.4"/>
    <n v="9.06"/>
    <n v="8000"/>
  </r>
  <r>
    <s v="8000_0.4_0.5_1000_2.0_order_4"/>
    <x v="3"/>
    <n v="0.4"/>
    <n v="0.5"/>
    <n v="1000"/>
    <n v="2"/>
    <n v="4"/>
    <x v="1"/>
    <n v="441614.5"/>
    <n v="169950.8"/>
    <n v="271663.7"/>
    <n v="2400"/>
    <n v="3.65"/>
    <n v="120779.2"/>
    <n v="200662.9"/>
    <n v="321442.09999999998"/>
    <n v="59904.5"/>
    <n v="26974.3"/>
    <n v="86878.8"/>
    <n v="7.54"/>
    <n v="0.47"/>
    <n v="25513.3"/>
    <n v="85417.8"/>
    <n v="4.1100000000000003"/>
    <n v="1239"/>
    <n v="406859.9"/>
    <n v="7.87"/>
    <n v="8000"/>
  </r>
  <r>
    <s v="8000_0.4_0.5_1000_2.0_order_5"/>
    <x v="3"/>
    <n v="0.4"/>
    <n v="0.5"/>
    <n v="1000"/>
    <n v="2"/>
    <n v="5"/>
    <x v="1"/>
    <n v="456297.9"/>
    <n v="162777.9"/>
    <n v="293520"/>
    <n v="2400"/>
    <n v="3.61"/>
    <n v="118059.5"/>
    <n v="222225.6"/>
    <n v="340285.1"/>
    <n v="56448.2"/>
    <n v="25857.7"/>
    <n v="82305.899999999994"/>
    <n v="7.39"/>
    <n v="0.37"/>
    <n v="24676.5"/>
    <n v="81124.7"/>
    <n v="3.97"/>
    <n v="1141"/>
    <n v="421409.8"/>
    <n v="7.65"/>
    <n v="8000"/>
  </r>
  <r>
    <s v="8000_0.4_0.5_1000_3.0_order_1"/>
    <x v="3"/>
    <n v="0.4"/>
    <n v="0.5"/>
    <n v="1000"/>
    <n v="3"/>
    <n v="1"/>
    <x v="1"/>
    <n v="557435.6"/>
    <n v="222718.9"/>
    <n v="334716.7"/>
    <n v="2400"/>
    <n v="4.22"/>
    <n v="137464"/>
    <n v="214053.8"/>
    <n v="351517.8"/>
    <n v="105072.3"/>
    <n v="44953.5"/>
    <n v="150025.79999999999"/>
    <n v="10.029999999999999"/>
    <n v="1.49"/>
    <n v="42547.8"/>
    <n v="147620.1"/>
    <n v="5.72"/>
    <n v="2370"/>
    <n v="499137.9"/>
    <n v="10.46"/>
    <n v="8000"/>
  </r>
  <r>
    <s v="8000_0.4_0.5_1000_3.0_order_2"/>
    <x v="3"/>
    <n v="0.4"/>
    <n v="0.5"/>
    <n v="1000"/>
    <n v="3"/>
    <n v="2"/>
    <x v="1"/>
    <n v="581757.6"/>
    <n v="227255.3"/>
    <n v="354502.3"/>
    <n v="2400"/>
    <n v="5.14"/>
    <n v="140210"/>
    <n v="228495.1"/>
    <n v="368705.1"/>
    <n v="102633.8"/>
    <n v="44997.599999999999"/>
    <n v="147631.4"/>
    <n v="11.25"/>
    <n v="1.46"/>
    <n v="43003.8"/>
    <n v="145637.6"/>
    <n v="6.6"/>
    <n v="2311"/>
    <n v="514342.7"/>
    <n v="11.59"/>
    <n v="8000"/>
  </r>
  <r>
    <s v="8000_0.4_0.5_1000_3.0_order_3"/>
    <x v="3"/>
    <n v="0.4"/>
    <n v="0.5"/>
    <n v="1000"/>
    <n v="3"/>
    <n v="3"/>
    <x v="1"/>
    <n v="567769.5"/>
    <n v="226650.8"/>
    <n v="341118.7"/>
    <n v="2400"/>
    <n v="5.07"/>
    <n v="139396"/>
    <n v="217587.1"/>
    <n v="356983.1"/>
    <n v="104233.1"/>
    <n v="45548.7"/>
    <n v="149781.79999999999"/>
    <n v="10.74"/>
    <n v="1.45"/>
    <n v="42864.9"/>
    <n v="147098"/>
    <n v="6.52"/>
    <n v="2325"/>
    <n v="504081.1"/>
    <n v="11.22"/>
    <n v="8000"/>
  </r>
  <r>
    <s v="8000_0.4_0.5_1000_3.0_order_4"/>
    <x v="3"/>
    <n v="0.4"/>
    <n v="0.5"/>
    <n v="1000"/>
    <n v="3"/>
    <n v="4"/>
    <x v="1"/>
    <n v="578695.1"/>
    <n v="220248.4"/>
    <n v="358446.7"/>
    <n v="2400"/>
    <n v="5.0199999999999996"/>
    <n v="136151.4"/>
    <n v="228834.2"/>
    <n v="364985.59999999998"/>
    <n v="105502.7"/>
    <n v="45428.800000000003"/>
    <n v="150931.5"/>
    <n v="10.85"/>
    <n v="1.45"/>
    <n v="43428.5"/>
    <n v="148931.20000000001"/>
    <n v="6.47"/>
    <n v="2378"/>
    <n v="513916.8"/>
    <n v="11.19"/>
    <n v="8000"/>
  </r>
  <r>
    <s v="8000_0.4_0.5_1000_3.0_order_5"/>
    <x v="3"/>
    <n v="0.4"/>
    <n v="0.5"/>
    <n v="1000"/>
    <n v="3"/>
    <n v="5"/>
    <x v="1"/>
    <n v="590660.69999999995"/>
    <n v="215654.3"/>
    <n v="375006.4"/>
    <n v="2400"/>
    <n v="4.7699999999999996"/>
    <n v="134452.9"/>
    <n v="243156.9"/>
    <n v="377609.8"/>
    <n v="102878.7"/>
    <n v="46474.400000000001"/>
    <n v="149353.1"/>
    <n v="10.78"/>
    <n v="1.49"/>
    <n v="44328.5"/>
    <n v="147207.20000000001"/>
    <n v="6.26"/>
    <n v="2350"/>
    <n v="524817"/>
    <n v="11.15"/>
    <n v="8000"/>
  </r>
  <r>
    <s v="8000_0.4_0.5_2000_1.0_order_1"/>
    <x v="3"/>
    <n v="0.4"/>
    <n v="0.5"/>
    <n v="2000"/>
    <n v="1"/>
    <n v="1"/>
    <x v="1"/>
    <n v="557823.1"/>
    <n v="221562.4"/>
    <n v="336260.7"/>
    <n v="2400"/>
    <n v="2.64"/>
    <n v="136027.79999999999"/>
    <n v="210349.1"/>
    <n v="346376.9"/>
    <n v="93862.5"/>
    <n v="39188.6"/>
    <n v="133051.1"/>
    <n v="14.05"/>
    <n v="1.06"/>
    <n v="37134.199999999997"/>
    <n v="130996.7"/>
    <n v="3.7"/>
    <n v="2093"/>
    <n v="477373.6"/>
    <n v="14.42"/>
    <n v="8000"/>
  </r>
  <r>
    <s v="8000_0.4_0.5_2000_1.0_order_2"/>
    <x v="3"/>
    <n v="0.4"/>
    <n v="0.5"/>
    <n v="2000"/>
    <n v="1"/>
    <n v="2"/>
    <x v="1"/>
    <n v="574477.4"/>
    <n v="217902.4"/>
    <n v="356575"/>
    <n v="2400"/>
    <n v="2.6"/>
    <n v="130608.2"/>
    <n v="216654.2"/>
    <n v="347262.4"/>
    <n v="101398.39999999999"/>
    <n v="41101.1"/>
    <n v="142499.5"/>
    <n v="14.75"/>
    <n v="1.1299999999999999"/>
    <n v="39176.1"/>
    <n v="140574.5"/>
    <n v="3.73"/>
    <n v="2266"/>
    <n v="487836.9"/>
    <n v="15.08"/>
    <n v="8000"/>
  </r>
  <r>
    <s v="8000_0.4_0.5_2000_1.0_order_3"/>
    <x v="3"/>
    <n v="0.4"/>
    <n v="0.5"/>
    <n v="2000"/>
    <n v="1"/>
    <n v="3"/>
    <x v="1"/>
    <n v="568049.30000000005"/>
    <n v="222300.5"/>
    <n v="345748.8"/>
    <n v="2400"/>
    <n v="2.77"/>
    <n v="137223.9"/>
    <n v="223813.1"/>
    <n v="361037"/>
    <n v="88939.8"/>
    <n v="36622.199999999997"/>
    <n v="125562"/>
    <n v="14.34"/>
    <n v="0.83"/>
    <n v="34791.599999999999"/>
    <n v="123731.4"/>
    <n v="3.6"/>
    <n v="1919"/>
    <n v="484768.4"/>
    <n v="14.66"/>
    <n v="8000"/>
  </r>
  <r>
    <s v="8000_0.4_0.5_2000_1.0_order_4"/>
    <x v="3"/>
    <n v="0.4"/>
    <n v="0.5"/>
    <n v="2000"/>
    <n v="1"/>
    <n v="4"/>
    <x v="1"/>
    <n v="581912.6"/>
    <n v="225923.8"/>
    <n v="355988.8"/>
    <n v="2400"/>
    <n v="2.65"/>
    <n v="140722.29999999999"/>
    <n v="228277.8"/>
    <n v="369000.1"/>
    <n v="90047.7"/>
    <n v="37191.300000000003"/>
    <n v="127239"/>
    <n v="14.72"/>
    <n v="0.94"/>
    <n v="35176.9"/>
    <n v="125224.6"/>
    <n v="3.59"/>
    <n v="1921"/>
    <n v="494224.7"/>
    <n v="15.07"/>
    <n v="8000"/>
  </r>
  <r>
    <s v="8000_0.4_0.5_2000_1.0_order_5"/>
    <x v="3"/>
    <n v="0.4"/>
    <n v="0.5"/>
    <n v="2000"/>
    <n v="1"/>
    <n v="5"/>
    <x v="1"/>
    <n v="572459.9"/>
    <n v="219618.8"/>
    <n v="352841.1"/>
    <n v="2400"/>
    <n v="2.64"/>
    <n v="138228.1"/>
    <n v="226969.3"/>
    <n v="365197.4"/>
    <n v="86761.5"/>
    <n v="37061.1"/>
    <n v="123822.6"/>
    <n v="14.58"/>
    <n v="0.91"/>
    <n v="35270"/>
    <n v="122031.5"/>
    <n v="3.55"/>
    <n v="1890"/>
    <n v="487228.9"/>
    <n v="14.89"/>
    <n v="8000"/>
  </r>
  <r>
    <s v="8000_0.4_0.5_2000_2.0_order_1"/>
    <x v="3"/>
    <n v="0.4"/>
    <n v="0.5"/>
    <n v="2000"/>
    <n v="2"/>
    <n v="1"/>
    <x v="1"/>
    <n v="879041"/>
    <n v="331624.40000000002"/>
    <n v="547416.6"/>
    <n v="2400"/>
    <n v="4.63"/>
    <n v="210735.3"/>
    <n v="361115.1"/>
    <n v="571850.4"/>
    <n v="101853.7"/>
    <n v="48222.400000000001"/>
    <n v="150076.1"/>
    <n v="17.87"/>
    <n v="1.65"/>
    <n v="45358.6"/>
    <n v="147212.29999999999"/>
    <n v="6.28"/>
    <n v="2348"/>
    <n v="719062.7"/>
    <n v="18.2"/>
    <n v="8000"/>
  </r>
  <r>
    <s v="8000_0.4_0.5_2000_2.0_order_2"/>
    <x v="3"/>
    <n v="0.4"/>
    <n v="0.5"/>
    <n v="2000"/>
    <n v="2"/>
    <n v="2"/>
    <x v="1"/>
    <n v="895929.2"/>
    <n v="335858.2"/>
    <n v="560071"/>
    <n v="2400"/>
    <n v="5.89"/>
    <n v="214152.8"/>
    <n v="366079.7"/>
    <n v="580232.5"/>
    <n v="100741"/>
    <n v="47826.8"/>
    <n v="148567.79999999999"/>
    <n v="18.649999999999999"/>
    <n v="1.69"/>
    <n v="45167.1"/>
    <n v="145908.1"/>
    <n v="7.58"/>
    <n v="2266"/>
    <n v="726140.6"/>
    <n v="18.95"/>
    <n v="8000"/>
  </r>
  <r>
    <s v="8000_0.4_0.5_2000_2.0_order_3"/>
    <x v="3"/>
    <n v="0.4"/>
    <n v="0.5"/>
    <n v="2000"/>
    <n v="2"/>
    <n v="3"/>
    <x v="1"/>
    <n v="882760.1"/>
    <n v="328520.5"/>
    <n v="554239.6"/>
    <n v="2400"/>
    <n v="4.55"/>
    <n v="205020.7"/>
    <n v="359248.7"/>
    <n v="564269.4"/>
    <n v="104931.1"/>
    <n v="48801.9"/>
    <n v="153733"/>
    <n v="18.66"/>
    <n v="1.84"/>
    <n v="46121"/>
    <n v="151052.1"/>
    <n v="6.38"/>
    <n v="2399"/>
    <n v="715321.5"/>
    <n v="18.97"/>
    <n v="8000"/>
  </r>
  <r>
    <s v="8000_0.4_0.5_2000_2.0_order_4"/>
    <x v="3"/>
    <n v="0.4"/>
    <n v="0.5"/>
    <n v="2000"/>
    <n v="2"/>
    <n v="4"/>
    <x v="1"/>
    <n v="890793.9"/>
    <n v="333769.09999999998"/>
    <n v="557024.80000000005"/>
    <n v="2400"/>
    <n v="5.46"/>
    <n v="208385.9"/>
    <n v="353692.1"/>
    <n v="562078"/>
    <n v="105703.6"/>
    <n v="48537.5"/>
    <n v="154241.1"/>
    <n v="19.59"/>
    <n v="1.66"/>
    <n v="46307.3"/>
    <n v="152010.9"/>
    <n v="7.12"/>
    <n v="2388"/>
    <n v="714088.9"/>
    <n v="19.84"/>
    <n v="8000"/>
  </r>
  <r>
    <s v="8000_0.4_0.5_2000_2.0_order_5"/>
    <x v="3"/>
    <n v="0.4"/>
    <n v="0.5"/>
    <n v="2000"/>
    <n v="2"/>
    <n v="5"/>
    <x v="1"/>
    <n v="911648.3"/>
    <n v="355200.1"/>
    <n v="556448.19999999995"/>
    <n v="2400"/>
    <n v="5.52"/>
    <n v="223404.6"/>
    <n v="367145.3"/>
    <n v="590549.9"/>
    <n v="105135.2"/>
    <n v="48015"/>
    <n v="153150.20000000001"/>
    <n v="18.420000000000002"/>
    <n v="1.82"/>
    <n v="45184.2"/>
    <n v="150319.4"/>
    <n v="7.34"/>
    <n v="2400"/>
    <n v="740869.3"/>
    <n v="18.73"/>
    <n v="8000"/>
  </r>
  <r>
    <s v="8000_0.4_0.5_2000_3.0_order_1"/>
    <x v="3"/>
    <n v="0.4"/>
    <n v="0.5"/>
    <n v="2000"/>
    <n v="3"/>
    <n v="1"/>
    <x v="1"/>
    <n v="1144134.7"/>
    <n v="435526.8"/>
    <n v="708607.9"/>
    <n v="2400"/>
    <n v="8.49"/>
    <n v="286317"/>
    <n v="481728.7"/>
    <n v="768045.7"/>
    <n v="100349.8"/>
    <n v="49116.5"/>
    <n v="149466.29999999999"/>
    <n v="19.809999999999999"/>
    <n v="1.86"/>
    <n v="46770.1"/>
    <n v="147119.9"/>
    <n v="10.35"/>
    <n v="2348"/>
    <n v="915165.6"/>
    <n v="20.010000000000002"/>
    <n v="8000"/>
  </r>
  <r>
    <s v="8000_0.4_0.5_2000_3.0_order_2"/>
    <x v="3"/>
    <n v="0.4"/>
    <n v="0.5"/>
    <n v="2000"/>
    <n v="3"/>
    <n v="2"/>
    <x v="1"/>
    <n v="1169628.8"/>
    <n v="444905.8"/>
    <n v="724723"/>
    <n v="2400"/>
    <n v="8.5399999999999991"/>
    <n v="294404.8"/>
    <n v="491127.5"/>
    <n v="785532.3"/>
    <n v="102240.9"/>
    <n v="50553.5"/>
    <n v="152794.4"/>
    <n v="19.78"/>
    <n v="1.88"/>
    <n v="47901.599999999999"/>
    <n v="150142.5"/>
    <n v="10.42"/>
    <n v="2332"/>
    <n v="935674.8"/>
    <n v="20"/>
    <n v="8000"/>
  </r>
  <r>
    <s v="8000_0.4_0.5_2000_3.0_order_3"/>
    <x v="3"/>
    <n v="0.4"/>
    <n v="0.5"/>
    <n v="2000"/>
    <n v="3"/>
    <n v="3"/>
    <x v="1"/>
    <n v="1163270.8"/>
    <n v="449150.5"/>
    <n v="714120.3"/>
    <n v="2400"/>
    <n v="8.42"/>
    <n v="298689.40000000002"/>
    <n v="487846"/>
    <n v="786535.4"/>
    <n v="101595.2"/>
    <n v="50798.7"/>
    <n v="152393.9"/>
    <n v="19.29"/>
    <n v="1.9"/>
    <n v="47599.4"/>
    <n v="149194.6"/>
    <n v="10.32"/>
    <n v="2353"/>
    <n v="935730"/>
    <n v="19.559999999999999"/>
    <n v="8000"/>
  </r>
  <r>
    <s v="8000_0.4_0.5_2000_3.0_order_4"/>
    <x v="3"/>
    <n v="0.4"/>
    <n v="0.5"/>
    <n v="2000"/>
    <n v="3"/>
    <n v="4"/>
    <x v="1"/>
    <n v="1180601.1000000001"/>
    <n v="442385.1"/>
    <n v="738216"/>
    <n v="2400"/>
    <n v="8.44"/>
    <n v="292884.2"/>
    <n v="500680"/>
    <n v="793564.2"/>
    <n v="101555.3"/>
    <n v="49892.800000000003"/>
    <n v="151448.1"/>
    <n v="19.95"/>
    <n v="1.86"/>
    <n v="47427.8"/>
    <n v="148983.1"/>
    <n v="10.3"/>
    <n v="2347"/>
    <n v="942547.3"/>
    <n v="20.16"/>
    <n v="8000"/>
  </r>
  <r>
    <s v="8000_0.4_0.5_2000_3.0_order_5"/>
    <x v="3"/>
    <n v="0.4"/>
    <n v="0.5"/>
    <n v="2000"/>
    <n v="3"/>
    <n v="5"/>
    <x v="1"/>
    <n v="1164364.2"/>
    <n v="446342.3"/>
    <n v="718021.9"/>
    <n v="2400"/>
    <n v="8.14"/>
    <n v="300409.5"/>
    <n v="494661.9"/>
    <n v="795071.4"/>
    <n v="99324.9"/>
    <n v="51100.2"/>
    <n v="150425.1"/>
    <n v="18.8"/>
    <n v="1.88"/>
    <n v="48528"/>
    <n v="147852.9"/>
    <n v="10.02"/>
    <n v="2294"/>
    <n v="942924.3"/>
    <n v="19.02"/>
    <n v="8000"/>
  </r>
  <r>
    <s v="8000_0.4_0.5_500_1.0_order_1"/>
    <x v="3"/>
    <n v="0.4"/>
    <n v="0.5"/>
    <n v="500"/>
    <n v="1"/>
    <n v="1"/>
    <x v="1"/>
    <n v="137948.4"/>
    <n v="56686"/>
    <n v="81262.399999999994"/>
    <n v="2400"/>
    <n v="2.93"/>
    <n v="48895.199999999997"/>
    <n v="73033.7"/>
    <n v="121928.9"/>
    <n v="8689.7999999999993"/>
    <n v="2923.8"/>
    <n v="11613.6"/>
    <n v="3.19"/>
    <n v="0"/>
    <n v="2816.4"/>
    <n v="11506.2"/>
    <n v="2.93"/>
    <n v="172"/>
    <n v="133435.1"/>
    <n v="3.27"/>
    <n v="8000"/>
  </r>
  <r>
    <s v="8000_0.4_0.5_500_1.0_order_2"/>
    <x v="3"/>
    <n v="0.4"/>
    <n v="0.5"/>
    <n v="500"/>
    <n v="1"/>
    <n v="2"/>
    <x v="1"/>
    <n v="145133.4"/>
    <n v="57078.2"/>
    <n v="88055.2"/>
    <n v="2400"/>
    <n v="3.27"/>
    <n v="46724.5"/>
    <n v="75081.5"/>
    <n v="121806"/>
    <n v="12217.9"/>
    <n v="4223.3"/>
    <n v="16441.2"/>
    <n v="4.74"/>
    <n v="0.01"/>
    <n v="3918.7"/>
    <n v="16136.6"/>
    <n v="3.28"/>
    <n v="283"/>
    <n v="137942.6"/>
    <n v="4.95"/>
    <n v="8000"/>
  </r>
  <r>
    <s v="8000_0.4_0.5_500_1.0_order_3"/>
    <x v="3"/>
    <n v="0.4"/>
    <n v="0.5"/>
    <n v="500"/>
    <n v="1"/>
    <n v="3"/>
    <x v="1"/>
    <n v="148208.79999999999"/>
    <n v="57969.9"/>
    <n v="90238.9"/>
    <n v="2400"/>
    <n v="3.42"/>
    <n v="48478.400000000001"/>
    <n v="76140.899999999994"/>
    <n v="124619.3"/>
    <n v="13916"/>
    <n v="3901.2"/>
    <n v="17817.2"/>
    <n v="3.89"/>
    <n v="0"/>
    <n v="3698"/>
    <n v="17614"/>
    <n v="3.42"/>
    <n v="284"/>
    <n v="142233.29999999999"/>
    <n v="4.03"/>
    <n v="8000"/>
  </r>
  <r>
    <s v="8000_0.4_0.5_500_1.0_order_4"/>
    <x v="3"/>
    <n v="0.4"/>
    <n v="0.5"/>
    <n v="500"/>
    <n v="1"/>
    <n v="4"/>
    <x v="1"/>
    <n v="140471.79999999999"/>
    <n v="55659.4"/>
    <n v="84812.4"/>
    <n v="2400"/>
    <n v="3.17"/>
    <n v="43494.9"/>
    <n v="73363.399999999994"/>
    <n v="116858.3"/>
    <n v="12519.1"/>
    <n v="4112.2"/>
    <n v="16631.3"/>
    <n v="4.97"/>
    <n v="0"/>
    <n v="3848.7"/>
    <n v="16367.8"/>
    <n v="3.18"/>
    <n v="255"/>
    <n v="133226.1"/>
    <n v="5.16"/>
    <n v="8000"/>
  </r>
  <r>
    <s v="8000_0.4_0.5_500_1.0_order_5"/>
    <x v="3"/>
    <n v="0.4"/>
    <n v="0.5"/>
    <n v="500"/>
    <n v="1"/>
    <n v="5"/>
    <x v="1"/>
    <n v="143922.29999999999"/>
    <n v="56113.3"/>
    <n v="87809"/>
    <n v="2400"/>
    <n v="3.27"/>
    <n v="46616"/>
    <n v="75897.5"/>
    <n v="122513.5"/>
    <n v="11359.9"/>
    <n v="3439.6"/>
    <n v="14799.5"/>
    <n v="4.59"/>
    <n v="0"/>
    <n v="3189.7"/>
    <n v="14549.6"/>
    <n v="3.27"/>
    <n v="243"/>
    <n v="137063.1"/>
    <n v="4.7699999999999996"/>
    <n v="8000"/>
  </r>
  <r>
    <s v="8000_0.4_0.5_500_2.0_order_1"/>
    <x v="3"/>
    <n v="0.4"/>
    <n v="0.5"/>
    <n v="500"/>
    <n v="2"/>
    <n v="1"/>
    <x v="1"/>
    <n v="229282.4"/>
    <n v="85888.4"/>
    <n v="143394"/>
    <n v="2400"/>
    <n v="4.68"/>
    <n v="72032.800000000003"/>
    <n v="124152.1"/>
    <n v="196184.9"/>
    <n v="17777"/>
    <n v="6584.2"/>
    <n v="24361.200000000001"/>
    <n v="3.81"/>
    <n v="0.02"/>
    <n v="5979.6"/>
    <n v="23756.6"/>
    <n v="4.6900000000000004"/>
    <n v="393"/>
    <n v="219941.5"/>
    <n v="4.07"/>
    <n v="8000"/>
  </r>
  <r>
    <s v="8000_0.4_0.5_500_2.0_order_2"/>
    <x v="3"/>
    <n v="0.4"/>
    <n v="0.5"/>
    <n v="500"/>
    <n v="2"/>
    <n v="2"/>
    <x v="1"/>
    <n v="219348.1"/>
    <n v="82554.600000000006"/>
    <n v="136793.5"/>
    <n v="2400"/>
    <n v="4.7"/>
    <n v="72584.5"/>
    <n v="121755.1"/>
    <n v="194339.6"/>
    <n v="10826.7"/>
    <n v="5746.1"/>
    <n v="16572.8"/>
    <n v="3.85"/>
    <n v="0.01"/>
    <n v="5417.5"/>
    <n v="16244.2"/>
    <n v="4.71"/>
    <n v="247"/>
    <n v="210583.8"/>
    <n v="4"/>
    <n v="8000"/>
  </r>
  <r>
    <s v="8000_0.4_0.5_500_2.0_order_3"/>
    <x v="3"/>
    <n v="0.4"/>
    <n v="0.5"/>
    <n v="500"/>
    <n v="2"/>
    <n v="3"/>
    <x v="1"/>
    <n v="220193.1"/>
    <n v="86632.4"/>
    <n v="133560.70000000001"/>
    <n v="2400"/>
    <n v="4.67"/>
    <n v="78767.399999999994"/>
    <n v="123011.6"/>
    <n v="201779"/>
    <n v="6737.5"/>
    <n v="3098"/>
    <n v="9835.5"/>
    <n v="3.9"/>
    <n v="0"/>
    <n v="2970.2"/>
    <n v="9707.7000000000007"/>
    <n v="4.67"/>
    <n v="135"/>
    <n v="211486.7"/>
    <n v="3.95"/>
    <n v="8000"/>
  </r>
  <r>
    <s v="8000_0.4_0.5_500_2.0_order_4"/>
    <x v="3"/>
    <n v="0.4"/>
    <n v="0.5"/>
    <n v="500"/>
    <n v="2"/>
    <n v="4"/>
    <x v="1"/>
    <n v="204104.4"/>
    <n v="78709.2"/>
    <n v="125395.2"/>
    <n v="2400"/>
    <n v="4.3"/>
    <n v="64123.6"/>
    <n v="107049.8"/>
    <n v="171173.4"/>
    <n v="16166.7"/>
    <n v="6143.4"/>
    <n v="22310.1"/>
    <n v="5.2"/>
    <n v="0.01"/>
    <n v="5602.6"/>
    <n v="21769.3"/>
    <n v="4.3099999999999996"/>
    <n v="356"/>
    <n v="192942.7"/>
    <n v="5.47"/>
    <n v="8000"/>
  </r>
  <r>
    <s v="8000_0.4_0.5_500_2.0_order_5"/>
    <x v="3"/>
    <n v="0.4"/>
    <n v="0.5"/>
    <n v="500"/>
    <n v="2"/>
    <n v="5"/>
    <x v="1"/>
    <n v="232301.2"/>
    <n v="86860"/>
    <n v="145441.20000000001"/>
    <n v="2400"/>
    <n v="4.51"/>
    <n v="75385.399999999994"/>
    <n v="127760.2"/>
    <n v="203145.60000000001"/>
    <n v="13694.9"/>
    <n v="5618.4"/>
    <n v="19313.3"/>
    <n v="4.24"/>
    <n v="0.01"/>
    <n v="5352.1"/>
    <n v="19047"/>
    <n v="4.5199999999999996"/>
    <n v="270"/>
    <n v="222192.6"/>
    <n v="4.3499999999999996"/>
    <n v="8000"/>
  </r>
  <r>
    <s v="8000_0.4_0.5_500_3.0_order_1"/>
    <x v="3"/>
    <n v="0.4"/>
    <n v="0.5"/>
    <n v="500"/>
    <n v="3"/>
    <n v="1"/>
    <x v="1"/>
    <n v="296222.40000000002"/>
    <n v="117972.9"/>
    <n v="178249.5"/>
    <n v="2400"/>
    <n v="4.8499999999999996"/>
    <n v="97674.6"/>
    <n v="153805.20000000001"/>
    <n v="251479.8"/>
    <n v="21655.4"/>
    <n v="9772.7999999999993"/>
    <n v="31428.2"/>
    <n v="4.49"/>
    <n v="0.03"/>
    <n v="9003.7999999999993"/>
    <n v="30659.200000000001"/>
    <n v="4.88"/>
    <n v="460"/>
    <n v="282139"/>
    <n v="4.75"/>
    <n v="8000"/>
  </r>
  <r>
    <s v="8000_0.4_0.5_500_3.0_order_2"/>
    <x v="3"/>
    <n v="0.4"/>
    <n v="0.5"/>
    <n v="500"/>
    <n v="3"/>
    <n v="2"/>
    <x v="1"/>
    <n v="292071.5"/>
    <n v="117693.5"/>
    <n v="174378"/>
    <n v="2400"/>
    <n v="4.7"/>
    <n v="106577.1"/>
    <n v="158250.29999999999"/>
    <n v="264827.40000000002"/>
    <n v="9260.7000000000007"/>
    <n v="4203.2"/>
    <n v="13463.9"/>
    <n v="4.72"/>
    <n v="0.01"/>
    <n v="3929.7"/>
    <n v="13190.4"/>
    <n v="4.7"/>
    <n v="194"/>
    <n v="278017.8"/>
    <n v="4.8099999999999996"/>
    <n v="8000"/>
  </r>
  <r>
    <s v="8000_0.4_0.5_500_3.0_order_3"/>
    <x v="3"/>
    <n v="0.4"/>
    <n v="0.5"/>
    <n v="500"/>
    <n v="3"/>
    <n v="3"/>
    <x v="1"/>
    <n v="284594.5"/>
    <n v="104800.7"/>
    <n v="179793.8"/>
    <n v="2400"/>
    <n v="5.25"/>
    <n v="91147"/>
    <n v="158344.79999999999"/>
    <n v="249491.8"/>
    <n v="16630.5"/>
    <n v="7192.2"/>
    <n v="23822.7"/>
    <n v="3.96"/>
    <n v="0.02"/>
    <n v="6468.5"/>
    <n v="23099"/>
    <n v="5.26"/>
    <n v="387"/>
    <n v="272590.8"/>
    <n v="4.22"/>
    <n v="8000"/>
  </r>
  <r>
    <s v="8000_0.4_0.5_500_3.0_order_4"/>
    <x v="3"/>
    <n v="0.4"/>
    <n v="0.5"/>
    <n v="500"/>
    <n v="3"/>
    <n v="4"/>
    <x v="1"/>
    <n v="291141.09999999998"/>
    <n v="116731.8"/>
    <n v="174409.3"/>
    <n v="2400"/>
    <n v="4.8099999999999996"/>
    <n v="101361.2"/>
    <n v="154567.29999999999"/>
    <n v="255928.5"/>
    <n v="16168.6"/>
    <n v="6851.7"/>
    <n v="23020.3"/>
    <n v="4.1900000000000004"/>
    <n v="0.01"/>
    <n v="6313.2"/>
    <n v="22481.8"/>
    <n v="4.82"/>
    <n v="327"/>
    <n v="278410.3"/>
    <n v="4.37"/>
    <n v="8000"/>
  </r>
  <r>
    <s v="8000_0.4_0.5_500_3.0_order_5"/>
    <x v="3"/>
    <n v="0.4"/>
    <n v="0.5"/>
    <n v="500"/>
    <n v="3"/>
    <n v="5"/>
    <x v="1"/>
    <n v="298157.2"/>
    <n v="109464.7"/>
    <n v="188692.5"/>
    <n v="2400"/>
    <n v="4.66"/>
    <n v="93571.3"/>
    <n v="164242.79999999999"/>
    <n v="257814.1"/>
    <n v="18938.099999999999"/>
    <n v="8160.3"/>
    <n v="27098.400000000001"/>
    <n v="4.4400000000000004"/>
    <n v="0.02"/>
    <n v="7464.7"/>
    <n v="26402.799999999999"/>
    <n v="4.68"/>
    <n v="407"/>
    <n v="284216.90000000002"/>
    <n v="4.68"/>
    <n v="8000"/>
  </r>
  <r>
    <s v="2000_0.2_0.5_1000_1.0_order_1"/>
    <x v="0"/>
    <n v="0.2"/>
    <n v="0.5"/>
    <n v="1000"/>
    <n v="1"/>
    <n v="1"/>
    <x v="2"/>
    <n v="143148.20000000001"/>
    <n v="59273.2"/>
    <n v="83875"/>
    <n v="600"/>
    <n v="600.42999999999995"/>
    <n v="37675.4"/>
    <n v="52287.5"/>
    <n v="89962.9"/>
    <n v="11114.8"/>
    <n v="2841.1"/>
    <n v="13955.9"/>
    <n v="27.4"/>
    <n v="0.04"/>
    <n v="2808.7"/>
    <n v="13923.5"/>
    <n v="600.47"/>
    <n v="600"/>
    <n v="103886.39999999999"/>
    <n v="27.43"/>
    <n v="2000"/>
  </r>
  <r>
    <s v="2000_0.2_0.5_1000_1.0_order_2"/>
    <x v="0"/>
    <n v="0.2"/>
    <n v="0.5"/>
    <n v="1000"/>
    <n v="1"/>
    <n v="2"/>
    <x v="2"/>
    <n v="146066.9"/>
    <n v="58967.199999999997"/>
    <n v="87099.7"/>
    <n v="600"/>
    <n v="600.66"/>
    <n v="38246.6"/>
    <n v="54914"/>
    <n v="93160.6"/>
    <n v="11202.6"/>
    <n v="3125.6"/>
    <n v="14328.2"/>
    <n v="26.41"/>
    <n v="0.04"/>
    <n v="3111.4"/>
    <n v="14314"/>
    <n v="600.70000000000005"/>
    <n v="599"/>
    <n v="107474.6"/>
    <n v="26.42"/>
    <n v="2000"/>
  </r>
  <r>
    <s v="2000_0.2_0.5_1000_1.0_order_3"/>
    <x v="0"/>
    <n v="0.2"/>
    <n v="0.5"/>
    <n v="1000"/>
    <n v="1"/>
    <n v="3"/>
    <x v="2"/>
    <n v="149207.6"/>
    <n v="59172.800000000003"/>
    <n v="90034.8"/>
    <n v="600"/>
    <n v="600.22"/>
    <n v="37902.6"/>
    <n v="55425.2"/>
    <n v="93327.8"/>
    <n v="11328.8"/>
    <n v="3022.9"/>
    <n v="14351.7"/>
    <n v="27.83"/>
    <n v="0.04"/>
    <n v="3022.9"/>
    <n v="14351.7"/>
    <n v="600.26"/>
    <n v="600"/>
    <n v="107679.5"/>
    <n v="27.83"/>
    <n v="2000"/>
  </r>
  <r>
    <s v="2000_0.2_0.5_1000_1.0_order_4"/>
    <x v="0"/>
    <n v="0.2"/>
    <n v="0.5"/>
    <n v="1000"/>
    <n v="1"/>
    <n v="4"/>
    <x v="2"/>
    <n v="153789.20000000001"/>
    <n v="63196.800000000003"/>
    <n v="90592.4"/>
    <n v="600"/>
    <n v="600"/>
    <n v="39528.699999999997"/>
    <n v="54460.3"/>
    <n v="93989"/>
    <n v="11738.2"/>
    <n v="3001.2"/>
    <n v="14739.4"/>
    <n v="29.3"/>
    <n v="0.04"/>
    <n v="2988.4"/>
    <n v="14726.6"/>
    <n v="600.04"/>
    <n v="600"/>
    <n v="108715.6"/>
    <n v="29.31"/>
    <n v="2000"/>
  </r>
  <r>
    <s v="2000_0.2_0.5_1000_1.0_order_5"/>
    <x v="0"/>
    <n v="0.2"/>
    <n v="0.5"/>
    <n v="1000"/>
    <n v="1"/>
    <n v="5"/>
    <x v="2"/>
    <n v="148706.20000000001"/>
    <n v="59702"/>
    <n v="89004.2"/>
    <n v="600"/>
    <n v="600.19000000000005"/>
    <n v="37715.9"/>
    <n v="55600.4"/>
    <n v="93316.3"/>
    <n v="11614.4"/>
    <n v="2810.6"/>
    <n v="14425"/>
    <n v="27.55"/>
    <n v="0.03"/>
    <n v="2802.2"/>
    <n v="14416.6"/>
    <n v="600.22"/>
    <n v="600"/>
    <n v="107732.9"/>
    <n v="27.55"/>
    <n v="2000"/>
  </r>
  <r>
    <s v="2000_0.2_0.5_1000_2.0_order_1"/>
    <x v="0"/>
    <n v="0.2"/>
    <n v="0.5"/>
    <n v="1000"/>
    <n v="2"/>
    <n v="1"/>
    <x v="2"/>
    <n v="224341"/>
    <n v="90336.7"/>
    <n v="134004.29999999999"/>
    <n v="600"/>
    <n v="601.02"/>
    <n v="60441"/>
    <n v="88119.4"/>
    <n v="148560.4"/>
    <n v="10681.4"/>
    <n v="2907.6"/>
    <n v="13589"/>
    <n v="27.72"/>
    <n v="0.06"/>
    <n v="2887.9"/>
    <n v="13569.3"/>
    <n v="601.08000000000004"/>
    <n v="600"/>
    <n v="162129.70000000001"/>
    <n v="27.73"/>
    <n v="2000"/>
  </r>
  <r>
    <s v="2000_0.2_0.5_1000_2.0_order_2"/>
    <x v="0"/>
    <n v="0.2"/>
    <n v="0.5"/>
    <n v="1000"/>
    <n v="2"/>
    <n v="2"/>
    <x v="2"/>
    <n v="220474.4"/>
    <n v="85625.4"/>
    <n v="134849"/>
    <n v="600"/>
    <n v="600.58000000000004"/>
    <n v="56618.3"/>
    <n v="87917.9"/>
    <n v="144536.20000000001"/>
    <n v="10828.1"/>
    <n v="2975.8"/>
    <n v="13803.9"/>
    <n v="28.18"/>
    <n v="0.05"/>
    <n v="2951.6"/>
    <n v="13779.7"/>
    <n v="600.63"/>
    <n v="600"/>
    <n v="158315.9"/>
    <n v="28.19"/>
    <n v="2000"/>
  </r>
  <r>
    <s v="2000_0.2_0.5_1000_2.0_order_3"/>
    <x v="0"/>
    <n v="0.2"/>
    <n v="0.5"/>
    <n v="1000"/>
    <n v="2"/>
    <n v="3"/>
    <x v="2"/>
    <n v="220428.7"/>
    <n v="86108.800000000003"/>
    <n v="134319.9"/>
    <n v="600"/>
    <n v="600.32000000000005"/>
    <n v="57265.3"/>
    <n v="88772.6"/>
    <n v="146037.9"/>
    <n v="10333.6"/>
    <n v="2745"/>
    <n v="13078.6"/>
    <n v="27.81"/>
    <n v="0.06"/>
    <n v="2745"/>
    <n v="13078.6"/>
    <n v="600.38"/>
    <n v="600"/>
    <n v="159116.5"/>
    <n v="27.81"/>
    <n v="2000"/>
  </r>
  <r>
    <s v="2000_0.2_0.5_1000_2.0_order_4"/>
    <x v="0"/>
    <n v="0.2"/>
    <n v="0.5"/>
    <n v="1000"/>
    <n v="2"/>
    <n v="4"/>
    <x v="2"/>
    <n v="210055.4"/>
    <n v="82377.100000000006"/>
    <n v="127678.3"/>
    <n v="600"/>
    <n v="600.99"/>
    <n v="54993.2"/>
    <n v="83550.899999999994"/>
    <n v="138544.1"/>
    <n v="10745.3"/>
    <n v="2857.2"/>
    <n v="13602.5"/>
    <n v="27.57"/>
    <n v="0.05"/>
    <n v="2835.3"/>
    <n v="13580.6"/>
    <n v="601.04"/>
    <n v="600"/>
    <n v="152124.70000000001"/>
    <n v="27.58"/>
    <n v="2000"/>
  </r>
  <r>
    <s v="2000_0.2_0.5_1000_2.0_order_5"/>
    <x v="0"/>
    <n v="0.2"/>
    <n v="0.5"/>
    <n v="1000"/>
    <n v="2"/>
    <n v="5"/>
    <x v="2"/>
    <n v="223013.3"/>
    <n v="88414.3"/>
    <n v="134599"/>
    <n v="600"/>
    <n v="600.63"/>
    <n v="58828.2"/>
    <n v="87748.4"/>
    <n v="146576.6"/>
    <n v="10499.5"/>
    <n v="3063.7"/>
    <n v="13563.2"/>
    <n v="28.19"/>
    <n v="0.09"/>
    <n v="3059.5"/>
    <n v="13559"/>
    <n v="600.72"/>
    <n v="600"/>
    <n v="160135.6"/>
    <n v="28.19"/>
    <n v="2000"/>
  </r>
  <r>
    <s v="2000_0.2_0.5_1000_3.0_order_1"/>
    <x v="0"/>
    <n v="0.2"/>
    <n v="0.5"/>
    <n v="1000"/>
    <n v="3"/>
    <n v="1"/>
    <x v="2"/>
    <n v="283040.5"/>
    <n v="115997.2"/>
    <n v="167043.29999999999"/>
    <n v="600"/>
    <n v="600.01"/>
    <n v="78317.600000000006"/>
    <n v="115362.8"/>
    <n v="193680.4"/>
    <n v="10401.200000000001"/>
    <n v="2723.2"/>
    <n v="13124.4"/>
    <n v="26.93"/>
    <n v="0.09"/>
    <n v="2723.2"/>
    <n v="13124.4"/>
    <n v="600.1"/>
    <n v="600"/>
    <n v="206804.8"/>
    <n v="26.93"/>
    <n v="2000"/>
  </r>
  <r>
    <s v="2000_0.2_0.5_1000_3.0_order_2"/>
    <x v="0"/>
    <n v="0.2"/>
    <n v="0.5"/>
    <n v="1000"/>
    <n v="3"/>
    <n v="2"/>
    <x v="2"/>
    <n v="287067.8"/>
    <n v="115740.2"/>
    <n v="171327.6"/>
    <n v="600"/>
    <n v="600.72"/>
    <n v="77945.100000000006"/>
    <n v="116331.2"/>
    <n v="194276.3"/>
    <n v="10637.5"/>
    <n v="2879.5"/>
    <n v="13517"/>
    <n v="27.62"/>
    <n v="7.0000000000000007E-2"/>
    <n v="2864"/>
    <n v="13501.5"/>
    <n v="600.79"/>
    <n v="600"/>
    <n v="207777.8"/>
    <n v="27.62"/>
    <n v="2000"/>
  </r>
  <r>
    <s v="2000_0.2_0.5_1000_3.0_order_3"/>
    <x v="0"/>
    <n v="0.2"/>
    <n v="0.5"/>
    <n v="1000"/>
    <n v="3"/>
    <n v="3"/>
    <x v="2"/>
    <n v="275704.5"/>
    <n v="112434.7"/>
    <n v="163269.79999999999"/>
    <n v="600"/>
    <n v="600.62"/>
    <n v="74874.3"/>
    <n v="112330.7"/>
    <n v="187205"/>
    <n v="10715"/>
    <n v="2683.8"/>
    <n v="13398.8"/>
    <n v="27.24"/>
    <n v="0.05"/>
    <n v="2675.5"/>
    <n v="13390.5"/>
    <n v="600.66999999999996"/>
    <n v="600"/>
    <n v="200595.5"/>
    <n v="27.24"/>
    <n v="2000"/>
  </r>
  <r>
    <s v="2000_0.2_0.5_1000_3.0_order_4"/>
    <x v="0"/>
    <n v="0.2"/>
    <n v="0.5"/>
    <n v="1000"/>
    <n v="3"/>
    <n v="4"/>
    <x v="2"/>
    <n v="282330.5"/>
    <n v="110718.7"/>
    <n v="171611.8"/>
    <n v="600"/>
    <n v="600.41999999999996"/>
    <n v="74302.3"/>
    <n v="117117.4"/>
    <n v="191419.7"/>
    <n v="10708.7"/>
    <n v="3016.2"/>
    <n v="13724.9"/>
    <n v="27.34"/>
    <n v="0.09"/>
    <n v="3013.5"/>
    <n v="13722.2"/>
    <n v="600.51"/>
    <n v="600"/>
    <n v="205141.9"/>
    <n v="27.34"/>
    <n v="2000"/>
  </r>
  <r>
    <s v="2000_0.2_0.5_1000_3.0_order_5"/>
    <x v="0"/>
    <n v="0.2"/>
    <n v="0.5"/>
    <n v="1000"/>
    <n v="3"/>
    <n v="5"/>
    <x v="2"/>
    <n v="283217.40000000002"/>
    <n v="112913.8"/>
    <n v="170303.6"/>
    <n v="600"/>
    <n v="600.34"/>
    <n v="75188.2"/>
    <n v="115359.6"/>
    <n v="190547.8"/>
    <n v="10902.5"/>
    <n v="2637.3"/>
    <n v="13539.8"/>
    <n v="27.94"/>
    <n v="0.06"/>
    <n v="2637.3"/>
    <n v="13539.8"/>
    <n v="600.4"/>
    <n v="600"/>
    <n v="204087.6"/>
    <n v="27.94"/>
    <n v="2000"/>
  </r>
  <r>
    <s v="2000_0.2_0.5_2000_1.0_order_1"/>
    <x v="0"/>
    <n v="0.2"/>
    <n v="0.5"/>
    <n v="2000"/>
    <n v="1"/>
    <n v="1"/>
    <x v="2"/>
    <n v="294766.8"/>
    <n v="117148.4"/>
    <n v="177618.4"/>
    <n v="600"/>
    <n v="600.48"/>
    <n v="77849.8"/>
    <n v="116246.7"/>
    <n v="194096.5"/>
    <n v="12636.7"/>
    <n v="3842.2"/>
    <n v="16478.900000000001"/>
    <n v="28.56"/>
    <n v="0.05"/>
    <n v="3842.2"/>
    <n v="16478.900000000001"/>
    <n v="600.53"/>
    <n v="600"/>
    <n v="210575.4"/>
    <n v="28.56"/>
    <n v="2000"/>
  </r>
  <r>
    <s v="2000_0.2_0.5_2000_1.0_order_2"/>
    <x v="0"/>
    <n v="0.2"/>
    <n v="0.5"/>
    <n v="2000"/>
    <n v="1"/>
    <n v="2"/>
    <x v="2"/>
    <n v="298715.5"/>
    <n v="118446.39999999999"/>
    <n v="180269.1"/>
    <n v="600"/>
    <n v="600.77"/>
    <n v="78357.899999999994"/>
    <n v="115174.7"/>
    <n v="193532.6"/>
    <n v="12852.6"/>
    <n v="3805.2"/>
    <n v="16657.8"/>
    <n v="29.64"/>
    <n v="0.04"/>
    <n v="3794.7"/>
    <n v="16647.3"/>
    <n v="600.80999999999995"/>
    <n v="600"/>
    <n v="210179.9"/>
    <n v="29.64"/>
    <n v="2000"/>
  </r>
  <r>
    <s v="2000_0.2_0.5_2000_1.0_order_3"/>
    <x v="0"/>
    <n v="0.2"/>
    <n v="0.5"/>
    <n v="2000"/>
    <n v="1"/>
    <n v="3"/>
    <x v="2"/>
    <n v="291372.59999999998"/>
    <n v="115923.7"/>
    <n v="175448.9"/>
    <n v="600"/>
    <n v="601.07000000000005"/>
    <n v="77669"/>
    <n v="115756"/>
    <n v="193425"/>
    <n v="12644.5"/>
    <n v="3978.1"/>
    <n v="16622.599999999999"/>
    <n v="27.91"/>
    <n v="0.06"/>
    <n v="3970.3"/>
    <n v="16614.8"/>
    <n v="601.13"/>
    <n v="600"/>
    <n v="210039.8"/>
    <n v="27.91"/>
    <n v="2000"/>
  </r>
  <r>
    <s v="2000_0.2_0.5_2000_1.0_order_4"/>
    <x v="0"/>
    <n v="0.2"/>
    <n v="0.5"/>
    <n v="2000"/>
    <n v="1"/>
    <n v="4"/>
    <x v="2"/>
    <n v="294821.8"/>
    <n v="116489.4"/>
    <n v="178332.4"/>
    <n v="600"/>
    <n v="600.65"/>
    <n v="79099.899999999994"/>
    <n v="118453.9"/>
    <n v="197553.8"/>
    <n v="12610.1"/>
    <n v="3823.9"/>
    <n v="16434"/>
    <n v="27.42"/>
    <n v="0.06"/>
    <n v="3823.9"/>
    <n v="16434"/>
    <n v="600.70000000000005"/>
    <n v="600"/>
    <n v="213987.8"/>
    <n v="27.42"/>
    <n v="2000"/>
  </r>
  <r>
    <s v="2000_0.2_0.5_2000_1.0_order_5"/>
    <x v="0"/>
    <n v="0.2"/>
    <n v="0.5"/>
    <n v="2000"/>
    <n v="1"/>
    <n v="5"/>
    <x v="2"/>
    <n v="290639.59999999998"/>
    <n v="114516.4"/>
    <n v="176123.2"/>
    <n v="600"/>
    <n v="600.57000000000005"/>
    <n v="76806.5"/>
    <n v="115974.1"/>
    <n v="192780.6"/>
    <n v="12540.6"/>
    <n v="3957.2"/>
    <n v="16497.8"/>
    <n v="27.99"/>
    <n v="0.06"/>
    <n v="3936.4"/>
    <n v="16477"/>
    <n v="600.63"/>
    <n v="600"/>
    <n v="209257.60000000001"/>
    <n v="28"/>
    <n v="2000"/>
  </r>
  <r>
    <s v="2000_0.2_0.5_2000_2.0_order_1"/>
    <x v="0"/>
    <n v="0.2"/>
    <n v="0.5"/>
    <n v="2000"/>
    <n v="2"/>
    <n v="1"/>
    <x v="2"/>
    <n v="429372.1"/>
    <n v="169836.6"/>
    <n v="259535.5"/>
    <n v="600"/>
    <n v="600.21"/>
    <n v="118715.7"/>
    <n v="178476.4"/>
    <n v="297192.09999999998"/>
    <n v="11711"/>
    <n v="3649.2"/>
    <n v="15360.2"/>
    <n v="27.21"/>
    <n v="0.06"/>
    <n v="3649.2"/>
    <n v="15360.2"/>
    <n v="600.27"/>
    <n v="600"/>
    <n v="312552.3"/>
    <n v="27.21"/>
    <n v="2000"/>
  </r>
  <r>
    <s v="2000_0.2_0.5_2000_2.0_order_2"/>
    <x v="0"/>
    <n v="0.2"/>
    <n v="0.5"/>
    <n v="2000"/>
    <n v="2"/>
    <n v="2"/>
    <x v="2"/>
    <n v="449279.9"/>
    <n v="176283.8"/>
    <n v="272996.09999999998"/>
    <n v="600"/>
    <n v="600.24"/>
    <n v="118602.3"/>
    <n v="185925.6"/>
    <n v="304527.90000000002"/>
    <n v="12032.5"/>
    <n v="3628.3"/>
    <n v="15660.8"/>
    <n v="28.73"/>
    <n v="0.09"/>
    <n v="3628.3"/>
    <n v="15660.8"/>
    <n v="600.33000000000004"/>
    <n v="600"/>
    <n v="320188.7"/>
    <n v="28.73"/>
    <n v="2000"/>
  </r>
  <r>
    <s v="2000_0.2_0.5_2000_2.0_order_3"/>
    <x v="0"/>
    <n v="0.2"/>
    <n v="0.5"/>
    <n v="2000"/>
    <n v="2"/>
    <n v="3"/>
    <x v="2"/>
    <n v="434628.2"/>
    <n v="169462.1"/>
    <n v="265166.09999999998"/>
    <n v="600"/>
    <n v="600.83000000000004"/>
    <n v="114979.3"/>
    <n v="182531.5"/>
    <n v="297510.8"/>
    <n v="12032.9"/>
    <n v="3448.5"/>
    <n v="15481.4"/>
    <n v="27.99"/>
    <n v="7.0000000000000007E-2"/>
    <n v="3433"/>
    <n v="15465.9"/>
    <n v="600.9"/>
    <n v="600"/>
    <n v="312976.7"/>
    <n v="27.99"/>
    <n v="2000"/>
  </r>
  <r>
    <s v="2000_0.2_0.5_2000_2.0_order_4"/>
    <x v="0"/>
    <n v="0.2"/>
    <n v="0.5"/>
    <n v="2000"/>
    <n v="2"/>
    <n v="4"/>
    <x v="2"/>
    <n v="434426.7"/>
    <n v="171944.5"/>
    <n v="262482.2"/>
    <n v="600"/>
    <n v="601.01"/>
    <n v="117142.39999999999"/>
    <n v="180377.9"/>
    <n v="297520.3"/>
    <n v="12266.6"/>
    <n v="3924.3"/>
    <n v="16190.9"/>
    <n v="27.79"/>
    <n v="0.06"/>
    <n v="3924.3"/>
    <n v="16190.9"/>
    <n v="601.08000000000004"/>
    <n v="600"/>
    <n v="313711.2"/>
    <n v="27.79"/>
    <n v="2000"/>
  </r>
  <r>
    <s v="2000_0.2_0.5_2000_2.0_order_5"/>
    <x v="0"/>
    <n v="0.2"/>
    <n v="0.5"/>
    <n v="2000"/>
    <n v="2"/>
    <n v="5"/>
    <x v="2"/>
    <n v="445237.3"/>
    <n v="173515.2"/>
    <n v="271722.09999999998"/>
    <n v="600"/>
    <n v="600.54999999999995"/>
    <n v="119340.9"/>
    <n v="186396.9"/>
    <n v="305737.8"/>
    <n v="11826.9"/>
    <n v="3425.9"/>
    <n v="15252.8"/>
    <n v="27.91"/>
    <n v="0.06"/>
    <n v="3425.9"/>
    <n v="15252.8"/>
    <n v="600.61"/>
    <n v="600"/>
    <n v="320990.59999999998"/>
    <n v="27.91"/>
    <n v="2000"/>
  </r>
  <r>
    <s v="2000_0.2_0.5_2000_3.0_order_1"/>
    <x v="0"/>
    <n v="0.2"/>
    <n v="0.5"/>
    <n v="2000"/>
    <n v="3"/>
    <n v="1"/>
    <x v="2"/>
    <n v="567589.1"/>
    <n v="227659.9"/>
    <n v="339929.2"/>
    <n v="600"/>
    <n v="600.01"/>
    <n v="159909.5"/>
    <n v="239503.1"/>
    <n v="399412.6"/>
    <n v="11657.8"/>
    <n v="3273"/>
    <n v="14930.8"/>
    <n v="27"/>
    <n v="7.0000000000000007E-2"/>
    <n v="3273"/>
    <n v="14930.8"/>
    <n v="600.07000000000005"/>
    <n v="600"/>
    <n v="414343.4"/>
    <n v="27"/>
    <n v="2000"/>
  </r>
  <r>
    <s v="2000_0.2_0.5_2000_3.0_order_2"/>
    <x v="0"/>
    <n v="0.2"/>
    <n v="0.5"/>
    <n v="2000"/>
    <n v="3"/>
    <n v="2"/>
    <x v="2"/>
    <n v="574652.6"/>
    <n v="228791.7"/>
    <n v="345860.9"/>
    <n v="600"/>
    <n v="600.03"/>
    <n v="158390.9"/>
    <n v="245385.8"/>
    <n v="403776.7"/>
    <n v="11738.8"/>
    <n v="3496.3"/>
    <n v="15235.1"/>
    <n v="27.08"/>
    <n v="7.0000000000000007E-2"/>
    <n v="3494.9"/>
    <n v="15233.7"/>
    <n v="600.09"/>
    <n v="600"/>
    <n v="419010.4"/>
    <n v="27.08"/>
    <n v="2000"/>
  </r>
  <r>
    <s v="2000_0.2_0.5_2000_3.0_order_3"/>
    <x v="0"/>
    <n v="0.2"/>
    <n v="0.5"/>
    <n v="2000"/>
    <n v="3"/>
    <n v="3"/>
    <x v="2"/>
    <n v="569085.69999999995"/>
    <n v="222208.8"/>
    <n v="346876.9"/>
    <n v="600"/>
    <n v="600"/>
    <n v="151357.29999999999"/>
    <n v="238987.1"/>
    <n v="390344.4"/>
    <n v="11767.6"/>
    <n v="3472.3"/>
    <n v="15239.9"/>
    <n v="28.73"/>
    <n v="7.0000000000000007E-2"/>
    <n v="3472.3"/>
    <n v="15239.9"/>
    <n v="600.07000000000005"/>
    <n v="600"/>
    <n v="405584.3"/>
    <n v="28.73"/>
    <n v="2000"/>
  </r>
  <r>
    <s v="2000_0.2_0.5_2000_3.0_order_4"/>
    <x v="0"/>
    <n v="0.2"/>
    <n v="0.5"/>
    <n v="2000"/>
    <n v="3"/>
    <n v="4"/>
    <x v="2"/>
    <n v="568129.1"/>
    <n v="230045.8"/>
    <n v="338083.3"/>
    <n v="600"/>
    <n v="600.01"/>
    <n v="158701.9"/>
    <n v="237718.9"/>
    <n v="396420.8"/>
    <n v="12002.9"/>
    <n v="3661.7"/>
    <n v="15664.6"/>
    <n v="27.47"/>
    <n v="7.0000000000000007E-2"/>
    <n v="3661.7"/>
    <n v="15664.6"/>
    <n v="600.08000000000004"/>
    <n v="600"/>
    <n v="412085.4"/>
    <n v="27.47"/>
    <n v="2000"/>
  </r>
  <r>
    <s v="2000_0.2_0.5_2000_3.0_order_5"/>
    <x v="0"/>
    <n v="0.2"/>
    <n v="0.5"/>
    <n v="2000"/>
    <n v="3"/>
    <n v="5"/>
    <x v="2"/>
    <n v="568907.69999999995"/>
    <n v="232908.3"/>
    <n v="335999.4"/>
    <n v="600"/>
    <n v="600.77"/>
    <n v="163030.70000000001"/>
    <n v="235703.4"/>
    <n v="398734.1"/>
    <n v="11720.9"/>
    <n v="2924.6"/>
    <n v="14645.5"/>
    <n v="27.34"/>
    <n v="0.05"/>
    <n v="2886.9"/>
    <n v="14607.8"/>
    <n v="600.82000000000005"/>
    <n v="600"/>
    <n v="413341.9"/>
    <n v="27.34"/>
    <n v="2000"/>
  </r>
  <r>
    <s v="2000_0.2_0.5_500_1.0_order_1"/>
    <x v="0"/>
    <n v="0.2"/>
    <n v="0.5"/>
    <n v="500"/>
    <n v="1"/>
    <n v="1"/>
    <x v="2"/>
    <n v="72828.100000000006"/>
    <n v="30131.8"/>
    <n v="42696.3"/>
    <n v="600"/>
    <n v="601.33000000000004"/>
    <n v="18004.8"/>
    <n v="25133.1"/>
    <n v="43137.9"/>
    <n v="8975.9"/>
    <n v="1707.1"/>
    <n v="10683"/>
    <n v="26.1"/>
    <n v="0.03"/>
    <n v="1697.4"/>
    <n v="10673.3"/>
    <n v="601.36"/>
    <n v="597"/>
    <n v="53811.199999999997"/>
    <n v="26.11"/>
    <n v="2000"/>
  </r>
  <r>
    <s v="2000_0.2_0.5_500_1.0_order_2"/>
    <x v="0"/>
    <n v="0.2"/>
    <n v="0.5"/>
    <n v="500"/>
    <n v="1"/>
    <n v="2"/>
    <x v="2"/>
    <n v="73709.399999999994"/>
    <n v="30448"/>
    <n v="43261.4"/>
    <n v="600"/>
    <n v="601.05999999999995"/>
    <n v="18355"/>
    <n v="25433.599999999999"/>
    <n v="43788.6"/>
    <n v="8940.9"/>
    <n v="1650"/>
    <n v="10590.9"/>
    <n v="26.22"/>
    <n v="0.03"/>
    <n v="1640.9"/>
    <n v="10581.8"/>
    <n v="601.1"/>
    <n v="599"/>
    <n v="54370.400000000001"/>
    <n v="26.24"/>
    <n v="2000"/>
  </r>
  <r>
    <s v="2000_0.2_0.5_500_1.0_order_3"/>
    <x v="0"/>
    <n v="0.2"/>
    <n v="0.5"/>
    <n v="500"/>
    <n v="1"/>
    <n v="3"/>
    <x v="2"/>
    <n v="73291.199999999997"/>
    <n v="29361"/>
    <n v="43930.2"/>
    <n v="600"/>
    <n v="601"/>
    <n v="18367.099999999999"/>
    <n v="24870"/>
    <n v="43237.1"/>
    <n v="9351.5"/>
    <n v="1940.2"/>
    <n v="11291.7"/>
    <n v="25.6"/>
    <n v="0.03"/>
    <n v="1931.1"/>
    <n v="11282.6"/>
    <n v="601.02"/>
    <n v="600"/>
    <n v="54519.7"/>
    <n v="25.61"/>
    <n v="2000"/>
  </r>
  <r>
    <s v="2000_0.2_0.5_500_1.0_order_4"/>
    <x v="0"/>
    <n v="0.2"/>
    <n v="0.5"/>
    <n v="500"/>
    <n v="1"/>
    <n v="4"/>
    <x v="2"/>
    <n v="70840.800000000003"/>
    <n v="28183.5"/>
    <n v="42657.3"/>
    <n v="600"/>
    <n v="600.86"/>
    <n v="17113.099999999999"/>
    <n v="24775.8"/>
    <n v="41888.9"/>
    <n v="9023.2999999999993"/>
    <n v="1573"/>
    <n v="10596.3"/>
    <n v="25.91"/>
    <n v="0.04"/>
    <n v="1556.4"/>
    <n v="10579.7"/>
    <n v="600.89"/>
    <n v="598"/>
    <n v="52468.6"/>
    <n v="25.93"/>
    <n v="2000"/>
  </r>
  <r>
    <s v="2000_0.2_0.5_500_1.0_order_5"/>
    <x v="0"/>
    <n v="0.2"/>
    <n v="0.5"/>
    <n v="500"/>
    <n v="1"/>
    <n v="5"/>
    <x v="2"/>
    <n v="71315"/>
    <n v="28392.400000000001"/>
    <n v="42922.6"/>
    <n v="600"/>
    <n v="600.80999999999995"/>
    <n v="17057.2"/>
    <n v="25093"/>
    <n v="42150.2"/>
    <n v="9054"/>
    <n v="1867.1"/>
    <n v="10921.1"/>
    <n v="25.58"/>
    <n v="0.05"/>
    <n v="1821.3"/>
    <n v="10875.3"/>
    <n v="600.86"/>
    <n v="599"/>
    <n v="53025.5"/>
    <n v="25.65"/>
    <n v="2000"/>
  </r>
  <r>
    <s v="2000_0.2_0.5_500_2.0_order_1"/>
    <x v="0"/>
    <n v="0.2"/>
    <n v="0.5"/>
    <n v="500"/>
    <n v="2"/>
    <n v="1"/>
    <x v="2"/>
    <n v="109987.8"/>
    <n v="45375.9"/>
    <n v="64611.9"/>
    <n v="600"/>
    <n v="600.29"/>
    <n v="28383.9"/>
    <n v="38459.699999999997"/>
    <n v="66843.600000000006"/>
    <n v="9559.7000000000007"/>
    <n v="2184.1999999999998"/>
    <n v="11743.9"/>
    <n v="28.55"/>
    <n v="0.05"/>
    <n v="2163.1"/>
    <n v="11722.8"/>
    <n v="600.34"/>
    <n v="598"/>
    <n v="78566.399999999994"/>
    <n v="28.57"/>
    <n v="2000"/>
  </r>
  <r>
    <s v="2000_0.2_0.5_500_2.0_order_2"/>
    <x v="0"/>
    <n v="0.2"/>
    <n v="0.5"/>
    <n v="500"/>
    <n v="2"/>
    <n v="2"/>
    <x v="2"/>
    <n v="111693.6"/>
    <n v="43333.7"/>
    <n v="68359.899999999994"/>
    <n v="600"/>
    <n v="601.22"/>
    <n v="27068.1"/>
    <n v="41023.699999999997"/>
    <n v="68091.8"/>
    <n v="9128.6"/>
    <n v="2344.3000000000002"/>
    <n v="11472.9"/>
    <n v="28.77"/>
    <n v="0.08"/>
    <n v="2344.3000000000002"/>
    <n v="11472.9"/>
    <n v="601.29"/>
    <n v="598"/>
    <n v="79564.7"/>
    <n v="28.77"/>
    <n v="2000"/>
  </r>
  <r>
    <s v="2000_0.2_0.5_500_2.0_order_3"/>
    <x v="0"/>
    <n v="0.2"/>
    <n v="0.5"/>
    <n v="500"/>
    <n v="2"/>
    <n v="3"/>
    <x v="2"/>
    <n v="105271.7"/>
    <n v="43538.6"/>
    <n v="61733.1"/>
    <n v="600"/>
    <n v="600.65"/>
    <n v="27199.1"/>
    <n v="38125.800000000003"/>
    <n v="65324.9"/>
    <n v="9003"/>
    <n v="2059.5"/>
    <n v="11062.5"/>
    <n v="27.44"/>
    <n v="0.05"/>
    <n v="2053.1"/>
    <n v="11056.1"/>
    <n v="600.70000000000005"/>
    <n v="600"/>
    <n v="76381"/>
    <n v="27.44"/>
    <n v="2000"/>
  </r>
  <r>
    <s v="2000_0.2_0.5_500_2.0_order_4"/>
    <x v="0"/>
    <n v="0.2"/>
    <n v="0.5"/>
    <n v="500"/>
    <n v="2"/>
    <n v="4"/>
    <x v="2"/>
    <n v="114285.5"/>
    <n v="42781.8"/>
    <n v="71503.7"/>
    <n v="600"/>
    <n v="601.15"/>
    <n v="27243.4"/>
    <n v="43785.9"/>
    <n v="71029.3"/>
    <n v="8903"/>
    <n v="2083"/>
    <n v="10986"/>
    <n v="28.24"/>
    <n v="0.06"/>
    <n v="2064.6999999999998"/>
    <n v="10967.7"/>
    <n v="601.21"/>
    <n v="600"/>
    <n v="81997"/>
    <n v="28.25"/>
    <n v="2000"/>
  </r>
  <r>
    <s v="2000_0.2_0.5_500_2.0_order_5"/>
    <x v="0"/>
    <n v="0.2"/>
    <n v="0.5"/>
    <n v="500"/>
    <n v="2"/>
    <n v="5"/>
    <x v="2"/>
    <n v="111707.3"/>
    <n v="45068.7"/>
    <n v="66638.600000000006"/>
    <n v="600"/>
    <n v="600.9"/>
    <n v="27593.9"/>
    <n v="41932.6"/>
    <n v="69526.5"/>
    <n v="8909"/>
    <n v="2086.8000000000002"/>
    <n v="10995.8"/>
    <n v="27.92"/>
    <n v="0.06"/>
    <n v="2069.9"/>
    <n v="10978.9"/>
    <n v="600.96"/>
    <n v="600"/>
    <n v="80505.399999999994"/>
    <n v="27.93"/>
    <n v="2000"/>
  </r>
  <r>
    <s v="2000_0.2_0.5_500_3.0_order_1"/>
    <x v="0"/>
    <n v="0.2"/>
    <n v="0.5"/>
    <n v="500"/>
    <n v="3"/>
    <n v="1"/>
    <x v="2"/>
    <n v="138293.29999999999"/>
    <n v="53910.1"/>
    <n v="84383.2"/>
    <n v="600"/>
    <n v="600.63"/>
    <n v="34196.6"/>
    <n v="54901.5"/>
    <n v="89098.1"/>
    <n v="9222.2999999999993"/>
    <n v="2368.9"/>
    <n v="11591.2"/>
    <n v="27.19"/>
    <n v="7.0000000000000007E-2"/>
    <n v="2362.5"/>
    <n v="11584.8"/>
    <n v="600.70000000000005"/>
    <n v="600"/>
    <n v="100682.9"/>
    <n v="27.2"/>
    <n v="2000"/>
  </r>
  <r>
    <s v="2000_0.2_0.5_500_3.0_order_2"/>
    <x v="0"/>
    <n v="0.2"/>
    <n v="0.5"/>
    <n v="500"/>
    <n v="3"/>
    <n v="2"/>
    <x v="2"/>
    <n v="139556.20000000001"/>
    <n v="57942.1"/>
    <n v="81614.100000000006"/>
    <n v="600"/>
    <n v="600.48"/>
    <n v="36065"/>
    <n v="52147.3"/>
    <n v="88212.3"/>
    <n v="9497.5"/>
    <n v="2344.4"/>
    <n v="11841.9"/>
    <n v="28.31"/>
    <n v="0.05"/>
    <n v="2344.4"/>
    <n v="11841.9"/>
    <n v="600.54"/>
    <n v="599"/>
    <n v="100054.2"/>
    <n v="28.31"/>
    <n v="2000"/>
  </r>
  <r>
    <s v="2000_0.2_0.5_500_3.0_order_3"/>
    <x v="0"/>
    <n v="0.2"/>
    <n v="0.5"/>
    <n v="500"/>
    <n v="3"/>
    <n v="3"/>
    <x v="2"/>
    <n v="140624"/>
    <n v="57347.7"/>
    <n v="83276.3"/>
    <n v="600"/>
    <n v="600.86"/>
    <n v="37547.599999999999"/>
    <n v="54010.8"/>
    <n v="91558.399999999994"/>
    <n v="9075.7999999999993"/>
    <n v="2400.3000000000002"/>
    <n v="11476.1"/>
    <n v="26.73"/>
    <n v="0.06"/>
    <n v="2391.1999999999998"/>
    <n v="11467"/>
    <n v="600.91999999999996"/>
    <n v="600"/>
    <n v="103025.4"/>
    <n v="26.74"/>
    <n v="2000"/>
  </r>
  <r>
    <s v="2000_0.2_0.5_500_3.0_order_4"/>
    <x v="0"/>
    <n v="0.2"/>
    <n v="0.5"/>
    <n v="500"/>
    <n v="3"/>
    <n v="4"/>
    <x v="2"/>
    <n v="139265.5"/>
    <n v="58904"/>
    <n v="80361.5"/>
    <n v="600"/>
    <n v="600.38"/>
    <n v="37867.1"/>
    <n v="52500.3"/>
    <n v="90367.4"/>
    <n v="9234.5"/>
    <n v="2409.1"/>
    <n v="11643.6"/>
    <n v="26.75"/>
    <n v="0.06"/>
    <n v="2393.6"/>
    <n v="11628.1"/>
    <n v="600.44000000000005"/>
    <n v="600"/>
    <n v="101995.5"/>
    <n v="26.76"/>
    <n v="2000"/>
  </r>
  <r>
    <s v="2000_0.2_0.5_500_3.0_order_5"/>
    <x v="0"/>
    <n v="0.2"/>
    <n v="0.5"/>
    <n v="500"/>
    <n v="3"/>
    <n v="5"/>
    <x v="2"/>
    <n v="150784.5"/>
    <n v="62011.8"/>
    <n v="88772.7"/>
    <n v="600"/>
    <n v="600.86"/>
    <n v="39136.9"/>
    <n v="58433.599999999999"/>
    <n v="97570.5"/>
    <n v="9598.6"/>
    <n v="2496.6999999999998"/>
    <n v="12095.3"/>
    <n v="27.27"/>
    <n v="7.0000000000000007E-2"/>
    <n v="2480.1999999999998"/>
    <n v="12078.8"/>
    <n v="600.91999999999996"/>
    <n v="600"/>
    <n v="109649.3"/>
    <n v="27.28"/>
    <n v="2000"/>
  </r>
  <r>
    <s v="2000_0.3_0.5_1000_1.0_order_1"/>
    <x v="0"/>
    <n v="0.3"/>
    <n v="0.5"/>
    <n v="1000"/>
    <n v="1"/>
    <n v="1"/>
    <x v="2"/>
    <n v="143469.20000000001"/>
    <n v="56871.8"/>
    <n v="86597.4"/>
    <n v="600"/>
    <n v="600.69000000000005"/>
    <n v="34617.800000000003"/>
    <n v="49791.3"/>
    <n v="84409.1"/>
    <n v="11678.5"/>
    <n v="4418.5"/>
    <n v="16097"/>
    <n v="29.95"/>
    <n v="0.1"/>
    <n v="4408.5"/>
    <n v="16087"/>
    <n v="600.79"/>
    <n v="600"/>
    <n v="100496.1"/>
    <n v="29.95"/>
    <n v="2000"/>
  </r>
  <r>
    <s v="2000_0.3_0.5_1000_1.0_order_2"/>
    <x v="0"/>
    <n v="0.3"/>
    <n v="0.5"/>
    <n v="1000"/>
    <n v="1"/>
    <n v="2"/>
    <x v="2"/>
    <n v="151717.5"/>
    <n v="60829.1"/>
    <n v="90888.4"/>
    <n v="600"/>
    <n v="600.85"/>
    <n v="35055.800000000003"/>
    <n v="51954"/>
    <n v="87009.8"/>
    <n v="11859"/>
    <n v="4189.8999999999996"/>
    <n v="16048.9"/>
    <n v="32.07"/>
    <n v="0.08"/>
    <n v="4183.5"/>
    <n v="16042.5"/>
    <n v="600.92999999999995"/>
    <n v="600"/>
    <n v="103052.3"/>
    <n v="32.08"/>
    <n v="2000"/>
  </r>
  <r>
    <s v="2000_0.3_0.5_1000_1.0_order_3"/>
    <x v="0"/>
    <n v="0.3"/>
    <n v="0.5"/>
    <n v="1000"/>
    <n v="1"/>
    <n v="3"/>
    <x v="2"/>
    <n v="147202.29999999999"/>
    <n v="59853.2"/>
    <n v="87349.1"/>
    <n v="600"/>
    <n v="600.51"/>
    <n v="34936.800000000003"/>
    <n v="49564.3"/>
    <n v="84501.1"/>
    <n v="11950.6"/>
    <n v="3951.1"/>
    <n v="15901.7"/>
    <n v="31.79"/>
    <n v="0.08"/>
    <n v="3942"/>
    <n v="15892.6"/>
    <n v="600.58000000000004"/>
    <n v="600"/>
    <n v="100393.7"/>
    <n v="31.8"/>
    <n v="2000"/>
  </r>
  <r>
    <s v="2000_0.3_0.5_1000_1.0_order_4"/>
    <x v="0"/>
    <n v="0.3"/>
    <n v="0.5"/>
    <n v="1000"/>
    <n v="1"/>
    <n v="4"/>
    <x v="2"/>
    <n v="144352.9"/>
    <n v="59480.4"/>
    <n v="84872.5"/>
    <n v="600"/>
    <n v="600.19000000000005"/>
    <n v="34473.599999999999"/>
    <n v="48228"/>
    <n v="82701.600000000006"/>
    <n v="12091.1"/>
    <n v="4429.1000000000004"/>
    <n v="16520.2"/>
    <n v="31.26"/>
    <n v="7.0000000000000007E-2"/>
    <n v="4429.1000000000004"/>
    <n v="16520.2"/>
    <n v="600.26"/>
    <n v="600"/>
    <n v="99221.8"/>
    <n v="31.26"/>
    <n v="2000"/>
  </r>
  <r>
    <s v="2000_0.3_0.5_1000_1.0_order_5"/>
    <x v="0"/>
    <n v="0.3"/>
    <n v="0.5"/>
    <n v="1000"/>
    <n v="1"/>
    <n v="5"/>
    <x v="2"/>
    <n v="148278.39999999999"/>
    <n v="59478.6"/>
    <n v="88799.8"/>
    <n v="600"/>
    <n v="600.36"/>
    <n v="35427.9"/>
    <n v="50097.9"/>
    <n v="85525.8"/>
    <n v="11516.1"/>
    <n v="4404.2"/>
    <n v="15920.3"/>
    <n v="31.58"/>
    <n v="0.09"/>
    <n v="4395.1000000000004"/>
    <n v="15911.2"/>
    <n v="600.45000000000005"/>
    <n v="600"/>
    <n v="101437"/>
    <n v="31.59"/>
    <n v="2000"/>
  </r>
  <r>
    <s v="2000_0.3_0.5_1000_2.0_order_1"/>
    <x v="0"/>
    <n v="0.3"/>
    <n v="0.5"/>
    <n v="1000"/>
    <n v="2"/>
    <n v="1"/>
    <x v="2"/>
    <n v="226019.20000000001"/>
    <n v="89595.9"/>
    <n v="136423.29999999999"/>
    <n v="600"/>
    <n v="600.96"/>
    <n v="55552.6"/>
    <n v="81843.5"/>
    <n v="137396.1"/>
    <n v="11171.4"/>
    <n v="4189.5"/>
    <n v="15360.9"/>
    <n v="32.409999999999997"/>
    <n v="0.11"/>
    <n v="4189.5"/>
    <n v="15360.9"/>
    <n v="601.07000000000005"/>
    <n v="600"/>
    <n v="152757"/>
    <n v="32.409999999999997"/>
    <n v="2000"/>
  </r>
  <r>
    <s v="2000_0.3_0.5_1000_2.0_order_2"/>
    <x v="0"/>
    <n v="0.3"/>
    <n v="0.5"/>
    <n v="1000"/>
    <n v="2"/>
    <n v="2"/>
    <x v="2"/>
    <n v="220764"/>
    <n v="89826.2"/>
    <n v="130937.8"/>
    <n v="600"/>
    <n v="600"/>
    <n v="55594.400000000001"/>
    <n v="79841.3"/>
    <n v="135435.70000000001"/>
    <n v="10839"/>
    <n v="4047.8"/>
    <n v="14886.8"/>
    <n v="31.91"/>
    <n v="0.14000000000000001"/>
    <n v="4038.6"/>
    <n v="14877.6"/>
    <n v="600.14"/>
    <n v="600"/>
    <n v="150313.29999999999"/>
    <n v="31.91"/>
    <n v="2000"/>
  </r>
  <r>
    <s v="2000_0.3_0.5_1000_2.0_order_3"/>
    <x v="0"/>
    <n v="0.3"/>
    <n v="0.5"/>
    <n v="1000"/>
    <n v="2"/>
    <n v="3"/>
    <x v="2"/>
    <n v="224411.9"/>
    <n v="89500.3"/>
    <n v="134911.6"/>
    <n v="600"/>
    <n v="600.29999999999995"/>
    <n v="56472.6"/>
    <n v="82755"/>
    <n v="139227.6"/>
    <n v="10579.2"/>
    <n v="3837.5"/>
    <n v="14416.7"/>
    <n v="31.53"/>
    <n v="0.16"/>
    <n v="3837.5"/>
    <n v="14416.7"/>
    <n v="600.45000000000005"/>
    <n v="600"/>
    <n v="153644.29999999999"/>
    <n v="31.53"/>
    <n v="2000"/>
  </r>
  <r>
    <s v="2000_0.3_0.5_1000_2.0_order_4"/>
    <x v="0"/>
    <n v="0.3"/>
    <n v="0.5"/>
    <n v="1000"/>
    <n v="2"/>
    <n v="4"/>
    <x v="2"/>
    <n v="226364.1"/>
    <n v="92915.3"/>
    <n v="133448.79999999999"/>
    <n v="600"/>
    <n v="600.39"/>
    <n v="57610"/>
    <n v="82019"/>
    <n v="139629"/>
    <n v="10191.5"/>
    <n v="3839"/>
    <n v="14030.5"/>
    <n v="32.119999999999997"/>
    <n v="0.13"/>
    <n v="3837.6"/>
    <n v="14029.1"/>
    <n v="600.51"/>
    <n v="599"/>
    <n v="153658.1"/>
    <n v="32.119999999999997"/>
    <n v="2000"/>
  </r>
  <r>
    <s v="2000_0.3_0.5_1000_2.0_order_5"/>
    <x v="0"/>
    <n v="0.3"/>
    <n v="0.5"/>
    <n v="1000"/>
    <n v="2"/>
    <n v="5"/>
    <x v="2"/>
    <n v="223723.8"/>
    <n v="88167.2"/>
    <n v="135556.6"/>
    <n v="600"/>
    <n v="600"/>
    <n v="53994.400000000001"/>
    <n v="82454.5"/>
    <n v="136448.9"/>
    <n v="11202.3"/>
    <n v="4191.6000000000004"/>
    <n v="15393.9"/>
    <n v="32.130000000000003"/>
    <n v="0.12"/>
    <n v="4182.5"/>
    <n v="15384.8"/>
    <n v="600.12"/>
    <n v="600"/>
    <n v="151833.70000000001"/>
    <n v="32.130000000000003"/>
    <n v="2000"/>
  </r>
  <r>
    <s v="2000_0.3_0.5_1000_3.0_order_1"/>
    <x v="0"/>
    <n v="0.3"/>
    <n v="0.5"/>
    <n v="1000"/>
    <n v="3"/>
    <n v="1"/>
    <x v="2"/>
    <n v="288442.5"/>
    <n v="113101.1"/>
    <n v="175341.4"/>
    <n v="600"/>
    <n v="600.97"/>
    <n v="71275.600000000006"/>
    <n v="111114.8"/>
    <n v="182390.39999999999"/>
    <n v="10562.7"/>
    <n v="4021.4"/>
    <n v="14584.1"/>
    <n v="31.71"/>
    <n v="0.18"/>
    <n v="4017.2"/>
    <n v="14579.9"/>
    <n v="601.15"/>
    <n v="600"/>
    <n v="196970.3"/>
    <n v="31.71"/>
    <n v="2000"/>
  </r>
  <r>
    <s v="2000_0.3_0.5_1000_3.0_order_2"/>
    <x v="0"/>
    <n v="0.3"/>
    <n v="0.5"/>
    <n v="1000"/>
    <n v="3"/>
    <n v="2"/>
    <x v="2"/>
    <n v="287701.09999999998"/>
    <n v="113553.1"/>
    <n v="174148"/>
    <n v="600"/>
    <n v="600.53"/>
    <n v="70815.3"/>
    <n v="108842.9"/>
    <n v="179658.2"/>
    <n v="11203.3"/>
    <n v="4207"/>
    <n v="15410.3"/>
    <n v="32.200000000000003"/>
    <n v="0.13"/>
    <n v="4196.5"/>
    <n v="15399.8"/>
    <n v="600.66"/>
    <n v="600"/>
    <n v="195058"/>
    <n v="32.200000000000003"/>
    <n v="2000"/>
  </r>
  <r>
    <s v="2000_0.3_0.5_1000_3.0_order_3"/>
    <x v="0"/>
    <n v="0.3"/>
    <n v="0.5"/>
    <n v="1000"/>
    <n v="3"/>
    <n v="3"/>
    <x v="2"/>
    <n v="274857.09999999998"/>
    <n v="108945.7"/>
    <n v="165911.4"/>
    <n v="600"/>
    <n v="600.01"/>
    <n v="68779"/>
    <n v="107705"/>
    <n v="176484"/>
    <n v="10919.4"/>
    <n v="3925.3"/>
    <n v="14844.7"/>
    <n v="30.39"/>
    <n v="0.15"/>
    <n v="3925.3"/>
    <n v="14844.7"/>
    <n v="600.16"/>
    <n v="600"/>
    <n v="191328.7"/>
    <n v="30.39"/>
    <n v="2000"/>
  </r>
  <r>
    <s v="2000_0.3_0.5_1000_3.0_order_4"/>
    <x v="0"/>
    <n v="0.3"/>
    <n v="0.5"/>
    <n v="1000"/>
    <n v="3"/>
    <n v="4"/>
    <x v="2"/>
    <n v="292725.7"/>
    <n v="118548.5"/>
    <n v="174177.2"/>
    <n v="600"/>
    <n v="600.95000000000005"/>
    <n v="75981.2"/>
    <n v="112302.8"/>
    <n v="188284"/>
    <n v="10939"/>
    <n v="3864.8"/>
    <n v="14803.8"/>
    <n v="30.62"/>
    <n v="0.12"/>
    <n v="3856.6"/>
    <n v="14795.6"/>
    <n v="601.07000000000005"/>
    <n v="600"/>
    <n v="203079.6"/>
    <n v="30.62"/>
    <n v="2000"/>
  </r>
  <r>
    <s v="2000_0.3_0.5_1000_3.0_order_5"/>
    <x v="0"/>
    <n v="0.3"/>
    <n v="0.5"/>
    <n v="1000"/>
    <n v="3"/>
    <n v="5"/>
    <x v="2"/>
    <n v="279635.3"/>
    <n v="110407.9"/>
    <n v="169227.4"/>
    <n v="600"/>
    <n v="600.41999999999996"/>
    <n v="69883.100000000006"/>
    <n v="107485.6"/>
    <n v="177368.7"/>
    <n v="10622.7"/>
    <n v="3992.5"/>
    <n v="14615.2"/>
    <n v="31.34"/>
    <n v="0.16"/>
    <n v="3992.5"/>
    <n v="14615.2"/>
    <n v="600.58000000000004"/>
    <n v="600"/>
    <n v="191983.9"/>
    <n v="31.34"/>
    <n v="2000"/>
  </r>
  <r>
    <s v="2000_0.3_0.5_2000_1.0_order_1"/>
    <x v="0"/>
    <n v="0.3"/>
    <n v="0.5"/>
    <n v="2000"/>
    <n v="1"/>
    <n v="1"/>
    <x v="2"/>
    <n v="289583.90000000002"/>
    <n v="121580.7"/>
    <n v="168003.20000000001"/>
    <n v="600"/>
    <n v="601.12"/>
    <n v="74676.399999999994"/>
    <n v="101914.2"/>
    <n v="176590.6"/>
    <n v="12726.1"/>
    <n v="5571"/>
    <n v="18297.099999999999"/>
    <n v="32.700000000000003"/>
    <n v="0.11"/>
    <n v="5571"/>
    <n v="18297.099999999999"/>
    <n v="601.23"/>
    <n v="600"/>
    <n v="194887.7"/>
    <n v="32.700000000000003"/>
    <n v="2000"/>
  </r>
  <r>
    <s v="2000_0.3_0.5_2000_1.0_order_2"/>
    <x v="0"/>
    <n v="0.3"/>
    <n v="0.5"/>
    <n v="2000"/>
    <n v="1"/>
    <n v="2"/>
    <x v="2"/>
    <n v="300140.09999999998"/>
    <n v="119249.7"/>
    <n v="180890.4"/>
    <n v="600"/>
    <n v="600.91"/>
    <n v="72500.600000000006"/>
    <n v="108404.1"/>
    <n v="180904.7"/>
    <n v="13019.4"/>
    <n v="5439.5"/>
    <n v="18458.900000000001"/>
    <n v="33.58"/>
    <n v="0.11"/>
    <n v="5439.5"/>
    <n v="18458.900000000001"/>
    <n v="601.02"/>
    <n v="600"/>
    <n v="199363.6"/>
    <n v="33.58"/>
    <n v="2000"/>
  </r>
  <r>
    <s v="2000_0.3_0.5_2000_1.0_order_3"/>
    <x v="0"/>
    <n v="0.3"/>
    <n v="0.5"/>
    <n v="2000"/>
    <n v="1"/>
    <n v="3"/>
    <x v="2"/>
    <n v="290338.59999999998"/>
    <n v="115863.1"/>
    <n v="174475.5"/>
    <n v="600"/>
    <n v="600.66"/>
    <n v="73173.600000000006"/>
    <n v="108079.4"/>
    <n v="181253"/>
    <n v="12923.1"/>
    <n v="5564.6"/>
    <n v="18487.7"/>
    <n v="31.2"/>
    <n v="0.09"/>
    <n v="5564.6"/>
    <n v="18487.7"/>
    <n v="600.75"/>
    <n v="600"/>
    <n v="199740.7"/>
    <n v="31.2"/>
    <n v="2000"/>
  </r>
  <r>
    <s v="2000_0.3_0.5_2000_1.0_order_4"/>
    <x v="0"/>
    <n v="0.3"/>
    <n v="0.5"/>
    <n v="2000"/>
    <n v="1"/>
    <n v="4"/>
    <x v="2"/>
    <n v="295767.40000000002"/>
    <n v="117585.9"/>
    <n v="178181.5"/>
    <n v="600"/>
    <n v="601.01"/>
    <n v="73084.399999999994"/>
    <n v="108730.1"/>
    <n v="181814.5"/>
    <n v="12944.3"/>
    <n v="5369.5"/>
    <n v="18313.8"/>
    <n v="32.340000000000003"/>
    <n v="0.1"/>
    <n v="5367.2"/>
    <n v="18311.5"/>
    <n v="601.11"/>
    <n v="600"/>
    <n v="200126"/>
    <n v="32.340000000000003"/>
    <n v="2000"/>
  </r>
  <r>
    <s v="2000_0.3_0.5_2000_1.0_order_5"/>
    <x v="0"/>
    <n v="0.3"/>
    <n v="0.5"/>
    <n v="2000"/>
    <n v="1"/>
    <n v="5"/>
    <x v="2"/>
    <n v="304712"/>
    <n v="117046.9"/>
    <n v="187665.1"/>
    <n v="600"/>
    <n v="600.98"/>
    <n v="71961.600000000006"/>
    <n v="114514"/>
    <n v="186475.6"/>
    <n v="13031"/>
    <n v="5367"/>
    <n v="18398"/>
    <n v="32.76"/>
    <n v="0.11"/>
    <n v="5367"/>
    <n v="18398"/>
    <n v="601.09"/>
    <n v="600"/>
    <n v="204873.60000000001"/>
    <n v="32.76"/>
    <n v="2000"/>
  </r>
  <r>
    <s v="2000_0.3_0.5_2000_2.0_order_1"/>
    <x v="0"/>
    <n v="0.3"/>
    <n v="0.5"/>
    <n v="2000"/>
    <n v="2"/>
    <n v="1"/>
    <x v="2"/>
    <n v="439539.6"/>
    <n v="174410.9"/>
    <n v="265128.7"/>
    <n v="600"/>
    <n v="600.25"/>
    <n v="108707.4"/>
    <n v="164831.4"/>
    <n v="273538.8"/>
    <n v="11809.2"/>
    <n v="5040.3"/>
    <n v="16849.5"/>
    <n v="33.93"/>
    <n v="0.14000000000000001"/>
    <n v="5038.8999999999996"/>
    <n v="16848.099999999999"/>
    <n v="600.39"/>
    <n v="600"/>
    <n v="290386.90000000002"/>
    <n v="33.93"/>
    <n v="2000"/>
  </r>
  <r>
    <s v="2000_0.3_0.5_2000_2.0_order_2"/>
    <x v="0"/>
    <n v="0.3"/>
    <n v="0.5"/>
    <n v="2000"/>
    <n v="2"/>
    <n v="2"/>
    <x v="2"/>
    <n v="439572.5"/>
    <n v="169352"/>
    <n v="270220.5"/>
    <n v="600"/>
    <n v="601.20000000000005"/>
    <n v="108882.1"/>
    <n v="172854.2"/>
    <n v="281736.3"/>
    <n v="12466.7"/>
    <n v="4799.1000000000004"/>
    <n v="17265.8"/>
    <n v="31.98"/>
    <n v="0.15"/>
    <n v="4799.1000000000004"/>
    <n v="17265.8"/>
    <n v="601.35"/>
    <n v="600"/>
    <n v="299002.09999999998"/>
    <n v="31.98"/>
    <n v="2000"/>
  </r>
  <r>
    <s v="2000_0.3_0.5_2000_2.0_order_3"/>
    <x v="0"/>
    <n v="0.3"/>
    <n v="0.5"/>
    <n v="2000"/>
    <n v="2"/>
    <n v="3"/>
    <x v="2"/>
    <n v="444091.5"/>
    <n v="175675.5"/>
    <n v="268416"/>
    <n v="600"/>
    <n v="601.03"/>
    <n v="113057.5"/>
    <n v="168418.5"/>
    <n v="281476"/>
    <n v="11514.4"/>
    <n v="4552.5"/>
    <n v="16066.9"/>
    <n v="33"/>
    <n v="0.17"/>
    <n v="4552.5"/>
    <n v="16066.9"/>
    <n v="601.20000000000005"/>
    <n v="600"/>
    <n v="297542.90000000002"/>
    <n v="33"/>
    <n v="2000"/>
  </r>
  <r>
    <s v="2000_0.3_0.5_2000_2.0_order_4"/>
    <x v="0"/>
    <n v="0.3"/>
    <n v="0.5"/>
    <n v="2000"/>
    <n v="2"/>
    <n v="4"/>
    <x v="2"/>
    <n v="443193.7"/>
    <n v="177975.9"/>
    <n v="265217.8"/>
    <n v="600"/>
    <n v="600.65"/>
    <n v="113707.7"/>
    <n v="166908.6"/>
    <n v="280616.3"/>
    <n v="12093.3"/>
    <n v="5201.3"/>
    <n v="17294.599999999999"/>
    <n v="32.78"/>
    <n v="0.17"/>
    <n v="5187.1000000000004"/>
    <n v="17280.400000000001"/>
    <n v="600.82000000000005"/>
    <n v="600"/>
    <n v="297896.7"/>
    <n v="32.78"/>
    <n v="2000"/>
  </r>
  <r>
    <s v="2000_0.3_0.5_2000_2.0_order_5"/>
    <x v="0"/>
    <n v="0.3"/>
    <n v="0.5"/>
    <n v="2000"/>
    <n v="2"/>
    <n v="5"/>
    <x v="2"/>
    <n v="463838.9"/>
    <n v="182621.5"/>
    <n v="281217.40000000002"/>
    <n v="600"/>
    <n v="600.01"/>
    <n v="115587.7"/>
    <n v="177402.4"/>
    <n v="292990.09999999998"/>
    <n v="11676.5"/>
    <n v="4430.3"/>
    <n v="16106.8"/>
    <n v="33.36"/>
    <n v="0.13"/>
    <n v="4415.6000000000004"/>
    <n v="16092.1"/>
    <n v="600.13"/>
    <n v="599"/>
    <n v="309082.2"/>
    <n v="33.36"/>
    <n v="2000"/>
  </r>
  <r>
    <s v="2000_0.3_0.5_2000_3.0_order_1"/>
    <x v="0"/>
    <n v="0.3"/>
    <n v="0.5"/>
    <n v="2000"/>
    <n v="3"/>
    <n v="1"/>
    <x v="2"/>
    <n v="556141.4"/>
    <n v="221894.1"/>
    <n v="334247.3"/>
    <n v="600"/>
    <n v="600.22"/>
    <n v="143455"/>
    <n v="218082.1"/>
    <n v="361537.1"/>
    <n v="11677.5"/>
    <n v="4562.1000000000004"/>
    <n v="16239.6"/>
    <n v="32.07"/>
    <n v="0.19"/>
    <n v="4552.8999999999996"/>
    <n v="16230.4"/>
    <n v="600.4"/>
    <n v="600"/>
    <n v="377767.5"/>
    <n v="32.07"/>
    <n v="2000"/>
  </r>
  <r>
    <s v="2000_0.3_0.5_2000_3.0_order_2"/>
    <x v="0"/>
    <n v="0.3"/>
    <n v="0.5"/>
    <n v="2000"/>
    <n v="3"/>
    <n v="2"/>
    <x v="2"/>
    <n v="560257"/>
    <n v="221512.4"/>
    <n v="338744.6"/>
    <n v="600"/>
    <n v="600.03"/>
    <n v="145008.5"/>
    <n v="223301.2"/>
    <n v="368309.7"/>
    <n v="11713.2"/>
    <n v="4537.1000000000004"/>
    <n v="16250.3"/>
    <n v="31.36"/>
    <n v="0.16"/>
    <n v="4537.1000000000004"/>
    <n v="16250.3"/>
    <n v="600.19000000000005"/>
    <n v="600"/>
    <n v="384560"/>
    <n v="31.36"/>
    <n v="2000"/>
  </r>
  <r>
    <s v="2000_0.3_0.5_2000_3.0_order_3"/>
    <x v="0"/>
    <n v="0.3"/>
    <n v="0.5"/>
    <n v="2000"/>
    <n v="3"/>
    <n v="3"/>
    <x v="2"/>
    <n v="568524.9"/>
    <n v="227982.2"/>
    <n v="340542.7"/>
    <n v="600"/>
    <n v="600.01"/>
    <n v="146750.20000000001"/>
    <n v="223779.20000000001"/>
    <n v="370529.4"/>
    <n v="11759"/>
    <n v="4589.8"/>
    <n v="16348.8"/>
    <n v="31.95"/>
    <n v="0.15"/>
    <n v="4589.8"/>
    <n v="16348.8"/>
    <n v="600.16"/>
    <n v="600"/>
    <n v="386878.2"/>
    <n v="31.95"/>
    <n v="2000"/>
  </r>
  <r>
    <s v="2000_0.3_0.5_2000_3.0_order_4"/>
    <x v="0"/>
    <n v="0.3"/>
    <n v="0.5"/>
    <n v="2000"/>
    <n v="3"/>
    <n v="4"/>
    <x v="2"/>
    <n v="572096.9"/>
    <n v="227950.6"/>
    <n v="344146.3"/>
    <n v="600"/>
    <n v="601.1"/>
    <n v="148659.1"/>
    <n v="228956.6"/>
    <n v="377615.7"/>
    <n v="11738.9"/>
    <n v="4327.7"/>
    <n v="16066.6"/>
    <n v="31.19"/>
    <n v="0.22"/>
    <n v="4324.8999999999996"/>
    <n v="16063.8"/>
    <n v="601.32000000000005"/>
    <n v="600"/>
    <n v="393679.5"/>
    <n v="31.19"/>
    <n v="2000"/>
  </r>
  <r>
    <s v="2000_0.3_0.5_2000_3.0_order_5"/>
    <x v="0"/>
    <n v="0.3"/>
    <n v="0.5"/>
    <n v="2000"/>
    <n v="3"/>
    <n v="5"/>
    <x v="2"/>
    <n v="563961.5"/>
    <n v="224204.2"/>
    <n v="339757.3"/>
    <n v="600"/>
    <n v="601.04999999999995"/>
    <n v="146251.70000000001"/>
    <n v="221298.5"/>
    <n v="367550.2"/>
    <n v="11776"/>
    <n v="4309.8"/>
    <n v="16085.8"/>
    <n v="31.97"/>
    <n v="0.16"/>
    <n v="4308.3999999999996"/>
    <n v="16084.4"/>
    <n v="601.21"/>
    <n v="600"/>
    <n v="383634.6"/>
    <n v="31.98"/>
    <n v="2000"/>
  </r>
  <r>
    <s v="2000_0.3_0.5_500_1.0_order_1"/>
    <x v="0"/>
    <n v="0.3"/>
    <n v="0.5"/>
    <n v="500"/>
    <n v="1"/>
    <n v="1"/>
    <x v="2"/>
    <n v="74756.5"/>
    <n v="30616.9"/>
    <n v="44139.6"/>
    <n v="600"/>
    <n v="600.17999999999995"/>
    <n v="17389.5"/>
    <n v="24342.400000000001"/>
    <n v="41731.9"/>
    <n v="9158"/>
    <n v="2568.3000000000002"/>
    <n v="11726.3"/>
    <n v="28.49"/>
    <n v="7.0000000000000007E-2"/>
    <n v="2561.9"/>
    <n v="11719.9"/>
    <n v="600.25"/>
    <n v="599"/>
    <n v="53451.8"/>
    <n v="28.5"/>
    <n v="2000"/>
  </r>
  <r>
    <s v="2000_0.3_0.5_500_1.0_order_2"/>
    <x v="0"/>
    <n v="0.3"/>
    <n v="0.5"/>
    <n v="500"/>
    <n v="1"/>
    <n v="2"/>
    <x v="2"/>
    <n v="70154.3"/>
    <n v="27368.3"/>
    <n v="42786"/>
    <n v="600"/>
    <n v="600.78"/>
    <n v="16560.7"/>
    <n v="23880"/>
    <n v="40440.699999999997"/>
    <n v="8745.2000000000007"/>
    <n v="2580.5"/>
    <n v="11325.7"/>
    <n v="26.21"/>
    <n v="0.09"/>
    <n v="2576.4"/>
    <n v="11321.6"/>
    <n v="600.87"/>
    <n v="600"/>
    <n v="51762.3"/>
    <n v="26.22"/>
    <n v="2000"/>
  </r>
  <r>
    <s v="2000_0.3_0.5_500_1.0_order_3"/>
    <x v="0"/>
    <n v="0.3"/>
    <n v="0.5"/>
    <n v="500"/>
    <n v="1"/>
    <n v="3"/>
    <x v="2"/>
    <n v="75606.899999999994"/>
    <n v="30252.1"/>
    <n v="45354.8"/>
    <n v="600"/>
    <n v="601.26"/>
    <n v="18010.400000000001"/>
    <n v="25468.2"/>
    <n v="43478.6"/>
    <n v="8733.7999999999993"/>
    <n v="2551.1"/>
    <n v="11284.9"/>
    <n v="27.57"/>
    <n v="0.14000000000000001"/>
    <n v="2535.1"/>
    <n v="11268.9"/>
    <n v="601.4"/>
    <n v="600"/>
    <n v="54747.5"/>
    <n v="27.59"/>
    <n v="2000"/>
  </r>
  <r>
    <s v="2000_0.3_0.5_500_1.0_order_4"/>
    <x v="0"/>
    <n v="0.3"/>
    <n v="0.5"/>
    <n v="500"/>
    <n v="1"/>
    <n v="4"/>
    <x v="2"/>
    <n v="75315.199999999997"/>
    <n v="30632"/>
    <n v="44683.199999999997"/>
    <n v="600"/>
    <n v="600.83000000000004"/>
    <n v="17737.400000000001"/>
    <n v="24715"/>
    <n v="42452.4"/>
    <n v="9065.7000000000007"/>
    <n v="2736.6"/>
    <n v="11802.3"/>
    <n v="27.96"/>
    <n v="0.1"/>
    <n v="2729.6"/>
    <n v="11795.3"/>
    <n v="600.92999999999995"/>
    <n v="599"/>
    <n v="54247.7"/>
    <n v="27.97"/>
    <n v="2000"/>
  </r>
  <r>
    <s v="2000_0.3_0.5_500_1.0_order_5"/>
    <x v="0"/>
    <n v="0.3"/>
    <n v="0.5"/>
    <n v="500"/>
    <n v="1"/>
    <n v="5"/>
    <x v="2"/>
    <n v="73279.899999999994"/>
    <n v="27895.1"/>
    <n v="45384.800000000003"/>
    <n v="600"/>
    <n v="601.23"/>
    <n v="16790.900000000001"/>
    <n v="24603.7"/>
    <n v="41394.6"/>
    <n v="9036.2000000000007"/>
    <n v="2642.2"/>
    <n v="11678.4"/>
    <n v="27.57"/>
    <n v="0.11"/>
    <n v="2605.1"/>
    <n v="11641.3"/>
    <n v="601.35"/>
    <n v="600"/>
    <n v="53035.9"/>
    <n v="27.63"/>
    <n v="2000"/>
  </r>
  <r>
    <s v="2000_0.3_0.5_500_2.0_order_1"/>
    <x v="0"/>
    <n v="0.3"/>
    <n v="0.5"/>
    <n v="500"/>
    <n v="2"/>
    <n v="1"/>
    <x v="2"/>
    <n v="110472.8"/>
    <n v="42931.8"/>
    <n v="67541"/>
    <n v="600"/>
    <n v="600.6"/>
    <n v="25049.7"/>
    <n v="39176.1"/>
    <n v="64225.8"/>
    <n v="9269.1"/>
    <n v="3290.3"/>
    <n v="12559.4"/>
    <n v="30.49"/>
    <n v="0.14000000000000001"/>
    <n v="3290.3"/>
    <n v="12559.4"/>
    <n v="600.73"/>
    <n v="596"/>
    <n v="76785.2"/>
    <n v="30.49"/>
    <n v="2000"/>
  </r>
  <r>
    <s v="2000_0.3_0.5_500_2.0_order_2"/>
    <x v="0"/>
    <n v="0.3"/>
    <n v="0.5"/>
    <n v="500"/>
    <n v="2"/>
    <n v="2"/>
    <x v="2"/>
    <n v="106280.6"/>
    <n v="42654.400000000001"/>
    <n v="63626.2"/>
    <n v="600"/>
    <n v="600.62"/>
    <n v="25388.5"/>
    <n v="37026.699999999997"/>
    <n v="62415.199999999997"/>
    <n v="9005.7000000000007"/>
    <n v="2917.2"/>
    <n v="11922.9"/>
    <n v="30.05"/>
    <n v="0.14000000000000001"/>
    <n v="2909.4"/>
    <n v="11915.1"/>
    <n v="600.75"/>
    <n v="600"/>
    <n v="74330.3"/>
    <n v="30.06"/>
    <n v="2000"/>
  </r>
  <r>
    <s v="2000_0.3_0.5_500_2.0_order_3"/>
    <x v="0"/>
    <n v="0.3"/>
    <n v="0.5"/>
    <n v="500"/>
    <n v="2"/>
    <n v="3"/>
    <x v="2"/>
    <n v="107447.3"/>
    <n v="42720.6"/>
    <n v="64726.7"/>
    <n v="600"/>
    <n v="600.38"/>
    <n v="24823.7"/>
    <n v="37181"/>
    <n v="62004.7"/>
    <n v="8970.2999999999993"/>
    <n v="2908.8"/>
    <n v="11879.1"/>
    <n v="31.24"/>
    <n v="0.09"/>
    <n v="2904.7"/>
    <n v="11875"/>
    <n v="600.47"/>
    <n v="598"/>
    <n v="73879.7"/>
    <n v="31.24"/>
    <n v="2000"/>
  </r>
  <r>
    <s v="2000_0.3_0.5_500_2.0_order_4"/>
    <x v="0"/>
    <n v="0.3"/>
    <n v="0.5"/>
    <n v="500"/>
    <n v="2"/>
    <n v="4"/>
    <x v="2"/>
    <n v="109197.5"/>
    <n v="44088"/>
    <n v="65109.5"/>
    <n v="600"/>
    <n v="600.29999999999995"/>
    <n v="25819.5"/>
    <n v="37159.9"/>
    <n v="62979.4"/>
    <n v="9391.5"/>
    <n v="3311"/>
    <n v="12702.5"/>
    <n v="30.69"/>
    <n v="0.14000000000000001"/>
    <n v="3300.4"/>
    <n v="12691.9"/>
    <n v="600.44000000000005"/>
    <n v="599"/>
    <n v="75671.3"/>
    <n v="30.7"/>
    <n v="2000"/>
  </r>
  <r>
    <s v="2000_0.3_0.5_500_2.0_order_5"/>
    <x v="0"/>
    <n v="0.3"/>
    <n v="0.5"/>
    <n v="500"/>
    <n v="2"/>
    <n v="5"/>
    <x v="2"/>
    <n v="111481.7"/>
    <n v="43469.4"/>
    <n v="68012.3"/>
    <n v="600"/>
    <n v="600.37"/>
    <n v="25370.5"/>
    <n v="39060.400000000001"/>
    <n v="64430.9"/>
    <n v="8924.2999999999993"/>
    <n v="3171.7"/>
    <n v="12096"/>
    <n v="31.35"/>
    <n v="0.17"/>
    <n v="3171.7"/>
    <n v="12096"/>
    <n v="600.54"/>
    <n v="598"/>
    <n v="76526.899999999994"/>
    <n v="31.35"/>
    <n v="2000"/>
  </r>
  <r>
    <s v="2000_0.3_0.5_500_3.0_order_1"/>
    <x v="0"/>
    <n v="0.3"/>
    <n v="0.5"/>
    <n v="500"/>
    <n v="3"/>
    <n v="1"/>
    <x v="2"/>
    <n v="143946.29999999999"/>
    <n v="57323.8"/>
    <n v="86622.5"/>
    <n v="600"/>
    <n v="600.91999999999996"/>
    <n v="34452.199999999997"/>
    <n v="52927.199999999997"/>
    <n v="87379.4"/>
    <n v="8963.9"/>
    <n v="3490.2"/>
    <n v="12454.1"/>
    <n v="30.65"/>
    <n v="0.2"/>
    <n v="3483.9"/>
    <n v="12447.8"/>
    <n v="601.11"/>
    <n v="600"/>
    <n v="99827.199999999997"/>
    <n v="30.65"/>
    <n v="2000"/>
  </r>
  <r>
    <s v="2000_0.3_0.5_500_3.0_order_2"/>
    <x v="0"/>
    <n v="0.3"/>
    <n v="0.5"/>
    <n v="500"/>
    <n v="3"/>
    <n v="2"/>
    <x v="2"/>
    <n v="137491.9"/>
    <n v="53804.5"/>
    <n v="83687.399999999994"/>
    <n v="600"/>
    <n v="601.08000000000004"/>
    <n v="31955"/>
    <n v="51138.8"/>
    <n v="83093.8"/>
    <n v="9443.2999999999993"/>
    <n v="3323.7"/>
    <n v="12767"/>
    <n v="30.28"/>
    <n v="0.15"/>
    <n v="3323.7"/>
    <n v="12767"/>
    <n v="601.23"/>
    <n v="600"/>
    <n v="95860.800000000003"/>
    <n v="30.28"/>
    <n v="2000"/>
  </r>
  <r>
    <s v="2000_0.3_0.5_500_3.0_order_3"/>
    <x v="0"/>
    <n v="0.3"/>
    <n v="0.5"/>
    <n v="500"/>
    <n v="3"/>
    <n v="3"/>
    <x v="2"/>
    <n v="134184.20000000001"/>
    <n v="54224.9"/>
    <n v="79959.3"/>
    <n v="600"/>
    <n v="600.64"/>
    <n v="32643.8"/>
    <n v="48370.6"/>
    <n v="81014.399999999994"/>
    <n v="8858.7000000000007"/>
    <n v="3261.6"/>
    <n v="12120.3"/>
    <n v="30.59"/>
    <n v="0.17"/>
    <n v="3258.8"/>
    <n v="12117.5"/>
    <n v="600.80999999999995"/>
    <n v="600"/>
    <n v="93131.9"/>
    <n v="30.59"/>
    <n v="2000"/>
  </r>
  <r>
    <s v="2000_0.3_0.5_500_3.0_order_4"/>
    <x v="0"/>
    <n v="0.3"/>
    <n v="0.5"/>
    <n v="500"/>
    <n v="3"/>
    <n v="4"/>
    <x v="2"/>
    <n v="140703.4"/>
    <n v="54175.8"/>
    <n v="86527.6"/>
    <n v="600"/>
    <n v="600.47"/>
    <n v="33959.5"/>
    <n v="53405.8"/>
    <n v="87365.3"/>
    <n v="8744.5"/>
    <n v="3074.2"/>
    <n v="11818.7"/>
    <n v="29.51"/>
    <n v="0.2"/>
    <n v="3072.8"/>
    <n v="11817.3"/>
    <n v="600.66999999999996"/>
    <n v="600"/>
    <n v="99182.6"/>
    <n v="29.51"/>
    <n v="2000"/>
  </r>
  <r>
    <s v="2000_0.3_0.5_500_3.0_order_5"/>
    <x v="0"/>
    <n v="0.3"/>
    <n v="0.5"/>
    <n v="500"/>
    <n v="3"/>
    <n v="5"/>
    <x v="2"/>
    <n v="136155.6"/>
    <n v="51030.7"/>
    <n v="85124.9"/>
    <n v="600"/>
    <n v="600.62"/>
    <n v="30964.1"/>
    <n v="51237.2"/>
    <n v="82201.3"/>
    <n v="9043.5"/>
    <n v="3264"/>
    <n v="12307.5"/>
    <n v="30.59"/>
    <n v="0.14000000000000001"/>
    <n v="3246.6"/>
    <n v="12290.1"/>
    <n v="600.77"/>
    <n v="600"/>
    <n v="94491.4"/>
    <n v="30.6"/>
    <n v="2000"/>
  </r>
  <r>
    <s v="2000_0.4_0.5_1000_1.0_order_1"/>
    <x v="0"/>
    <n v="0.4"/>
    <n v="0.5"/>
    <n v="1000"/>
    <n v="1"/>
    <n v="1"/>
    <x v="2"/>
    <n v="146743.6"/>
    <n v="58000.4"/>
    <n v="88743.2"/>
    <n v="600"/>
    <n v="601.05999999999995"/>
    <n v="32480.5"/>
    <n v="48304"/>
    <n v="80784.5"/>
    <n v="11690.7"/>
    <n v="5628.4"/>
    <n v="17319.099999999999"/>
    <n v="33.15"/>
    <n v="0.15"/>
    <n v="5628.4"/>
    <n v="17319.099999999999"/>
    <n v="601.21"/>
    <n v="600"/>
    <n v="98103.6"/>
    <n v="33.15"/>
    <n v="2000"/>
  </r>
  <r>
    <s v="2000_0.4_0.5_1000_1.0_order_2"/>
    <x v="0"/>
    <n v="0.4"/>
    <n v="0.5"/>
    <n v="1000"/>
    <n v="1"/>
    <n v="2"/>
    <x v="2"/>
    <n v="147538.70000000001"/>
    <n v="60411.8"/>
    <n v="87126.9"/>
    <n v="600"/>
    <n v="601.05999999999995"/>
    <n v="33672.800000000003"/>
    <n v="47077.1"/>
    <n v="80749.899999999994"/>
    <n v="11748.1"/>
    <n v="5574.3"/>
    <n v="17322.400000000001"/>
    <n v="33.53"/>
    <n v="0.14000000000000001"/>
    <n v="5574.3"/>
    <n v="17322.400000000001"/>
    <n v="601.20000000000005"/>
    <n v="600"/>
    <n v="98072.3"/>
    <n v="33.53"/>
    <n v="2000"/>
  </r>
  <r>
    <s v="2000_0.4_0.5_1000_1.0_order_3"/>
    <x v="0"/>
    <n v="0.4"/>
    <n v="0.5"/>
    <n v="1000"/>
    <n v="1"/>
    <n v="3"/>
    <x v="2"/>
    <n v="147212.4"/>
    <n v="60036.4"/>
    <n v="87176"/>
    <n v="600"/>
    <n v="600.25"/>
    <n v="32526.1"/>
    <n v="46778.2"/>
    <n v="79304.3"/>
    <n v="11363.3"/>
    <n v="5627.4"/>
    <n v="16990.7"/>
    <n v="34.590000000000003"/>
    <n v="0.15"/>
    <n v="5611.9"/>
    <n v="16975.2"/>
    <n v="600.4"/>
    <n v="600"/>
    <n v="96279.5"/>
    <n v="34.6"/>
    <n v="2000"/>
  </r>
  <r>
    <s v="2000_0.4_0.5_1000_1.0_order_4"/>
    <x v="0"/>
    <n v="0.4"/>
    <n v="0.5"/>
    <n v="1000"/>
    <n v="1"/>
    <n v="4"/>
    <x v="2"/>
    <n v="148707.4"/>
    <n v="61039"/>
    <n v="87668.4"/>
    <n v="600"/>
    <n v="600.94000000000005"/>
    <n v="32931.800000000003"/>
    <n v="45834.400000000001"/>
    <n v="78766.2"/>
    <n v="11788.1"/>
    <n v="5966.3"/>
    <n v="17754.400000000001"/>
    <n v="35.090000000000003"/>
    <n v="0.17"/>
    <n v="5953.5"/>
    <n v="17741.599999999999"/>
    <n v="601.11"/>
    <n v="600"/>
    <n v="96507.8"/>
    <n v="35.1"/>
    <n v="2000"/>
  </r>
  <r>
    <s v="2000_0.4_0.5_1000_1.0_order_5"/>
    <x v="0"/>
    <n v="0.4"/>
    <n v="0.5"/>
    <n v="1000"/>
    <n v="1"/>
    <n v="5"/>
    <x v="2"/>
    <n v="148055.70000000001"/>
    <n v="57683"/>
    <n v="90372.7"/>
    <n v="600"/>
    <n v="600.71"/>
    <n v="32464"/>
    <n v="48198.5"/>
    <n v="80662.5"/>
    <n v="11434.5"/>
    <n v="5482.5"/>
    <n v="16917"/>
    <n v="34.090000000000003"/>
    <n v="0.19"/>
    <n v="5482.5"/>
    <n v="16917"/>
    <n v="600.9"/>
    <n v="600"/>
    <n v="97579.5"/>
    <n v="34.090000000000003"/>
    <n v="2000"/>
  </r>
  <r>
    <s v="2000_0.4_0.5_1000_2.0_order_1"/>
    <x v="0"/>
    <n v="0.4"/>
    <n v="0.5"/>
    <n v="1000"/>
    <n v="2"/>
    <n v="1"/>
    <x v="2"/>
    <n v="230670.1"/>
    <n v="90584.2"/>
    <n v="140085.9"/>
    <n v="600"/>
    <n v="600.89"/>
    <n v="53103.8"/>
    <n v="79845.399999999994"/>
    <n v="132949.20000000001"/>
    <n v="10467.200000000001"/>
    <n v="4918.5"/>
    <n v="15385.7"/>
    <n v="35.69"/>
    <n v="0.22"/>
    <n v="4918.5"/>
    <n v="15385.7"/>
    <n v="601.11"/>
    <n v="600"/>
    <n v="148334.9"/>
    <n v="35.69"/>
    <n v="2000"/>
  </r>
  <r>
    <s v="2000_0.4_0.5_1000_2.0_order_2"/>
    <x v="0"/>
    <n v="0.4"/>
    <n v="0.5"/>
    <n v="1000"/>
    <n v="2"/>
    <n v="2"/>
    <x v="2"/>
    <n v="230566.8"/>
    <n v="88402.6"/>
    <n v="142164.20000000001"/>
    <n v="600"/>
    <n v="600.57000000000005"/>
    <n v="51364.4"/>
    <n v="81787.3"/>
    <n v="133151.70000000001"/>
    <n v="10420.200000000001"/>
    <n v="4749.1000000000004"/>
    <n v="15169.3"/>
    <n v="35.67"/>
    <n v="0.15"/>
    <n v="4747.7"/>
    <n v="15167.9"/>
    <n v="600.72"/>
    <n v="600"/>
    <n v="148319.6"/>
    <n v="35.67"/>
    <n v="2000"/>
  </r>
  <r>
    <s v="2000_0.4_0.5_1000_2.0_order_3"/>
    <x v="0"/>
    <n v="0.4"/>
    <n v="0.5"/>
    <n v="1000"/>
    <n v="2"/>
    <n v="3"/>
    <x v="2"/>
    <n v="216725.7"/>
    <n v="84765.8"/>
    <n v="131959.9"/>
    <n v="600"/>
    <n v="600.85"/>
    <n v="49646.400000000001"/>
    <n v="75544.3"/>
    <n v="125190.7"/>
    <n v="10439.299999999999"/>
    <n v="4868.1000000000004"/>
    <n v="15307.4"/>
    <n v="35.17"/>
    <n v="0.22"/>
    <n v="4864"/>
    <n v="15303.3"/>
    <n v="601.07000000000005"/>
    <n v="600"/>
    <n v="140494"/>
    <n v="35.17"/>
    <n v="2000"/>
  </r>
  <r>
    <s v="2000_0.4_0.5_1000_2.0_order_4"/>
    <x v="0"/>
    <n v="0.4"/>
    <n v="0.5"/>
    <n v="1000"/>
    <n v="2"/>
    <n v="4"/>
    <x v="2"/>
    <n v="228249.8"/>
    <n v="93670.2"/>
    <n v="134579.6"/>
    <n v="600"/>
    <n v="600.84"/>
    <n v="53771.9"/>
    <n v="75371.899999999994"/>
    <n v="129143.8"/>
    <n v="10825.9"/>
    <n v="5105"/>
    <n v="15930.9"/>
    <n v="36.44"/>
    <n v="0.25"/>
    <n v="5105"/>
    <n v="15930.9"/>
    <n v="601.1"/>
    <n v="600"/>
    <n v="145074.70000000001"/>
    <n v="36.44"/>
    <n v="2000"/>
  </r>
  <r>
    <s v="2000_0.4_0.5_1000_2.0_order_5"/>
    <x v="0"/>
    <n v="0.4"/>
    <n v="0.5"/>
    <n v="1000"/>
    <n v="2"/>
    <n v="5"/>
    <x v="2"/>
    <n v="216003.3"/>
    <n v="85862.7"/>
    <n v="130140.6"/>
    <n v="600"/>
    <n v="601.26"/>
    <n v="51444.4"/>
    <n v="74623.600000000006"/>
    <n v="126068"/>
    <n v="10641.9"/>
    <n v="4915.3999999999996"/>
    <n v="15557.3"/>
    <n v="34.43"/>
    <n v="0.23"/>
    <n v="4914"/>
    <n v="15555.9"/>
    <n v="601.48"/>
    <n v="600"/>
    <n v="141623.9"/>
    <n v="34.43"/>
    <n v="2000"/>
  </r>
  <r>
    <s v="2000_0.4_0.5_1000_3.0_order_1"/>
    <x v="0"/>
    <n v="0.4"/>
    <n v="0.5"/>
    <n v="1000"/>
    <n v="3"/>
    <n v="1"/>
    <x v="2"/>
    <n v="276286"/>
    <n v="109961"/>
    <n v="166325"/>
    <n v="600"/>
    <n v="600.29999999999995"/>
    <n v="66337.100000000006"/>
    <n v="99432.6"/>
    <n v="165769.70000000001"/>
    <n v="10175.5"/>
    <n v="4301.5"/>
    <n v="14477"/>
    <n v="34.76"/>
    <n v="0.14000000000000001"/>
    <n v="4297.3999999999996"/>
    <n v="14472.9"/>
    <n v="600.44000000000005"/>
    <n v="600"/>
    <n v="180242.6"/>
    <n v="34.76"/>
    <n v="2000"/>
  </r>
  <r>
    <s v="2000_0.4_0.5_1000_3.0_order_2"/>
    <x v="0"/>
    <n v="0.4"/>
    <n v="0.5"/>
    <n v="1000"/>
    <n v="3"/>
    <n v="2"/>
    <x v="2"/>
    <n v="279729.59999999998"/>
    <n v="113230.9"/>
    <n v="166498.70000000001"/>
    <n v="600"/>
    <n v="601.05999999999995"/>
    <n v="66093.899999999994"/>
    <n v="96035.3"/>
    <n v="162129.20000000001"/>
    <n v="10484.799999999999"/>
    <n v="4507.7"/>
    <n v="14992.5"/>
    <n v="36.68"/>
    <n v="0.2"/>
    <n v="4498.6000000000004"/>
    <n v="14983.4"/>
    <n v="601.26"/>
    <n v="600"/>
    <n v="177112.6"/>
    <n v="36.68"/>
    <n v="2000"/>
  </r>
  <r>
    <s v="2000_0.4_0.5_1000_3.0_order_3"/>
    <x v="0"/>
    <n v="0.4"/>
    <n v="0.5"/>
    <n v="1000"/>
    <n v="3"/>
    <n v="3"/>
    <x v="2"/>
    <n v="279169.2"/>
    <n v="112698.4"/>
    <n v="166470.79999999999"/>
    <n v="600"/>
    <n v="600.02"/>
    <n v="67641.7"/>
    <n v="97969.8"/>
    <n v="165611.5"/>
    <n v="10514"/>
    <n v="4809.3999999999996"/>
    <n v="15323.4"/>
    <n v="35.19"/>
    <n v="0.21"/>
    <n v="4809.3999999999996"/>
    <n v="15323.4"/>
    <n v="600.22"/>
    <n v="600"/>
    <n v="180934.9"/>
    <n v="35.19"/>
    <n v="2000"/>
  </r>
  <r>
    <s v="2000_0.4_0.5_1000_3.0_order_4"/>
    <x v="0"/>
    <n v="0.4"/>
    <n v="0.5"/>
    <n v="1000"/>
    <n v="3"/>
    <n v="4"/>
    <x v="2"/>
    <n v="283603"/>
    <n v="106923.5"/>
    <n v="176679.5"/>
    <n v="600"/>
    <n v="600.37"/>
    <n v="62613.599999999999"/>
    <n v="103081.1"/>
    <n v="165694.70000000001"/>
    <n v="10544.5"/>
    <n v="4865.8"/>
    <n v="15410.3"/>
    <n v="36.14"/>
    <n v="0.15"/>
    <n v="4865.8"/>
    <n v="15410.3"/>
    <n v="600.52"/>
    <n v="600"/>
    <n v="181105"/>
    <n v="36.14"/>
    <n v="2000"/>
  </r>
  <r>
    <s v="2000_0.4_0.5_1000_3.0_order_5"/>
    <x v="0"/>
    <n v="0.4"/>
    <n v="0.5"/>
    <n v="1000"/>
    <n v="3"/>
    <n v="5"/>
    <x v="2"/>
    <n v="280909.3"/>
    <n v="115396.7"/>
    <n v="165512.6"/>
    <n v="600"/>
    <n v="600.89"/>
    <n v="68511.100000000006"/>
    <n v="98005.6"/>
    <n v="166516.70000000001"/>
    <n v="10546.4"/>
    <n v="4774.2"/>
    <n v="15320.6"/>
    <n v="35.270000000000003"/>
    <n v="0.2"/>
    <n v="4774.2"/>
    <n v="15320.6"/>
    <n v="601.09"/>
    <n v="600"/>
    <n v="181837.3"/>
    <n v="35.270000000000003"/>
    <n v="2000"/>
  </r>
  <r>
    <s v="2000_0.4_0.5_2000_1.0_order_1"/>
    <x v="0"/>
    <n v="0.4"/>
    <n v="0.5"/>
    <n v="2000"/>
    <n v="1"/>
    <n v="1"/>
    <x v="2"/>
    <n v="295726.09999999998"/>
    <n v="118267.4"/>
    <n v="177458.7"/>
    <n v="600"/>
    <n v="601.03"/>
    <n v="67082"/>
    <n v="100391.2"/>
    <n v="167473.20000000001"/>
    <n v="12859.7"/>
    <n v="7246.3"/>
    <n v="20106"/>
    <n v="36.57"/>
    <n v="0.16"/>
    <n v="7246.3"/>
    <n v="20106"/>
    <n v="601.19000000000005"/>
    <n v="600"/>
    <n v="187579.2"/>
    <n v="36.57"/>
    <n v="2000"/>
  </r>
  <r>
    <s v="2000_0.4_0.5_2000_1.0_order_2"/>
    <x v="0"/>
    <n v="0.4"/>
    <n v="0.5"/>
    <n v="2000"/>
    <n v="1"/>
    <n v="2"/>
    <x v="2"/>
    <n v="298600.8"/>
    <n v="119219.5"/>
    <n v="179381.3"/>
    <n v="600"/>
    <n v="600.67999999999995"/>
    <n v="69374.100000000006"/>
    <n v="101264.9"/>
    <n v="170639"/>
    <n v="12751"/>
    <n v="6979.2"/>
    <n v="19730.2"/>
    <n v="36.25"/>
    <n v="0.2"/>
    <n v="6979.2"/>
    <n v="19730.2"/>
    <n v="600.88"/>
    <n v="599"/>
    <n v="190369.2"/>
    <n v="36.25"/>
    <n v="2000"/>
  </r>
  <r>
    <s v="2000_0.4_0.5_2000_1.0_order_3"/>
    <x v="0"/>
    <n v="0.4"/>
    <n v="0.5"/>
    <n v="2000"/>
    <n v="1"/>
    <n v="3"/>
    <x v="2"/>
    <n v="292993.3"/>
    <n v="117695.9"/>
    <n v="175297.4"/>
    <n v="600"/>
    <n v="600"/>
    <n v="69111.899999999994"/>
    <n v="100370.7"/>
    <n v="169482.6"/>
    <n v="12783.9"/>
    <n v="7052.6"/>
    <n v="19836.5"/>
    <n v="35.380000000000003"/>
    <n v="0.15"/>
    <n v="7037"/>
    <n v="19820.900000000001"/>
    <n v="600.16"/>
    <n v="600"/>
    <n v="189303.5"/>
    <n v="35.39"/>
    <n v="2000"/>
  </r>
  <r>
    <s v="2000_0.4_0.5_2000_1.0_order_4"/>
    <x v="0"/>
    <n v="0.4"/>
    <n v="0.5"/>
    <n v="2000"/>
    <n v="1"/>
    <n v="4"/>
    <x v="2"/>
    <n v="301400.5"/>
    <n v="122960.4"/>
    <n v="178440.1"/>
    <n v="600"/>
    <n v="600.86"/>
    <n v="69391.199999999997"/>
    <n v="97919.4"/>
    <n v="167310.6"/>
    <n v="13137.7"/>
    <n v="7129.8"/>
    <n v="20267.5"/>
    <n v="37.76"/>
    <n v="0.15"/>
    <n v="7123.4"/>
    <n v="20261.099999999999"/>
    <n v="601.01"/>
    <n v="600"/>
    <n v="187571.7"/>
    <n v="37.770000000000003"/>
    <n v="2000"/>
  </r>
  <r>
    <s v="2000_0.4_0.5_2000_1.0_order_5"/>
    <x v="0"/>
    <n v="0.4"/>
    <n v="0.5"/>
    <n v="2000"/>
    <n v="1"/>
    <n v="5"/>
    <x v="2"/>
    <n v="299455.59999999998"/>
    <n v="121744.5"/>
    <n v="177711.1"/>
    <n v="600"/>
    <n v="600.6"/>
    <n v="68878.600000000006"/>
    <n v="100169.4"/>
    <n v="169048"/>
    <n v="12853.6"/>
    <n v="7205.2"/>
    <n v="20058.8"/>
    <n v="36.85"/>
    <n v="0.16"/>
    <n v="7205.2"/>
    <n v="20058.8"/>
    <n v="600.76"/>
    <n v="600"/>
    <n v="189106.8"/>
    <n v="36.85"/>
    <n v="2000"/>
  </r>
  <r>
    <s v="2000_0.4_0.5_2000_2.0_order_1"/>
    <x v="0"/>
    <n v="0.4"/>
    <n v="0.5"/>
    <n v="2000"/>
    <n v="2"/>
    <n v="1"/>
    <x v="2"/>
    <n v="447962.7"/>
    <n v="187483.7"/>
    <n v="260479"/>
    <n v="600"/>
    <n v="600.28"/>
    <n v="113526.6"/>
    <n v="153938.70000000001"/>
    <n v="267465.3"/>
    <n v="11949.8"/>
    <n v="5653.3"/>
    <n v="17603.099999999999"/>
    <n v="36.36"/>
    <n v="0.25"/>
    <n v="5653.3"/>
    <n v="17603.099999999999"/>
    <n v="600.52"/>
    <n v="600"/>
    <n v="285068.40000000002"/>
    <n v="36.36"/>
    <n v="2000"/>
  </r>
  <r>
    <s v="2000_0.4_0.5_2000_2.0_order_2"/>
    <x v="0"/>
    <n v="0.4"/>
    <n v="0.5"/>
    <n v="2000"/>
    <n v="2"/>
    <n v="2"/>
    <x v="2"/>
    <n v="453956.8"/>
    <n v="177453.1"/>
    <n v="276503.7"/>
    <n v="600"/>
    <n v="601.16999999999996"/>
    <n v="107194.6"/>
    <n v="162411.5"/>
    <n v="269606.09999999998"/>
    <n v="11758.7"/>
    <n v="5654.7"/>
    <n v="17413.400000000001"/>
    <n v="36.770000000000003"/>
    <n v="0.26"/>
    <n v="5654.7"/>
    <n v="17413.400000000001"/>
    <n v="601.42999999999995"/>
    <n v="600"/>
    <n v="287019.5"/>
    <n v="36.770000000000003"/>
    <n v="2000"/>
  </r>
  <r>
    <s v="2000_0.4_0.5_2000_2.0_order_3"/>
    <x v="0"/>
    <n v="0.4"/>
    <n v="0.5"/>
    <n v="2000"/>
    <n v="2"/>
    <n v="3"/>
    <x v="2"/>
    <n v="446076.3"/>
    <n v="172106.3"/>
    <n v="273970"/>
    <n v="600"/>
    <n v="600.32000000000005"/>
    <n v="103172.5"/>
    <n v="159044.4"/>
    <n v="262216.90000000002"/>
    <n v="11798.9"/>
    <n v="6000.1"/>
    <n v="17799"/>
    <n v="37.229999999999997"/>
    <n v="0.27"/>
    <n v="6000.1"/>
    <n v="17799"/>
    <n v="600.59"/>
    <n v="600"/>
    <n v="280015.90000000002"/>
    <n v="37.229999999999997"/>
    <n v="2000"/>
  </r>
  <r>
    <s v="2000_0.4_0.5_2000_2.0_order_4"/>
    <x v="0"/>
    <n v="0.4"/>
    <n v="0.5"/>
    <n v="2000"/>
    <n v="2"/>
    <n v="4"/>
    <x v="2"/>
    <n v="439522.5"/>
    <n v="174035.5"/>
    <n v="265487"/>
    <n v="600"/>
    <n v="601.16999999999996"/>
    <n v="103777"/>
    <n v="154150.39999999999"/>
    <n v="257927.4"/>
    <n v="11406.3"/>
    <n v="5656.8"/>
    <n v="17063.099999999999"/>
    <n v="37.43"/>
    <n v="0.24"/>
    <n v="5656.8"/>
    <n v="17063.099999999999"/>
    <n v="601.41"/>
    <n v="600"/>
    <n v="274990.5"/>
    <n v="37.43"/>
    <n v="2000"/>
  </r>
  <r>
    <s v="2000_0.4_0.5_2000_2.0_order_5"/>
    <x v="0"/>
    <n v="0.4"/>
    <n v="0.5"/>
    <n v="2000"/>
    <n v="2"/>
    <n v="5"/>
    <x v="2"/>
    <n v="445828"/>
    <n v="180145.2"/>
    <n v="265682.8"/>
    <n v="600"/>
    <n v="600.22"/>
    <n v="104078"/>
    <n v="153884.6"/>
    <n v="257962.6"/>
    <n v="12113.2"/>
    <n v="6215.3"/>
    <n v="18328.5"/>
    <n v="38.03"/>
    <n v="0.24"/>
    <n v="6215.3"/>
    <n v="18328.5"/>
    <n v="600.46"/>
    <n v="600"/>
    <n v="276291.09999999998"/>
    <n v="38.03"/>
    <n v="2000"/>
  </r>
  <r>
    <s v="2000_0.4_0.5_2000_3.0_order_1"/>
    <x v="0"/>
    <n v="0.4"/>
    <n v="0.5"/>
    <n v="2000"/>
    <n v="3"/>
    <n v="1"/>
    <x v="2"/>
    <n v="562335.69999999995"/>
    <n v="220931.3"/>
    <n v="341404.4"/>
    <n v="600"/>
    <n v="600.01"/>
    <n v="135686.6"/>
    <n v="206344.2"/>
    <n v="342030.8"/>
    <n v="11818.1"/>
    <n v="4991.8999999999996"/>
    <n v="16810"/>
    <n v="36.19"/>
    <n v="0.28000000000000003"/>
    <n v="4989.2"/>
    <n v="16807.3"/>
    <n v="600.29999999999995"/>
    <n v="600"/>
    <n v="358838.1"/>
    <n v="36.19"/>
    <n v="2000"/>
  </r>
  <r>
    <s v="2000_0.4_0.5_2000_3.0_order_2"/>
    <x v="0"/>
    <n v="0.4"/>
    <n v="0.5"/>
    <n v="2000"/>
    <n v="3"/>
    <n v="2"/>
    <x v="2"/>
    <n v="564231"/>
    <n v="222582"/>
    <n v="341649"/>
    <n v="600"/>
    <n v="600.6"/>
    <n v="136299.5"/>
    <n v="205675.1"/>
    <n v="341974.6"/>
    <n v="11500.6"/>
    <n v="5090.2"/>
    <n v="16590.8"/>
    <n v="36.450000000000003"/>
    <n v="0.28999999999999998"/>
    <n v="5090.2"/>
    <n v="16590.8"/>
    <n v="600.89"/>
    <n v="600"/>
    <n v="358565.4"/>
    <n v="36.450000000000003"/>
    <n v="2000"/>
  </r>
  <r>
    <s v="2000_0.4_0.5_2000_3.0_order_3"/>
    <x v="0"/>
    <n v="0.4"/>
    <n v="0.5"/>
    <n v="2000"/>
    <n v="3"/>
    <n v="3"/>
    <x v="2"/>
    <n v="568389.69999999995"/>
    <n v="224541"/>
    <n v="343848.7"/>
    <n v="600"/>
    <n v="600.32000000000005"/>
    <n v="136467.1"/>
    <n v="207153.1"/>
    <n v="343620.2"/>
    <n v="11438.5"/>
    <n v="4977.5"/>
    <n v="16416"/>
    <n v="36.659999999999997"/>
    <n v="0.25"/>
    <n v="4977.5"/>
    <n v="16416"/>
    <n v="600.57000000000005"/>
    <n v="600"/>
    <n v="360036.2"/>
    <n v="36.659999999999997"/>
    <n v="2000"/>
  </r>
  <r>
    <s v="2000_0.4_0.5_2000_3.0_order_4"/>
    <x v="0"/>
    <n v="0.4"/>
    <n v="0.5"/>
    <n v="2000"/>
    <n v="3"/>
    <n v="4"/>
    <x v="2"/>
    <n v="568260.4"/>
    <n v="228002"/>
    <n v="340258.4"/>
    <n v="600"/>
    <n v="600.04"/>
    <n v="141978.29999999999"/>
    <n v="209464.7"/>
    <n v="351443"/>
    <n v="11499.7"/>
    <n v="5347.3"/>
    <n v="16847"/>
    <n v="35.19"/>
    <n v="0.24"/>
    <n v="5347.3"/>
    <n v="16847"/>
    <n v="600.28"/>
    <n v="600"/>
    <n v="368290"/>
    <n v="35.19"/>
    <n v="2000"/>
  </r>
  <r>
    <s v="2000_0.4_0.5_2000_3.0_order_5"/>
    <x v="0"/>
    <n v="0.4"/>
    <n v="0.5"/>
    <n v="2000"/>
    <n v="3"/>
    <n v="5"/>
    <x v="2"/>
    <n v="567033.1"/>
    <n v="227548.79999999999"/>
    <n v="339484.3"/>
    <n v="600"/>
    <n v="600.92999999999995"/>
    <n v="138482.70000000001"/>
    <n v="208075.1"/>
    <n v="346557.8"/>
    <n v="11712.8"/>
    <n v="4990.7"/>
    <n v="16703.5"/>
    <n v="35.94"/>
    <n v="0.18"/>
    <n v="4990.7"/>
    <n v="16703.5"/>
    <n v="601.11"/>
    <n v="600"/>
    <n v="363261.3"/>
    <n v="35.94"/>
    <n v="2000"/>
  </r>
  <r>
    <s v="2000_0.4_0.5_500_1.0_order_1"/>
    <x v="0"/>
    <n v="0.4"/>
    <n v="0.5"/>
    <n v="500"/>
    <n v="1"/>
    <n v="1"/>
    <x v="2"/>
    <n v="72750.3"/>
    <n v="28783.5"/>
    <n v="43966.8"/>
    <n v="600"/>
    <n v="601.16"/>
    <n v="14697.5"/>
    <n v="22394"/>
    <n v="37091.5"/>
    <n v="9071.5"/>
    <n v="3497"/>
    <n v="12568.5"/>
    <n v="31.74"/>
    <n v="0.21"/>
    <n v="3482.8"/>
    <n v="12554.3"/>
    <n v="601.38"/>
    <n v="600"/>
    <n v="49645.8"/>
    <n v="31.76"/>
    <n v="2000"/>
  </r>
  <r>
    <s v="2000_0.4_0.5_500_1.0_order_2"/>
    <x v="0"/>
    <n v="0.4"/>
    <n v="0.5"/>
    <n v="500"/>
    <n v="1"/>
    <n v="2"/>
    <x v="2"/>
    <n v="73605.100000000006"/>
    <n v="29630.9"/>
    <n v="43974.2"/>
    <n v="600"/>
    <n v="600.88"/>
    <n v="16597.400000000001"/>
    <n v="22314.1"/>
    <n v="38911.5"/>
    <n v="9078.2000000000007"/>
    <n v="3336.8"/>
    <n v="12415"/>
    <n v="30.27"/>
    <n v="0.17"/>
    <n v="3336.8"/>
    <n v="12415"/>
    <n v="601.04999999999995"/>
    <n v="600"/>
    <n v="51326.5"/>
    <n v="30.27"/>
    <n v="2000"/>
  </r>
  <r>
    <s v="2000_0.4_0.5_500_1.0_order_3"/>
    <x v="0"/>
    <n v="0.4"/>
    <n v="0.5"/>
    <n v="500"/>
    <n v="1"/>
    <n v="3"/>
    <x v="2"/>
    <n v="76455.600000000006"/>
    <n v="31014.400000000001"/>
    <n v="45441.2"/>
    <n v="600"/>
    <n v="600.77"/>
    <n v="16578.5"/>
    <n v="22941.7"/>
    <n v="39520.199999999997"/>
    <n v="9823.4"/>
    <n v="3682.1"/>
    <n v="13505.5"/>
    <n v="30.65"/>
    <n v="0.16"/>
    <n v="3679.3"/>
    <n v="13502.7"/>
    <n v="600.92999999999995"/>
    <n v="599"/>
    <n v="53022.9"/>
    <n v="30.65"/>
    <n v="2000"/>
  </r>
  <r>
    <s v="2000_0.4_0.5_500_1.0_order_4"/>
    <x v="0"/>
    <n v="0.4"/>
    <n v="0.5"/>
    <n v="500"/>
    <n v="1"/>
    <n v="4"/>
    <x v="2"/>
    <n v="73701.600000000006"/>
    <n v="29454.6"/>
    <n v="44247"/>
    <n v="600"/>
    <n v="600.09"/>
    <n v="16868.099999999999"/>
    <n v="23562.5"/>
    <n v="40430.6"/>
    <n v="8363.1"/>
    <n v="3342.4"/>
    <n v="11705.5"/>
    <n v="29.26"/>
    <n v="0.14000000000000001"/>
    <n v="3321.2"/>
    <n v="11684.3"/>
    <n v="600.23"/>
    <n v="600"/>
    <n v="52114.9"/>
    <n v="29.29"/>
    <n v="2000"/>
  </r>
  <r>
    <s v="2000_0.4_0.5_500_1.0_order_5"/>
    <x v="0"/>
    <n v="0.4"/>
    <n v="0.5"/>
    <n v="500"/>
    <n v="1"/>
    <n v="5"/>
    <x v="2"/>
    <n v="76721.100000000006"/>
    <n v="28543.3"/>
    <n v="48177.8"/>
    <n v="600"/>
    <n v="600.91"/>
    <n v="16124.4"/>
    <n v="24293.7"/>
    <n v="40418.1"/>
    <n v="9327.7999999999993"/>
    <n v="3598.3"/>
    <n v="12926.1"/>
    <n v="30.47"/>
    <n v="0.15"/>
    <n v="3585.5"/>
    <n v="12913.3"/>
    <n v="601.05999999999995"/>
    <n v="600"/>
    <n v="53331.4"/>
    <n v="30.49"/>
    <n v="2000"/>
  </r>
  <r>
    <s v="2000_0.4_0.5_500_2.0_order_1"/>
    <x v="0"/>
    <n v="0.4"/>
    <n v="0.5"/>
    <n v="500"/>
    <n v="2"/>
    <n v="1"/>
    <x v="2"/>
    <n v="111543.7"/>
    <n v="44482"/>
    <n v="67061.7"/>
    <n v="600"/>
    <n v="600.73"/>
    <n v="24691.3"/>
    <n v="36019.9"/>
    <n v="60711.199999999997"/>
    <n v="9022.6"/>
    <n v="4011.3"/>
    <n v="13033.9"/>
    <n v="33.89"/>
    <n v="0.28000000000000003"/>
    <n v="4002.2"/>
    <n v="13024.8"/>
    <n v="601.01"/>
    <n v="600"/>
    <n v="73736"/>
    <n v="33.89"/>
    <n v="2000"/>
  </r>
  <r>
    <s v="2000_0.4_0.5_500_2.0_order_2"/>
    <x v="0"/>
    <n v="0.4"/>
    <n v="0.5"/>
    <n v="500"/>
    <n v="2"/>
    <n v="2"/>
    <x v="2"/>
    <n v="110422.6"/>
    <n v="43034.5"/>
    <n v="67388.100000000006"/>
    <n v="600"/>
    <n v="600"/>
    <n v="24723.1"/>
    <n v="35793.599999999999"/>
    <n v="60516.7"/>
    <n v="8961.9"/>
    <n v="3718.7"/>
    <n v="12680.6"/>
    <n v="33.71"/>
    <n v="0.2"/>
    <n v="3718.7"/>
    <n v="12680.6"/>
    <n v="600.20000000000005"/>
    <n v="600"/>
    <n v="73197.3"/>
    <n v="33.71"/>
    <n v="2000"/>
  </r>
  <r>
    <s v="2000_0.4_0.5_500_2.0_order_3"/>
    <x v="0"/>
    <n v="0.4"/>
    <n v="0.5"/>
    <n v="500"/>
    <n v="2"/>
    <n v="3"/>
    <x v="2"/>
    <n v="112921.7"/>
    <n v="43531.7"/>
    <n v="69390"/>
    <n v="600"/>
    <n v="601.15"/>
    <n v="24378.2"/>
    <n v="36684.300000000003"/>
    <n v="61062.5"/>
    <n v="8974.5"/>
    <n v="3875.3"/>
    <n v="12849.8"/>
    <n v="34.549999999999997"/>
    <n v="0.18"/>
    <n v="3864.3"/>
    <n v="12838.8"/>
    <n v="601.33000000000004"/>
    <n v="600"/>
    <n v="73901.3"/>
    <n v="34.56"/>
    <n v="2000"/>
  </r>
  <r>
    <s v="2000_0.4_0.5_500_2.0_order_4"/>
    <x v="0"/>
    <n v="0.4"/>
    <n v="0.5"/>
    <n v="500"/>
    <n v="2"/>
    <n v="4"/>
    <x v="2"/>
    <n v="114643.4"/>
    <n v="45320.5"/>
    <n v="69322.899999999994"/>
    <n v="600"/>
    <n v="600.32000000000005"/>
    <n v="26384.1"/>
    <n v="38143"/>
    <n v="64527.1"/>
    <n v="8587.1"/>
    <n v="3704.9"/>
    <n v="12292"/>
    <n v="32.99"/>
    <n v="0.24"/>
    <n v="3703.5"/>
    <n v="12290.6"/>
    <n v="600.55999999999995"/>
    <n v="600"/>
    <n v="76817.7"/>
    <n v="32.99"/>
    <n v="2000"/>
  </r>
  <r>
    <s v="2000_0.4_0.5_500_2.0_order_5"/>
    <x v="0"/>
    <n v="0.4"/>
    <n v="0.5"/>
    <n v="500"/>
    <n v="2"/>
    <n v="5"/>
    <x v="2"/>
    <n v="115340.8"/>
    <n v="46197.7"/>
    <n v="69143.100000000006"/>
    <n v="600"/>
    <n v="601.01"/>
    <n v="26464.3"/>
    <n v="36417.1"/>
    <n v="62881.4"/>
    <n v="9237.9"/>
    <n v="4023"/>
    <n v="13260.9"/>
    <n v="33.979999999999997"/>
    <n v="0.32"/>
    <n v="4008.3"/>
    <n v="13246.2"/>
    <n v="601.33000000000004"/>
    <n v="600"/>
    <n v="76127.600000000006"/>
    <n v="34"/>
    <n v="2000"/>
  </r>
  <r>
    <s v="2000_0.4_0.5_500_3.0_order_1"/>
    <x v="0"/>
    <n v="0.4"/>
    <n v="0.5"/>
    <n v="500"/>
    <n v="3"/>
    <n v="1"/>
    <x v="2"/>
    <n v="146342.70000000001"/>
    <n v="61182.8"/>
    <n v="85159.9"/>
    <n v="600"/>
    <n v="600.01"/>
    <n v="34107.199999999997"/>
    <n v="47381.8"/>
    <n v="81489"/>
    <n v="9266.2000000000007"/>
    <n v="3935.3"/>
    <n v="13201.5"/>
    <n v="35.299999999999997"/>
    <n v="0.26"/>
    <n v="3928.9"/>
    <n v="13195.1"/>
    <n v="600.27"/>
    <n v="600"/>
    <n v="94684.1"/>
    <n v="35.299999999999997"/>
    <n v="2000"/>
  </r>
  <r>
    <s v="2000_0.4_0.5_500_3.0_order_2"/>
    <x v="0"/>
    <n v="0.4"/>
    <n v="0.5"/>
    <n v="500"/>
    <n v="3"/>
    <n v="2"/>
    <x v="2"/>
    <n v="145711.4"/>
    <n v="61224.5"/>
    <n v="84486.9"/>
    <n v="600"/>
    <n v="600.94000000000005"/>
    <n v="34311.699999999997"/>
    <n v="47114.6"/>
    <n v="81426.3"/>
    <n v="9314.7999999999993"/>
    <n v="3983.3"/>
    <n v="13298.1"/>
    <n v="34.99"/>
    <n v="0.27"/>
    <n v="3983.3"/>
    <n v="13298.1"/>
    <n v="601.20000000000005"/>
    <n v="600"/>
    <n v="94724.4"/>
    <n v="34.99"/>
    <n v="2000"/>
  </r>
  <r>
    <s v="2000_0.4_0.5_500_3.0_order_3"/>
    <x v="0"/>
    <n v="0.4"/>
    <n v="0.5"/>
    <n v="500"/>
    <n v="3"/>
    <n v="3"/>
    <x v="2"/>
    <n v="138058.9"/>
    <n v="55101.1"/>
    <n v="82957.8"/>
    <n v="600"/>
    <n v="600.01"/>
    <n v="31018.2"/>
    <n v="46279.6"/>
    <n v="77297.8"/>
    <n v="8584"/>
    <n v="3733.5"/>
    <n v="12317.5"/>
    <n v="35.090000000000003"/>
    <n v="0.23"/>
    <n v="3727.1"/>
    <n v="12311.1"/>
    <n v="600.23"/>
    <n v="600"/>
    <n v="89608.9"/>
    <n v="35.090000000000003"/>
    <n v="2000"/>
  </r>
  <r>
    <s v="2000_0.4_0.5_500_3.0_order_4"/>
    <x v="0"/>
    <n v="0.4"/>
    <n v="0.5"/>
    <n v="500"/>
    <n v="3"/>
    <n v="4"/>
    <x v="2"/>
    <n v="144089.60000000001"/>
    <n v="60356.7"/>
    <n v="83732.899999999994"/>
    <n v="600"/>
    <n v="600"/>
    <n v="34041.199999999997"/>
    <n v="46743.199999999997"/>
    <n v="80784.399999999994"/>
    <n v="9135.7999999999993"/>
    <n v="3980.4"/>
    <n v="13116.2"/>
    <n v="34.83"/>
    <n v="0.25"/>
    <n v="3979"/>
    <n v="13114.8"/>
    <n v="600.26"/>
    <n v="600"/>
    <n v="93899.199999999997"/>
    <n v="34.83"/>
    <n v="2000"/>
  </r>
  <r>
    <s v="2000_0.4_0.5_500_3.0_order_5"/>
    <x v="0"/>
    <n v="0.4"/>
    <n v="0.5"/>
    <n v="500"/>
    <n v="3"/>
    <n v="5"/>
    <x v="2"/>
    <n v="135459.1"/>
    <n v="52439.1"/>
    <n v="83020"/>
    <n v="600"/>
    <n v="600.49"/>
    <n v="30577.5"/>
    <n v="46694.6"/>
    <n v="77272.100000000006"/>
    <n v="8995.6"/>
    <n v="3835.6"/>
    <n v="12831.2"/>
    <n v="33.479999999999997"/>
    <n v="0.18"/>
    <n v="3834.2"/>
    <n v="12829.8"/>
    <n v="600.67999999999995"/>
    <n v="599"/>
    <n v="90101.9"/>
    <n v="33.479999999999997"/>
    <n v="2000"/>
  </r>
  <r>
    <s v="4000_0.2_0.5_1000_1.0_order_1"/>
    <x v="1"/>
    <n v="0.2"/>
    <n v="0.5"/>
    <n v="1000"/>
    <n v="1"/>
    <n v="1"/>
    <x v="2"/>
    <n v="176793.4"/>
    <n v="69235.899999999994"/>
    <n v="107557.5"/>
    <n v="1200"/>
    <n v="601.22"/>
    <n v="43087.7"/>
    <n v="65176"/>
    <n v="108263.7"/>
    <n v="21828.799999999999"/>
    <n v="3796.4"/>
    <n v="25625.200000000001"/>
    <n v="24.27"/>
    <n v="0.06"/>
    <n v="3784.5"/>
    <n v="25613.3"/>
    <n v="601.29"/>
    <n v="1181"/>
    <n v="133877"/>
    <n v="24.27"/>
    <n v="4000"/>
  </r>
  <r>
    <s v="4000_0.2_0.5_1000_1.0_order_2"/>
    <x v="1"/>
    <n v="0.2"/>
    <n v="0.5"/>
    <n v="1000"/>
    <n v="1"/>
    <n v="2"/>
    <x v="2"/>
    <n v="172246.7"/>
    <n v="71438.100000000006"/>
    <n v="100808.6"/>
    <n v="1200"/>
    <n v="601.04999999999995"/>
    <n v="45211.1"/>
    <n v="61664.7"/>
    <n v="106875.8"/>
    <n v="20854.900000000001"/>
    <n v="4403.8999999999996"/>
    <n v="25258.799999999999"/>
    <n v="23.29"/>
    <n v="0.17"/>
    <n v="4340.3"/>
    <n v="25195.200000000001"/>
    <n v="601.21"/>
    <n v="1180"/>
    <n v="132071"/>
    <n v="23.32"/>
    <n v="4000"/>
  </r>
  <r>
    <s v="4000_0.2_0.5_1000_1.0_order_3"/>
    <x v="1"/>
    <n v="0.2"/>
    <n v="0.5"/>
    <n v="1000"/>
    <n v="1"/>
    <n v="3"/>
    <x v="2"/>
    <n v="172482.6"/>
    <n v="70991"/>
    <n v="101491.6"/>
    <n v="1200"/>
    <n v="600.02"/>
    <n v="43303.7"/>
    <n v="62710.2"/>
    <n v="106013.9"/>
    <n v="20910.2"/>
    <n v="4074.9"/>
    <n v="24985.1"/>
    <n v="24.05"/>
    <n v="0.1"/>
    <n v="4025"/>
    <n v="24935.200000000001"/>
    <n v="600.12"/>
    <n v="1199"/>
    <n v="130949.1"/>
    <n v="24.08"/>
    <n v="4000"/>
  </r>
  <r>
    <s v="4000_0.2_0.5_1000_1.0_order_4"/>
    <x v="1"/>
    <n v="0.2"/>
    <n v="0.5"/>
    <n v="1000"/>
    <n v="1"/>
    <n v="4"/>
    <x v="2"/>
    <n v="178110.7"/>
    <n v="73274.7"/>
    <n v="104836"/>
    <n v="1200"/>
    <n v="601.03"/>
    <n v="44677.5"/>
    <n v="63891.7"/>
    <n v="108569.2"/>
    <n v="21847.3"/>
    <n v="4443.5"/>
    <n v="26290.799999999999"/>
    <n v="24.28"/>
    <n v="0.13"/>
    <n v="4369.2"/>
    <n v="26216.5"/>
    <n v="601.16"/>
    <n v="1199"/>
    <n v="134785.70000000001"/>
    <n v="24.32"/>
    <n v="4000"/>
  </r>
  <r>
    <s v="4000_0.2_0.5_1000_1.0_order_5"/>
    <x v="1"/>
    <n v="0.2"/>
    <n v="0.5"/>
    <n v="1000"/>
    <n v="1"/>
    <n v="5"/>
    <x v="2"/>
    <n v="179070"/>
    <n v="69970.8"/>
    <n v="109099.2"/>
    <n v="1200"/>
    <n v="600.82000000000005"/>
    <n v="44400.800000000003"/>
    <n v="66615.899999999994"/>
    <n v="111016.7"/>
    <n v="21767.3"/>
    <n v="4005.6"/>
    <n v="25772.9"/>
    <n v="23.61"/>
    <n v="0.06"/>
    <n v="3986.4"/>
    <n v="25753.7"/>
    <n v="600.88"/>
    <n v="1198"/>
    <n v="136770.4"/>
    <n v="23.62"/>
    <n v="4000"/>
  </r>
  <r>
    <s v="4000_0.2_0.5_1000_2.0_order_1"/>
    <x v="1"/>
    <n v="0.2"/>
    <n v="0.5"/>
    <n v="1000"/>
    <n v="2"/>
    <n v="1"/>
    <x v="2"/>
    <n v="266347.90000000002"/>
    <n v="100159.7"/>
    <n v="166188.20000000001"/>
    <n v="1200"/>
    <n v="601.66999999999996"/>
    <n v="66521.399999999994"/>
    <n v="103237.1"/>
    <n v="169758.5"/>
    <n v="20553.2"/>
    <n v="5030.8"/>
    <n v="25584"/>
    <n v="26.66"/>
    <n v="0.14000000000000001"/>
    <n v="4992.2"/>
    <n v="25545.4"/>
    <n v="601.80999999999995"/>
    <n v="1200"/>
    <n v="195303.9"/>
    <n v="26.67"/>
    <n v="4000"/>
  </r>
  <r>
    <s v="4000_0.2_0.5_1000_2.0_order_2"/>
    <x v="1"/>
    <n v="0.2"/>
    <n v="0.5"/>
    <n v="1000"/>
    <n v="2"/>
    <n v="2"/>
    <x v="2"/>
    <n v="265499.59999999998"/>
    <n v="100358.1"/>
    <n v="165141.5"/>
    <n v="1200"/>
    <n v="600"/>
    <n v="64024.4"/>
    <n v="101636.3"/>
    <n v="165660.70000000001"/>
    <n v="21278.3"/>
    <n v="4809.8999999999996"/>
    <n v="26088.2"/>
    <n v="27.78"/>
    <n v="0.11"/>
    <n v="4780.6000000000004"/>
    <n v="26058.9"/>
    <n v="600.11"/>
    <n v="1200"/>
    <n v="191719.6"/>
    <n v="27.79"/>
    <n v="4000"/>
  </r>
  <r>
    <s v="4000_0.2_0.5_1000_2.0_order_3"/>
    <x v="1"/>
    <n v="0.2"/>
    <n v="0.5"/>
    <n v="1000"/>
    <n v="2"/>
    <n v="3"/>
    <x v="2"/>
    <n v="256640.4"/>
    <n v="100148.3"/>
    <n v="156492.1"/>
    <n v="1200"/>
    <n v="601.09"/>
    <n v="66107.399999999994"/>
    <n v="95732.3"/>
    <n v="161839.70000000001"/>
    <n v="20928.2"/>
    <n v="4892.2"/>
    <n v="25820.400000000001"/>
    <n v="26.88"/>
    <n v="0.12"/>
    <n v="4870.6000000000004"/>
    <n v="25798.799999999999"/>
    <n v="601.21"/>
    <n v="1199"/>
    <n v="187638.5"/>
    <n v="26.89"/>
    <n v="4000"/>
  </r>
  <r>
    <s v="4000_0.2_0.5_1000_2.0_order_4"/>
    <x v="1"/>
    <n v="0.2"/>
    <n v="0.5"/>
    <n v="1000"/>
    <n v="2"/>
    <n v="4"/>
    <x v="2"/>
    <n v="266529.09999999998"/>
    <n v="102759"/>
    <n v="163770.1"/>
    <n v="1200"/>
    <n v="600.89"/>
    <n v="66984.800000000003"/>
    <n v="100357.8"/>
    <n v="167342.6"/>
    <n v="21810.799999999999"/>
    <n v="4757.3"/>
    <n v="26568.1"/>
    <n v="27.25"/>
    <n v="0.11"/>
    <n v="4741.7"/>
    <n v="26552.5"/>
    <n v="601"/>
    <n v="1197"/>
    <n v="193895.1"/>
    <n v="27.25"/>
    <n v="4000"/>
  </r>
  <r>
    <s v="4000_0.2_0.5_1000_2.0_order_5"/>
    <x v="1"/>
    <n v="0.2"/>
    <n v="0.5"/>
    <n v="1000"/>
    <n v="2"/>
    <n v="5"/>
    <x v="2"/>
    <n v="269546.8"/>
    <n v="106410.2"/>
    <n v="163136.6"/>
    <n v="1200"/>
    <n v="600.94000000000005"/>
    <n v="67992.600000000006"/>
    <n v="102105.1"/>
    <n v="170097.7"/>
    <n v="21593.9"/>
    <n v="5064.3"/>
    <n v="26658.2"/>
    <n v="27"/>
    <n v="0.1"/>
    <n v="5061.5"/>
    <n v="26655.4"/>
    <n v="601.04"/>
    <n v="1191"/>
    <n v="196753.1"/>
    <n v="27.01"/>
    <n v="4000"/>
  </r>
  <r>
    <s v="4000_0.2_0.5_1000_3.0_order_1"/>
    <x v="1"/>
    <n v="0.2"/>
    <n v="0.5"/>
    <n v="1000"/>
    <n v="3"/>
    <n v="1"/>
    <x v="2"/>
    <n v="351445"/>
    <n v="133205"/>
    <n v="218240"/>
    <n v="1200"/>
    <n v="600.01"/>
    <n v="88496.3"/>
    <n v="140066"/>
    <n v="228562.3"/>
    <n v="21356.5"/>
    <n v="5203.8999999999996"/>
    <n v="26560.400000000001"/>
    <n v="27.41"/>
    <n v="0.14000000000000001"/>
    <n v="5199.3999999999996"/>
    <n v="26555.9"/>
    <n v="600.15"/>
    <n v="1200"/>
    <n v="255118.2"/>
    <n v="27.41"/>
    <n v="4000"/>
  </r>
  <r>
    <s v="4000_0.2_0.5_1000_3.0_order_2"/>
    <x v="1"/>
    <n v="0.2"/>
    <n v="0.5"/>
    <n v="1000"/>
    <n v="3"/>
    <n v="2"/>
    <x v="2"/>
    <n v="356679.5"/>
    <n v="140383.9"/>
    <n v="216295.6"/>
    <n v="1200"/>
    <n v="600.02"/>
    <n v="90948.4"/>
    <n v="135521.1"/>
    <n v="226469.5"/>
    <n v="22122.9"/>
    <n v="5574"/>
    <n v="27696.9"/>
    <n v="28.74"/>
    <n v="0.24"/>
    <n v="5557.1"/>
    <n v="27680"/>
    <n v="600.26"/>
    <n v="1200"/>
    <n v="254149.5"/>
    <n v="28.75"/>
    <n v="4000"/>
  </r>
  <r>
    <s v="4000_0.2_0.5_1000_3.0_order_3"/>
    <x v="1"/>
    <n v="0.2"/>
    <n v="0.5"/>
    <n v="1000"/>
    <n v="3"/>
    <n v="3"/>
    <x v="2"/>
    <n v="346020.1"/>
    <n v="134050.5"/>
    <n v="211969.6"/>
    <n v="1200"/>
    <n v="601.16"/>
    <n v="88103.4"/>
    <n v="134814.5"/>
    <n v="222917.9"/>
    <n v="21062.400000000001"/>
    <n v="5294.9"/>
    <n v="26357.3"/>
    <n v="27.96"/>
    <n v="0.25"/>
    <n v="5256.2"/>
    <n v="26318.6"/>
    <n v="601.41"/>
    <n v="1200"/>
    <n v="249236.5"/>
    <n v="27.97"/>
    <n v="4000"/>
  </r>
  <r>
    <s v="4000_0.2_0.5_1000_3.0_order_4"/>
    <x v="1"/>
    <n v="0.2"/>
    <n v="0.5"/>
    <n v="1000"/>
    <n v="3"/>
    <n v="4"/>
    <x v="2"/>
    <n v="357913.8"/>
    <n v="140722"/>
    <n v="217191.8"/>
    <n v="1200"/>
    <n v="601.04999999999995"/>
    <n v="92624.9"/>
    <n v="138840.70000000001"/>
    <n v="231465.60000000001"/>
    <n v="21724.7"/>
    <n v="5259.3"/>
    <n v="26984"/>
    <n v="27.79"/>
    <n v="0.17"/>
    <n v="5228.5"/>
    <n v="26953.200000000001"/>
    <n v="601.22"/>
    <n v="1200"/>
    <n v="258418.8"/>
    <n v="27.8"/>
    <n v="4000"/>
  </r>
  <r>
    <s v="4000_0.2_0.5_1000_3.0_order_5"/>
    <x v="1"/>
    <n v="0.2"/>
    <n v="0.5"/>
    <n v="1000"/>
    <n v="3"/>
    <n v="5"/>
    <x v="2"/>
    <n v="358543.9"/>
    <n v="136947.6"/>
    <n v="221596.3"/>
    <n v="1200"/>
    <n v="600"/>
    <n v="89826.2"/>
    <n v="140941.29999999999"/>
    <n v="230767.5"/>
    <n v="21660.400000000001"/>
    <n v="5229.1000000000004"/>
    <n v="26889.5"/>
    <n v="28.14"/>
    <n v="0.19"/>
    <n v="5184.7"/>
    <n v="26845.1"/>
    <n v="600.19000000000005"/>
    <n v="1200"/>
    <n v="257612.6"/>
    <n v="28.15"/>
    <n v="4000"/>
  </r>
  <r>
    <s v="4000_0.2_0.5_2000_1.0_order_1"/>
    <x v="1"/>
    <n v="0.2"/>
    <n v="0.5"/>
    <n v="2000"/>
    <n v="1"/>
    <n v="1"/>
    <x v="2"/>
    <n v="342496.1"/>
    <n v="140132.4"/>
    <n v="202363.7"/>
    <n v="1200"/>
    <n v="600.57000000000005"/>
    <n v="91676.6"/>
    <n v="130271.6"/>
    <n v="221948.2"/>
    <n v="27098.1"/>
    <n v="6016.5"/>
    <n v="33114.6"/>
    <n v="25.53"/>
    <n v="0.11"/>
    <n v="5985.6"/>
    <n v="33083.699999999997"/>
    <n v="600.67999999999995"/>
    <n v="1200"/>
    <n v="255031.9"/>
    <n v="25.54"/>
    <n v="4000"/>
  </r>
  <r>
    <s v="4000_0.2_0.5_2000_1.0_order_2"/>
    <x v="1"/>
    <n v="0.2"/>
    <n v="0.5"/>
    <n v="2000"/>
    <n v="1"/>
    <n v="2"/>
    <x v="2"/>
    <n v="340872.4"/>
    <n v="134753.1"/>
    <n v="206119.3"/>
    <n v="1200"/>
    <n v="601.23"/>
    <n v="89472.3"/>
    <n v="132141.29999999999"/>
    <n v="221613.6"/>
    <n v="26909.7"/>
    <n v="6626.4"/>
    <n v="33536.1"/>
    <n v="25.15"/>
    <n v="0.1"/>
    <n v="6574.6"/>
    <n v="33484.300000000003"/>
    <n v="601.33000000000004"/>
    <n v="1200"/>
    <n v="255097.9"/>
    <n v="25.16"/>
    <n v="4000"/>
  </r>
  <r>
    <s v="4000_0.2_0.5_2000_1.0_order_3"/>
    <x v="1"/>
    <n v="0.2"/>
    <n v="0.5"/>
    <n v="2000"/>
    <n v="1"/>
    <n v="3"/>
    <x v="2"/>
    <n v="348317.4"/>
    <n v="138158.9"/>
    <n v="210158.5"/>
    <n v="1200"/>
    <n v="600.67999999999995"/>
    <n v="91336.8"/>
    <n v="134284.4"/>
    <n v="225621.2"/>
    <n v="27582"/>
    <n v="6603.2"/>
    <n v="34185.199999999997"/>
    <n v="25.41"/>
    <n v="0.11"/>
    <n v="6523.7"/>
    <n v="34105.699999999997"/>
    <n v="600.79"/>
    <n v="1200"/>
    <n v="259726.9"/>
    <n v="25.43"/>
    <n v="4000"/>
  </r>
  <r>
    <s v="4000_0.2_0.5_2000_1.0_order_4"/>
    <x v="1"/>
    <n v="0.2"/>
    <n v="0.5"/>
    <n v="2000"/>
    <n v="1"/>
    <n v="4"/>
    <x v="2"/>
    <n v="346752.7"/>
    <n v="138591.1"/>
    <n v="208161.6"/>
    <n v="1200"/>
    <n v="600"/>
    <n v="92009.600000000006"/>
    <n v="132595.5"/>
    <n v="224605.1"/>
    <n v="26895.7"/>
    <n v="6498"/>
    <n v="33393.699999999997"/>
    <n v="25.6"/>
    <n v="0.12"/>
    <n v="6415.3"/>
    <n v="33311"/>
    <n v="600.12"/>
    <n v="1200"/>
    <n v="257916.1"/>
    <n v="25.62"/>
    <n v="4000"/>
  </r>
  <r>
    <s v="4000_0.2_0.5_2000_1.0_order_5"/>
    <x v="1"/>
    <n v="0.2"/>
    <n v="0.5"/>
    <n v="2000"/>
    <n v="1"/>
    <n v="5"/>
    <x v="2"/>
    <n v="348631.2"/>
    <n v="144856.70000000001"/>
    <n v="203774.5"/>
    <n v="1200"/>
    <n v="600.01"/>
    <n v="96097.5"/>
    <n v="130880.4"/>
    <n v="226977.9"/>
    <n v="26995.599999999999"/>
    <n v="6297.3"/>
    <n v="33292.9"/>
    <n v="25.34"/>
    <n v="0.09"/>
    <n v="6281.1"/>
    <n v="33276.699999999997"/>
    <n v="600.1"/>
    <n v="1199"/>
    <n v="260254.6"/>
    <n v="25.35"/>
    <n v="4000"/>
  </r>
  <r>
    <s v="4000_0.2_0.5_2000_2.0_order_1"/>
    <x v="1"/>
    <n v="0.2"/>
    <n v="0.5"/>
    <n v="2000"/>
    <n v="2"/>
    <n v="1"/>
    <x v="2"/>
    <n v="526871.69999999995"/>
    <n v="203138.9"/>
    <n v="323732.8"/>
    <n v="1200"/>
    <n v="600"/>
    <n v="139118.79999999999"/>
    <n v="210713.3"/>
    <n v="349832.1"/>
    <n v="25074.2"/>
    <n v="6394.6"/>
    <n v="31468.799999999999"/>
    <n v="27.63"/>
    <n v="0.17"/>
    <n v="6362.5"/>
    <n v="31436.7"/>
    <n v="600.17999999999995"/>
    <n v="1200"/>
    <n v="381268.8"/>
    <n v="27.64"/>
    <n v="4000"/>
  </r>
  <r>
    <s v="4000_0.2_0.5_2000_2.0_order_2"/>
    <x v="1"/>
    <n v="0.2"/>
    <n v="0.5"/>
    <n v="2000"/>
    <n v="2"/>
    <n v="2"/>
    <x v="2"/>
    <n v="538181.4"/>
    <n v="206412.2"/>
    <n v="331769.2"/>
    <n v="1200"/>
    <n v="600"/>
    <n v="140007.9"/>
    <n v="220093.6"/>
    <n v="360101.5"/>
    <n v="24603"/>
    <n v="6240.9"/>
    <n v="30843.9"/>
    <n v="27.36"/>
    <n v="0.22"/>
    <n v="6218.9"/>
    <n v="30821.9"/>
    <n v="600.23"/>
    <n v="1199"/>
    <n v="390923.4"/>
    <n v="27.36"/>
    <n v="4000"/>
  </r>
  <r>
    <s v="4000_0.2_0.5_2000_2.0_order_3"/>
    <x v="1"/>
    <n v="0.2"/>
    <n v="0.5"/>
    <n v="2000"/>
    <n v="2"/>
    <n v="3"/>
    <x v="2"/>
    <n v="560311.9"/>
    <n v="215357.5"/>
    <n v="344954.4"/>
    <n v="1200"/>
    <n v="600.02"/>
    <n v="147616.29999999999"/>
    <n v="227890.2"/>
    <n v="375506.5"/>
    <n v="24631"/>
    <n v="6256.5"/>
    <n v="30887.5"/>
    <n v="27.47"/>
    <n v="0.18"/>
    <n v="6227.9"/>
    <n v="30858.9"/>
    <n v="600.20000000000005"/>
    <n v="1200"/>
    <n v="406365.4"/>
    <n v="27.48"/>
    <n v="4000"/>
  </r>
  <r>
    <s v="4000_0.2_0.5_2000_2.0_order_4"/>
    <x v="1"/>
    <n v="0.2"/>
    <n v="0.5"/>
    <n v="2000"/>
    <n v="2"/>
    <n v="4"/>
    <x v="2"/>
    <n v="538133"/>
    <n v="202847.3"/>
    <n v="335285.7"/>
    <n v="1200"/>
    <n v="600.9"/>
    <n v="137504.1"/>
    <n v="219645"/>
    <n v="357149.1"/>
    <n v="26048.7"/>
    <n v="6391.5"/>
    <n v="32440.2"/>
    <n v="27.6"/>
    <n v="0.16"/>
    <n v="6358.5"/>
    <n v="32407.200000000001"/>
    <n v="601.04999999999995"/>
    <n v="1200"/>
    <n v="389556.3"/>
    <n v="27.61"/>
    <n v="4000"/>
  </r>
  <r>
    <s v="4000_0.2_0.5_2000_2.0_order_5"/>
    <x v="1"/>
    <n v="0.2"/>
    <n v="0.5"/>
    <n v="2000"/>
    <n v="2"/>
    <n v="5"/>
    <x v="2"/>
    <n v="529127.69999999995"/>
    <n v="200945.6"/>
    <n v="328182.09999999998"/>
    <n v="1200"/>
    <n v="600.63"/>
    <n v="136923.20000000001"/>
    <n v="214915.6"/>
    <n v="351838.8"/>
    <n v="24844.1"/>
    <n v="6032.8"/>
    <n v="30876.9"/>
    <n v="27.67"/>
    <n v="0.17"/>
    <n v="5994"/>
    <n v="30838.1"/>
    <n v="600.79999999999995"/>
    <n v="1200"/>
    <n v="382676.9"/>
    <n v="27.68"/>
    <n v="4000"/>
  </r>
  <r>
    <s v="4000_0.2_0.5_2000_3.0_order_1"/>
    <x v="1"/>
    <n v="0.2"/>
    <n v="0.5"/>
    <n v="2000"/>
    <n v="3"/>
    <n v="1"/>
    <x v="2"/>
    <n v="683234.6"/>
    <n v="257568.3"/>
    <n v="425666.3"/>
    <n v="1200"/>
    <n v="600.02"/>
    <n v="176334.9"/>
    <n v="286287.7"/>
    <n v="462622.6"/>
    <n v="25622.5"/>
    <n v="6449.9"/>
    <n v="32072.400000000001"/>
    <n v="27.6"/>
    <n v="0.16"/>
    <n v="6434.3"/>
    <n v="32056.799999999999"/>
    <n v="600.17999999999995"/>
    <n v="1200"/>
    <n v="494679.4"/>
    <n v="27.6"/>
    <n v="4000"/>
  </r>
  <r>
    <s v="4000_0.2_0.5_2000_3.0_order_2"/>
    <x v="1"/>
    <n v="0.2"/>
    <n v="0.5"/>
    <n v="2000"/>
    <n v="3"/>
    <n v="2"/>
    <x v="2"/>
    <n v="688321.6"/>
    <n v="265318"/>
    <n v="423003.6"/>
    <n v="1200"/>
    <n v="600.84"/>
    <n v="181232.6"/>
    <n v="283786.59999999998"/>
    <n v="465019.2"/>
    <n v="25636.1"/>
    <n v="6532.5"/>
    <n v="32168.6"/>
    <n v="27.77"/>
    <n v="0.17"/>
    <n v="6527.5"/>
    <n v="32163.599999999999"/>
    <n v="601"/>
    <n v="1200"/>
    <n v="497182.8"/>
    <n v="27.77"/>
    <n v="4000"/>
  </r>
  <r>
    <s v="4000_0.2_0.5_2000_3.0_order_3"/>
    <x v="1"/>
    <n v="0.2"/>
    <n v="0.5"/>
    <n v="2000"/>
    <n v="3"/>
    <n v="3"/>
    <x v="2"/>
    <n v="720187.7"/>
    <n v="279158.7"/>
    <n v="441029"/>
    <n v="1200"/>
    <n v="600"/>
    <n v="190869.7"/>
    <n v="300430.90000000002"/>
    <n v="491300.6"/>
    <n v="25262.7"/>
    <n v="6190.5"/>
    <n v="31453.200000000001"/>
    <n v="27.41"/>
    <n v="0.18"/>
    <n v="6178.5"/>
    <n v="31441.200000000001"/>
    <n v="600.17999999999995"/>
    <n v="1200"/>
    <n v="522741.8"/>
    <n v="27.42"/>
    <n v="4000"/>
  </r>
  <r>
    <s v="4000_0.2_0.5_2000_3.0_order_4"/>
    <x v="1"/>
    <n v="0.2"/>
    <n v="0.5"/>
    <n v="2000"/>
    <n v="3"/>
    <n v="4"/>
    <x v="2"/>
    <n v="704298.5"/>
    <n v="263203.3"/>
    <n v="441095.2"/>
    <n v="1200"/>
    <n v="600.35"/>
    <n v="181170.8"/>
    <n v="295170.3"/>
    <n v="476341.1"/>
    <n v="25174.7"/>
    <n v="6251.6"/>
    <n v="31426.3"/>
    <n v="27.9"/>
    <n v="0.15"/>
    <n v="6221.6"/>
    <n v="31396.3"/>
    <n v="600.51"/>
    <n v="1200"/>
    <n v="507737.4"/>
    <n v="27.91"/>
    <n v="4000"/>
  </r>
  <r>
    <s v="4000_0.2_0.5_2000_3.0_order_5"/>
    <x v="1"/>
    <n v="0.2"/>
    <n v="0.5"/>
    <n v="2000"/>
    <n v="3"/>
    <n v="5"/>
    <x v="2"/>
    <n v="698389.6"/>
    <n v="267524.5"/>
    <n v="430865.1"/>
    <n v="1200"/>
    <n v="600.39"/>
    <n v="181266.3"/>
    <n v="287443.8"/>
    <n v="468710.1"/>
    <n v="26097.1"/>
    <n v="6468.3"/>
    <n v="32565.4"/>
    <n v="28.22"/>
    <n v="0.15"/>
    <n v="6441.8"/>
    <n v="32538.9"/>
    <n v="600.54"/>
    <n v="1200"/>
    <n v="501249"/>
    <n v="28.23"/>
    <n v="4000"/>
  </r>
  <r>
    <s v="4000_0.2_0.5_500_1.0_order_1"/>
    <x v="1"/>
    <n v="0.2"/>
    <n v="0.5"/>
    <n v="500"/>
    <n v="1"/>
    <n v="1"/>
    <x v="2"/>
    <n v="91390.7"/>
    <n v="36834.5"/>
    <n v="54556.2"/>
    <n v="1200"/>
    <n v="601.41999999999996"/>
    <n v="21877.1"/>
    <n v="32590.6"/>
    <n v="54467.7"/>
    <n v="14788"/>
    <n v="2473.3000000000002"/>
    <n v="17261.3"/>
    <n v="21.51"/>
    <n v="0.41"/>
    <n v="2427"/>
    <n v="17215"/>
    <n v="601.84"/>
    <n v="1199"/>
    <n v="71682.7"/>
    <n v="21.56"/>
    <n v="4000"/>
  </r>
  <r>
    <s v="4000_0.2_0.5_500_1.0_order_2"/>
    <x v="1"/>
    <n v="0.2"/>
    <n v="0.5"/>
    <n v="500"/>
    <n v="1"/>
    <n v="2"/>
    <x v="2"/>
    <n v="92818.2"/>
    <n v="35033.199999999997"/>
    <n v="57785"/>
    <n v="1200"/>
    <n v="601.37"/>
    <n v="21716.1"/>
    <n v="34511.199999999997"/>
    <n v="56227.3"/>
    <n v="13913.8"/>
    <n v="2720.5"/>
    <n v="16634.3"/>
    <n v="21.5"/>
    <n v="0.4"/>
    <n v="2678.2"/>
    <n v="16592"/>
    <n v="601.77"/>
    <n v="1188"/>
    <n v="72819.3"/>
    <n v="21.55"/>
    <n v="4000"/>
  </r>
  <r>
    <s v="4000_0.2_0.5_500_1.0_order_3"/>
    <x v="1"/>
    <n v="0.2"/>
    <n v="0.5"/>
    <n v="500"/>
    <n v="1"/>
    <n v="3"/>
    <x v="2"/>
    <n v="89874.2"/>
    <n v="35811.9"/>
    <n v="54062.3"/>
    <n v="1200"/>
    <n v="601.80999999999995"/>
    <n v="22525.3"/>
    <n v="32329.5"/>
    <n v="54854.8"/>
    <n v="13575.4"/>
    <n v="2276.6"/>
    <n v="15852"/>
    <n v="21.33"/>
    <n v="0.23"/>
    <n v="2258.6999999999998"/>
    <n v="15834.1"/>
    <n v="602.04"/>
    <n v="1195"/>
    <n v="70688.899999999994"/>
    <n v="21.35"/>
    <n v="4000"/>
  </r>
  <r>
    <s v="4000_0.2_0.5_500_1.0_order_4"/>
    <x v="1"/>
    <n v="0.2"/>
    <n v="0.5"/>
    <n v="500"/>
    <n v="1"/>
    <n v="4"/>
    <x v="2"/>
    <n v="88886.3"/>
    <n v="34534.5"/>
    <n v="54351.8"/>
    <n v="1200"/>
    <n v="600.97"/>
    <n v="21493.4"/>
    <n v="32479.7"/>
    <n v="53973.1"/>
    <n v="14348.8"/>
    <n v="2404.6"/>
    <n v="16753.400000000001"/>
    <n v="20.43"/>
    <n v="0.34"/>
    <n v="2359.1999999999998"/>
    <n v="16708"/>
    <n v="601.30999999999995"/>
    <n v="1184"/>
    <n v="70681.100000000006"/>
    <n v="20.48"/>
    <n v="4000"/>
  </r>
  <r>
    <s v="4000_0.2_0.5_500_1.0_order_5"/>
    <x v="1"/>
    <n v="0.2"/>
    <n v="0.5"/>
    <n v="500"/>
    <n v="1"/>
    <n v="5"/>
    <x v="2"/>
    <n v="87291.1"/>
    <n v="33873"/>
    <n v="53418.1"/>
    <n v="1200"/>
    <n v="601.92999999999995"/>
    <n v="20666.8"/>
    <n v="31740.5"/>
    <n v="52407.3"/>
    <n v="14550"/>
    <n v="2416.5"/>
    <n v="16966.5"/>
    <n v="20.53"/>
    <n v="0.28999999999999998"/>
    <n v="2381.3000000000002"/>
    <n v="16931.3"/>
    <n v="602.22"/>
    <n v="1197"/>
    <n v="69338.600000000006"/>
    <n v="20.57"/>
    <n v="4000"/>
  </r>
  <r>
    <s v="4000_0.2_0.5_500_2.0_order_1"/>
    <x v="1"/>
    <n v="0.2"/>
    <n v="0.5"/>
    <n v="500"/>
    <n v="2"/>
    <n v="1"/>
    <x v="2"/>
    <n v="136347"/>
    <n v="52262.2"/>
    <n v="84084.800000000003"/>
    <n v="1200"/>
    <n v="601.98"/>
    <n v="33689"/>
    <n v="48374.6"/>
    <n v="82063.600000000006"/>
    <n v="15985.4"/>
    <n v="3103.9"/>
    <n v="19089.3"/>
    <n v="25.81"/>
    <n v="0.32"/>
    <n v="3055.6"/>
    <n v="19041"/>
    <n v="602.29999999999995"/>
    <n v="1199"/>
    <n v="101104.6"/>
    <n v="25.85"/>
    <n v="4000"/>
  </r>
  <r>
    <s v="4000_0.2_0.5_500_2.0_order_2"/>
    <x v="1"/>
    <n v="0.2"/>
    <n v="0.5"/>
    <n v="500"/>
    <n v="2"/>
    <n v="2"/>
    <x v="2"/>
    <n v="133994.6"/>
    <n v="51705.2"/>
    <n v="82289.399999999994"/>
    <n v="1200"/>
    <n v="600.96"/>
    <n v="32890.1"/>
    <n v="49695.6"/>
    <n v="82585.7"/>
    <n v="14932"/>
    <n v="3055.4"/>
    <n v="17987.400000000001"/>
    <n v="24.94"/>
    <n v="0.21"/>
    <n v="3024.1"/>
    <n v="17956.099999999999"/>
    <n v="601.16999999999996"/>
    <n v="1200"/>
    <n v="100541.8"/>
    <n v="24.97"/>
    <n v="4000"/>
  </r>
  <r>
    <s v="4000_0.2_0.5_500_2.0_order_3"/>
    <x v="1"/>
    <n v="0.2"/>
    <n v="0.5"/>
    <n v="500"/>
    <n v="2"/>
    <n v="3"/>
    <x v="2"/>
    <n v="136946.70000000001"/>
    <n v="51685.9"/>
    <n v="85260.800000000003"/>
    <n v="1200"/>
    <n v="601.96"/>
    <n v="32797.4"/>
    <n v="50813.5"/>
    <n v="83610.899999999994"/>
    <n v="15704.8"/>
    <n v="2760.7"/>
    <n v="18465.5"/>
    <n v="25.46"/>
    <n v="0.2"/>
    <n v="2731.6"/>
    <n v="18436.400000000001"/>
    <n v="602.16"/>
    <n v="1200"/>
    <n v="102047.3"/>
    <n v="25.48"/>
    <n v="4000"/>
  </r>
  <r>
    <s v="4000_0.2_0.5_500_2.0_order_4"/>
    <x v="1"/>
    <n v="0.2"/>
    <n v="0.5"/>
    <n v="500"/>
    <n v="2"/>
    <n v="4"/>
    <x v="2"/>
    <n v="130276.2"/>
    <n v="49319"/>
    <n v="80957.2"/>
    <n v="1200"/>
    <n v="601.11"/>
    <n v="30867.8"/>
    <n v="48451.6"/>
    <n v="79319.399999999994"/>
    <n v="15198.5"/>
    <n v="2881.3"/>
    <n v="18079.8"/>
    <n v="25.24"/>
    <n v="0.24"/>
    <n v="2870.7"/>
    <n v="18069.2"/>
    <n v="601.35"/>
    <n v="1200"/>
    <n v="97388.6"/>
    <n v="25.24"/>
    <n v="4000"/>
  </r>
  <r>
    <s v="4000_0.2_0.5_500_2.0_order_5"/>
    <x v="1"/>
    <n v="0.2"/>
    <n v="0.5"/>
    <n v="500"/>
    <n v="2"/>
    <n v="5"/>
    <x v="2"/>
    <n v="126993.7"/>
    <n v="49785.9"/>
    <n v="77207.8"/>
    <n v="1200"/>
    <n v="600.89"/>
    <n v="31341.200000000001"/>
    <n v="45757"/>
    <n v="77098.2"/>
    <n v="15184.4"/>
    <n v="3025"/>
    <n v="18209.400000000001"/>
    <n v="24.95"/>
    <n v="0.35"/>
    <n v="2969"/>
    <n v="18153.400000000001"/>
    <n v="601.24"/>
    <n v="1200"/>
    <n v="95251.6"/>
    <n v="25"/>
    <n v="4000"/>
  </r>
  <r>
    <s v="4000_0.2_0.5_500_3.0_order_1"/>
    <x v="1"/>
    <n v="0.2"/>
    <n v="0.5"/>
    <n v="500"/>
    <n v="3"/>
    <n v="1"/>
    <x v="2"/>
    <n v="178021"/>
    <n v="68456.800000000003"/>
    <n v="109564.2"/>
    <n v="1200"/>
    <n v="601.83000000000004"/>
    <n v="42518.6"/>
    <n v="65485.2"/>
    <n v="108003.8"/>
    <n v="16614.3"/>
    <n v="3875.6"/>
    <n v="20489.900000000001"/>
    <n v="27.82"/>
    <n v="0.16"/>
    <n v="3826.7"/>
    <n v="20441"/>
    <n v="602"/>
    <n v="1199"/>
    <n v="128444.8"/>
    <n v="27.85"/>
    <n v="4000"/>
  </r>
  <r>
    <s v="4000_0.2_0.5_500_3.0_order_2"/>
    <x v="1"/>
    <n v="0.2"/>
    <n v="0.5"/>
    <n v="500"/>
    <n v="3"/>
    <n v="2"/>
    <x v="2"/>
    <n v="165633.4"/>
    <n v="62948.800000000003"/>
    <n v="102684.6"/>
    <n v="1200"/>
    <n v="601.91"/>
    <n v="39403.4"/>
    <n v="62049.4"/>
    <n v="101452.8"/>
    <n v="15827"/>
    <n v="3643.1"/>
    <n v="19470.099999999999"/>
    <n v="26.99"/>
    <n v="0.25"/>
    <n v="3610.3"/>
    <n v="19437.3"/>
    <n v="602.16"/>
    <n v="1198"/>
    <n v="120890.1"/>
    <n v="27.01"/>
    <n v="4000"/>
  </r>
  <r>
    <s v="4000_0.2_0.5_500_3.0_order_3"/>
    <x v="1"/>
    <n v="0.2"/>
    <n v="0.5"/>
    <n v="500"/>
    <n v="3"/>
    <n v="3"/>
    <x v="2"/>
    <n v="174713"/>
    <n v="65933.399999999994"/>
    <n v="108779.6"/>
    <n v="1200"/>
    <n v="602.03"/>
    <n v="41441.1"/>
    <n v="66195.5"/>
    <n v="107636.6"/>
    <n v="16946.7"/>
    <n v="3429.4"/>
    <n v="20376.099999999999"/>
    <n v="26.73"/>
    <n v="0.13"/>
    <n v="3412.1"/>
    <n v="20358.8"/>
    <n v="602.16"/>
    <n v="1199"/>
    <n v="127995.4"/>
    <n v="26.74"/>
    <n v="4000"/>
  </r>
  <r>
    <s v="4000_0.2_0.5_500_3.0_order_4"/>
    <x v="1"/>
    <n v="0.2"/>
    <n v="0.5"/>
    <n v="500"/>
    <n v="3"/>
    <n v="4"/>
    <x v="2"/>
    <n v="168294.1"/>
    <n v="65620.5"/>
    <n v="102673.60000000001"/>
    <n v="1200"/>
    <n v="601.42999999999995"/>
    <n v="41440.9"/>
    <n v="61133.9"/>
    <n v="102574.8"/>
    <n v="16488.599999999999"/>
    <n v="3672.7"/>
    <n v="20161.3"/>
    <n v="27.07"/>
    <n v="0.15"/>
    <n v="3638.4"/>
    <n v="20127"/>
    <n v="601.59"/>
    <n v="1199"/>
    <n v="122701.8"/>
    <n v="27.09"/>
    <n v="4000"/>
  </r>
  <r>
    <s v="4000_0.2_0.5_500_3.0_order_5"/>
    <x v="1"/>
    <n v="0.2"/>
    <n v="0.5"/>
    <n v="500"/>
    <n v="3"/>
    <n v="5"/>
    <x v="2"/>
    <n v="172598.8"/>
    <n v="67794.8"/>
    <n v="104804"/>
    <n v="1200"/>
    <n v="600.91999999999996"/>
    <n v="42317"/>
    <n v="61752.4"/>
    <n v="104069.4"/>
    <n v="16841.3"/>
    <n v="3528"/>
    <n v="20369.3"/>
    <n v="27.9"/>
    <n v="0.12"/>
    <n v="3489.4"/>
    <n v="20330.7"/>
    <n v="601.04"/>
    <n v="1199"/>
    <n v="124400.1"/>
    <n v="27.93"/>
    <n v="4000"/>
  </r>
  <r>
    <s v="4000_0.3_0.5_1000_1.0_order_1"/>
    <x v="1"/>
    <n v="0.3"/>
    <n v="0.5"/>
    <n v="1000"/>
    <n v="1"/>
    <n v="1"/>
    <x v="2"/>
    <n v="175093.6"/>
    <n v="68226.600000000006"/>
    <n v="106867"/>
    <n v="1200"/>
    <n v="601.54"/>
    <n v="41291.800000000003"/>
    <n v="61157.1"/>
    <n v="102448.9"/>
    <n v="21013.1"/>
    <n v="6670.3"/>
    <n v="27683.4"/>
    <n v="25.68"/>
    <n v="0.41"/>
    <n v="6565.5"/>
    <n v="27578.6"/>
    <n v="601.95000000000005"/>
    <n v="1199"/>
    <n v="130027.5"/>
    <n v="25.74"/>
    <n v="4000"/>
  </r>
  <r>
    <s v="4000_0.3_0.5_1000_1.0_order_2"/>
    <x v="1"/>
    <n v="0.3"/>
    <n v="0.5"/>
    <n v="1000"/>
    <n v="1"/>
    <n v="2"/>
    <x v="2"/>
    <n v="175656.9"/>
    <n v="73099.600000000006"/>
    <n v="102557.3"/>
    <n v="1200"/>
    <n v="601.1"/>
    <n v="43333.1"/>
    <n v="59616.5"/>
    <n v="102949.6"/>
    <n v="21084.6"/>
    <n v="6609.2"/>
    <n v="27693.8"/>
    <n v="25.63"/>
    <n v="0.37"/>
    <n v="6573.8"/>
    <n v="27658.400000000001"/>
    <n v="601.47"/>
    <n v="1199"/>
    <n v="130608"/>
    <n v="25.65"/>
    <n v="4000"/>
  </r>
  <r>
    <s v="4000_0.3_0.5_1000_1.0_order_3"/>
    <x v="1"/>
    <n v="0.3"/>
    <n v="0.5"/>
    <n v="1000"/>
    <n v="1"/>
    <n v="3"/>
    <x v="2"/>
    <n v="169951.8"/>
    <n v="69742.100000000006"/>
    <n v="100209.7"/>
    <n v="1200"/>
    <n v="600.58000000000004"/>
    <n v="42041"/>
    <n v="58189.2"/>
    <n v="100230.2"/>
    <n v="20490.3"/>
    <n v="6469.4"/>
    <n v="26959.7"/>
    <n v="25.16"/>
    <n v="0.26"/>
    <n v="6400.3"/>
    <n v="26890.6"/>
    <n v="600.83000000000004"/>
    <n v="1196"/>
    <n v="127120.8"/>
    <n v="25.2"/>
    <n v="4000"/>
  </r>
  <r>
    <s v="4000_0.3_0.5_1000_1.0_order_4"/>
    <x v="1"/>
    <n v="0.3"/>
    <n v="0.5"/>
    <n v="1000"/>
    <n v="1"/>
    <n v="4"/>
    <x v="2"/>
    <n v="171916.6"/>
    <n v="69635.3"/>
    <n v="102281.3"/>
    <n v="1200"/>
    <n v="601.66999999999996"/>
    <n v="41010.5"/>
    <n v="59344.6"/>
    <n v="100355.1"/>
    <n v="21149.1"/>
    <n v="6239.6"/>
    <n v="27388.7"/>
    <n v="25.69"/>
    <n v="0.32"/>
    <n v="6182.1"/>
    <n v="27331.200000000001"/>
    <n v="601.98"/>
    <n v="1200"/>
    <n v="127686.3"/>
    <n v="25.73"/>
    <n v="4000"/>
  </r>
  <r>
    <s v="4000_0.3_0.5_1000_1.0_order_5"/>
    <x v="1"/>
    <n v="0.3"/>
    <n v="0.5"/>
    <n v="1000"/>
    <n v="1"/>
    <n v="5"/>
    <x v="2"/>
    <n v="176761.2"/>
    <n v="70693.100000000006"/>
    <n v="106068.1"/>
    <n v="1200"/>
    <n v="601.17999999999995"/>
    <n v="42947.6"/>
    <n v="62187.6"/>
    <n v="105135.2"/>
    <n v="20637.2"/>
    <n v="6584.2"/>
    <n v="27221.4"/>
    <n v="25.12"/>
    <n v="0.35"/>
    <n v="6554.9"/>
    <n v="27192.1"/>
    <n v="601.53"/>
    <n v="1199"/>
    <n v="132327.29999999999"/>
    <n v="25.14"/>
    <n v="4000"/>
  </r>
  <r>
    <s v="4000_0.3_0.5_1000_2.0_order_1"/>
    <x v="1"/>
    <n v="0.3"/>
    <n v="0.5"/>
    <n v="1000"/>
    <n v="2"/>
    <n v="1"/>
    <x v="2"/>
    <n v="267278.59999999998"/>
    <n v="104903.3"/>
    <n v="162375.29999999999"/>
    <n v="1200"/>
    <n v="601.21"/>
    <n v="65746.899999999994"/>
    <n v="96197.2"/>
    <n v="161944.1"/>
    <n v="20500.7"/>
    <n v="6830.2"/>
    <n v="27330.9"/>
    <n v="29.18"/>
    <n v="0.44"/>
    <n v="6819.1"/>
    <n v="27319.8"/>
    <n v="601.64"/>
    <n v="1199"/>
    <n v="189263.9"/>
    <n v="29.19"/>
    <n v="4000"/>
  </r>
  <r>
    <s v="4000_0.3_0.5_1000_2.0_order_2"/>
    <x v="1"/>
    <n v="0.3"/>
    <n v="0.5"/>
    <n v="1000"/>
    <n v="2"/>
    <n v="2"/>
    <x v="2"/>
    <n v="266574.40000000002"/>
    <n v="109573.5"/>
    <n v="157000.9"/>
    <n v="1200"/>
    <n v="600.01"/>
    <n v="66454.600000000006"/>
    <n v="92286.8"/>
    <n v="158741.4"/>
    <n v="20569.400000000001"/>
    <n v="7518.3"/>
    <n v="28087.7"/>
    <n v="29.91"/>
    <n v="0.52"/>
    <n v="7439.7"/>
    <n v="28009.1"/>
    <n v="600.53"/>
    <n v="1200"/>
    <n v="186750.5"/>
    <n v="29.94"/>
    <n v="4000"/>
  </r>
  <r>
    <s v="4000_0.3_0.5_1000_2.0_order_3"/>
    <x v="1"/>
    <n v="0.3"/>
    <n v="0.5"/>
    <n v="1000"/>
    <n v="2"/>
    <n v="3"/>
    <x v="2"/>
    <n v="270461.40000000002"/>
    <n v="108640.8"/>
    <n v="161820.6"/>
    <n v="1200"/>
    <n v="601.23"/>
    <n v="67654.8"/>
    <n v="94611.5"/>
    <n v="162266.29999999999"/>
    <n v="20507.599999999999"/>
    <n v="6916"/>
    <n v="27423.599999999999"/>
    <n v="29.86"/>
    <n v="0.35"/>
    <n v="6905.4"/>
    <n v="27413"/>
    <n v="601.58000000000004"/>
    <n v="1200"/>
    <n v="189679.3"/>
    <n v="29.87"/>
    <n v="4000"/>
  </r>
  <r>
    <s v="4000_0.3_0.5_1000_2.0_order_4"/>
    <x v="1"/>
    <n v="0.3"/>
    <n v="0.5"/>
    <n v="1000"/>
    <n v="2"/>
    <n v="4"/>
    <x v="2"/>
    <n v="276520.5"/>
    <n v="108151.8"/>
    <n v="168368.7"/>
    <n v="1200"/>
    <n v="600.94000000000005"/>
    <n v="69309.2"/>
    <n v="99337.8"/>
    <n v="168647"/>
    <n v="20387"/>
    <n v="6980.3"/>
    <n v="27367.3"/>
    <n v="29.11"/>
    <n v="0.52"/>
    <n v="6955.8"/>
    <n v="27342.799999999999"/>
    <n v="601.45000000000005"/>
    <n v="1200"/>
    <n v="195989.8"/>
    <n v="29.12"/>
    <n v="4000"/>
  </r>
  <r>
    <s v="4000_0.3_0.5_1000_2.0_order_5"/>
    <x v="1"/>
    <n v="0.3"/>
    <n v="0.5"/>
    <n v="1000"/>
    <n v="2"/>
    <n v="5"/>
    <x v="2"/>
    <n v="269398.09999999998"/>
    <n v="105268.2"/>
    <n v="164129.9"/>
    <n v="1200"/>
    <n v="601.19000000000005"/>
    <n v="65393.8"/>
    <n v="96169.4"/>
    <n v="161563.20000000001"/>
    <n v="20733"/>
    <n v="7136.6"/>
    <n v="27869.599999999999"/>
    <n v="29.68"/>
    <n v="0.4"/>
    <n v="7135.2"/>
    <n v="27868.2"/>
    <n v="601.59"/>
    <n v="1192"/>
    <n v="189431.4"/>
    <n v="29.68"/>
    <n v="4000"/>
  </r>
  <r>
    <s v="4000_0.3_0.5_1000_3.0_order_1"/>
    <x v="1"/>
    <n v="0.3"/>
    <n v="0.5"/>
    <n v="1000"/>
    <n v="3"/>
    <n v="1"/>
    <x v="2"/>
    <n v="356848.3"/>
    <n v="144262.29999999999"/>
    <n v="212586"/>
    <n v="1200"/>
    <n v="601.71"/>
    <n v="89359"/>
    <n v="127081.7"/>
    <n v="216440.7"/>
    <n v="21238"/>
    <n v="7562.7"/>
    <n v="28800.7"/>
    <n v="31.28"/>
    <n v="0.39"/>
    <n v="7545.8"/>
    <n v="28783.8"/>
    <n v="602.09"/>
    <n v="1200"/>
    <n v="245224.5"/>
    <n v="31.28"/>
    <n v="4000"/>
  </r>
  <r>
    <s v="4000_0.3_0.5_1000_3.0_order_2"/>
    <x v="1"/>
    <n v="0.3"/>
    <n v="0.5"/>
    <n v="1000"/>
    <n v="3"/>
    <n v="2"/>
    <x v="2"/>
    <n v="328960.90000000002"/>
    <n v="126352.7"/>
    <n v="202608.2"/>
    <n v="1200"/>
    <n v="601.03"/>
    <n v="79567.399999999994"/>
    <n v="120484.7"/>
    <n v="200052.1"/>
    <n v="20354.5"/>
    <n v="7481.5"/>
    <n v="27836"/>
    <n v="30.72"/>
    <n v="0.5"/>
    <n v="7419.1"/>
    <n v="27773.599999999999"/>
    <n v="601.53"/>
    <n v="1199"/>
    <n v="227825.7"/>
    <n v="30.74"/>
    <n v="4000"/>
  </r>
  <r>
    <s v="4000_0.3_0.5_1000_3.0_order_3"/>
    <x v="1"/>
    <n v="0.3"/>
    <n v="0.5"/>
    <n v="1000"/>
    <n v="3"/>
    <n v="3"/>
    <x v="2"/>
    <n v="355550"/>
    <n v="132273.1"/>
    <n v="223276.9"/>
    <n v="1200"/>
    <n v="601.71"/>
    <n v="83527.100000000006"/>
    <n v="131760.29999999999"/>
    <n v="215287.4"/>
    <n v="21156.3"/>
    <n v="7477.9"/>
    <n v="28634.2"/>
    <n v="31.4"/>
    <n v="0.41"/>
    <n v="7449.3"/>
    <n v="28605.599999999999"/>
    <n v="602.11"/>
    <n v="1200"/>
    <n v="243893"/>
    <n v="31.4"/>
    <n v="4000"/>
  </r>
  <r>
    <s v="4000_0.3_0.5_1000_3.0_order_4"/>
    <x v="1"/>
    <n v="0.3"/>
    <n v="0.5"/>
    <n v="1000"/>
    <n v="3"/>
    <n v="4"/>
    <x v="2"/>
    <n v="350010.5"/>
    <n v="134680.70000000001"/>
    <n v="215329.8"/>
    <n v="1200"/>
    <n v="601.74"/>
    <n v="84681.1"/>
    <n v="127666.6"/>
    <n v="212347.7"/>
    <n v="21266.400000000001"/>
    <n v="7430.5"/>
    <n v="28696.9"/>
    <n v="31.13"/>
    <n v="0.47"/>
    <n v="7404.3"/>
    <n v="28670.7"/>
    <n v="602.21"/>
    <n v="1199"/>
    <n v="241018.4"/>
    <n v="31.14"/>
    <n v="4000"/>
  </r>
  <r>
    <s v="4000_0.3_0.5_1000_3.0_order_5"/>
    <x v="1"/>
    <n v="0.3"/>
    <n v="0.5"/>
    <n v="1000"/>
    <n v="3"/>
    <n v="5"/>
    <x v="2"/>
    <n v="358853.9"/>
    <n v="135489.60000000001"/>
    <n v="223364.3"/>
    <n v="1200"/>
    <n v="600.01"/>
    <n v="83605.8"/>
    <n v="133502.1"/>
    <n v="217107.9"/>
    <n v="21061.7"/>
    <n v="7570.3"/>
    <n v="28632"/>
    <n v="31.52"/>
    <n v="0.6"/>
    <n v="7527.7"/>
    <n v="28589.4"/>
    <n v="600.61"/>
    <n v="1200"/>
    <n v="245697.3"/>
    <n v="31.53"/>
    <n v="4000"/>
  </r>
  <r>
    <s v="4000_0.3_0.5_2000_1.0_order_1"/>
    <x v="1"/>
    <n v="0.3"/>
    <n v="0.5"/>
    <n v="2000"/>
    <n v="1"/>
    <n v="1"/>
    <x v="2"/>
    <n v="348568.8"/>
    <n v="140450.6"/>
    <n v="208118.2"/>
    <n v="1200"/>
    <n v="601.1"/>
    <n v="88877.7"/>
    <n v="125219.8"/>
    <n v="214097.5"/>
    <n v="26887.599999999999"/>
    <n v="10221.700000000001"/>
    <n v="37109.300000000003"/>
    <n v="27.93"/>
    <n v="0.28999999999999998"/>
    <n v="10204.799999999999"/>
    <n v="37092.400000000001"/>
    <n v="601.39"/>
    <n v="1200"/>
    <n v="251189.9"/>
    <n v="27.94"/>
    <n v="4000"/>
  </r>
  <r>
    <s v="4000_0.3_0.5_2000_1.0_order_2"/>
    <x v="1"/>
    <n v="0.3"/>
    <n v="0.5"/>
    <n v="2000"/>
    <n v="1"/>
    <n v="2"/>
    <x v="2"/>
    <n v="356227.2"/>
    <n v="144468.4"/>
    <n v="211758.8"/>
    <n v="1200"/>
    <n v="600.92999999999995"/>
    <n v="89558.1"/>
    <n v="128632.8"/>
    <n v="218190.9"/>
    <n v="26845.8"/>
    <n v="9806"/>
    <n v="36651.800000000003"/>
    <n v="28.46"/>
    <n v="0.3"/>
    <n v="9751.6"/>
    <n v="36597.4"/>
    <n v="601.22"/>
    <n v="1200"/>
    <n v="254788.3"/>
    <n v="28.48"/>
    <n v="4000"/>
  </r>
  <r>
    <s v="4000_0.3_0.5_2000_1.0_order_3"/>
    <x v="1"/>
    <n v="0.3"/>
    <n v="0.5"/>
    <n v="2000"/>
    <n v="1"/>
    <n v="3"/>
    <x v="2"/>
    <n v="352439.3"/>
    <n v="140867.20000000001"/>
    <n v="211572.1"/>
    <n v="1200"/>
    <n v="601.54999999999995"/>
    <n v="87501.2"/>
    <n v="126035.2"/>
    <n v="213536.4"/>
    <n v="27318.7"/>
    <n v="9931.7000000000007"/>
    <n v="37250.400000000001"/>
    <n v="28.84"/>
    <n v="0.27"/>
    <n v="9926.2000000000007"/>
    <n v="37244.9"/>
    <n v="601.83000000000004"/>
    <n v="1200"/>
    <n v="250781.3"/>
    <n v="28.84"/>
    <n v="4000"/>
  </r>
  <r>
    <s v="4000_0.3_0.5_2000_1.0_order_4"/>
    <x v="1"/>
    <n v="0.3"/>
    <n v="0.5"/>
    <n v="2000"/>
    <n v="1"/>
    <n v="4"/>
    <x v="2"/>
    <n v="362583.2"/>
    <n v="147633"/>
    <n v="214950.2"/>
    <n v="1200"/>
    <n v="600.84"/>
    <n v="89992.8"/>
    <n v="130028.9"/>
    <n v="220021.7"/>
    <n v="27280.3"/>
    <n v="9541"/>
    <n v="36821.300000000003"/>
    <n v="29.16"/>
    <n v="0.26"/>
    <n v="9509"/>
    <n v="36789.300000000003"/>
    <n v="601.1"/>
    <n v="1198"/>
    <n v="256811"/>
    <n v="29.17"/>
    <n v="4000"/>
  </r>
  <r>
    <s v="4000_0.3_0.5_2000_1.0_order_5"/>
    <x v="1"/>
    <n v="0.3"/>
    <n v="0.5"/>
    <n v="2000"/>
    <n v="1"/>
    <n v="5"/>
    <x v="2"/>
    <n v="357055"/>
    <n v="142400.4"/>
    <n v="214654.6"/>
    <n v="1200"/>
    <n v="600.92999999999995"/>
    <n v="89826.5"/>
    <n v="132870.9"/>
    <n v="222697.4"/>
    <n v="26403.7"/>
    <n v="9407.1"/>
    <n v="35810.800000000003"/>
    <n v="27.6"/>
    <n v="0.33"/>
    <n v="9390.2000000000007"/>
    <n v="35793.9"/>
    <n v="601.26"/>
    <n v="1200"/>
    <n v="258491.3"/>
    <n v="27.6"/>
    <n v="4000"/>
  </r>
  <r>
    <s v="4000_0.3_0.5_2000_2.0_order_1"/>
    <x v="1"/>
    <n v="0.3"/>
    <n v="0.5"/>
    <n v="2000"/>
    <n v="2"/>
    <n v="1"/>
    <x v="2"/>
    <n v="525680.9"/>
    <n v="196095.8"/>
    <n v="329585.09999999998"/>
    <n v="1200"/>
    <n v="601.61"/>
    <n v="131766.79999999999"/>
    <n v="205492"/>
    <n v="337258.8"/>
    <n v="23879"/>
    <n v="9062.2000000000007"/>
    <n v="32941.199999999997"/>
    <n v="29.58"/>
    <n v="0.63"/>
    <n v="9043.9"/>
    <n v="32922.9"/>
    <n v="602.24"/>
    <n v="1199"/>
    <n v="370181.7"/>
    <n v="29.58"/>
    <n v="4000"/>
  </r>
  <r>
    <s v="4000_0.3_0.5_2000_2.0_order_2"/>
    <x v="1"/>
    <n v="0.3"/>
    <n v="0.5"/>
    <n v="2000"/>
    <n v="2"/>
    <n v="2"/>
    <x v="2"/>
    <n v="542626.4"/>
    <n v="209886.9"/>
    <n v="332739.5"/>
    <n v="1200"/>
    <n v="601.35"/>
    <n v="135101.1"/>
    <n v="206571.5"/>
    <n v="341672.6"/>
    <n v="24927.8"/>
    <n v="9267.2000000000007"/>
    <n v="34195"/>
    <n v="30.73"/>
    <n v="0.45"/>
    <n v="9259.4"/>
    <n v="34187.199999999997"/>
    <n v="601.79"/>
    <n v="1200"/>
    <n v="375859.8"/>
    <n v="30.73"/>
    <n v="4000"/>
  </r>
  <r>
    <s v="4000_0.3_0.5_2000_2.0_order_3"/>
    <x v="1"/>
    <n v="0.3"/>
    <n v="0.5"/>
    <n v="2000"/>
    <n v="2"/>
    <n v="3"/>
    <x v="2"/>
    <n v="535601.9"/>
    <n v="206774.8"/>
    <n v="328827.09999999998"/>
    <n v="1200"/>
    <n v="600.76"/>
    <n v="136643.20000000001"/>
    <n v="202194.5"/>
    <n v="338837.7"/>
    <n v="24330.2"/>
    <n v="8699.6"/>
    <n v="33029.800000000003"/>
    <n v="30.57"/>
    <n v="0.43"/>
    <n v="8698.2000000000007"/>
    <n v="33028.400000000001"/>
    <n v="601.19000000000005"/>
    <n v="1200"/>
    <n v="371866.1"/>
    <n v="30.57"/>
    <n v="4000"/>
  </r>
  <r>
    <s v="4000_0.3_0.5_2000_2.0_order_4"/>
    <x v="1"/>
    <n v="0.3"/>
    <n v="0.5"/>
    <n v="2000"/>
    <n v="2"/>
    <n v="4"/>
    <x v="2"/>
    <n v="546869.19999999995"/>
    <n v="217164.2"/>
    <n v="329705"/>
    <n v="1200"/>
    <n v="600.65"/>
    <n v="140433.79999999999"/>
    <n v="202779.5"/>
    <n v="343213.3"/>
    <n v="24790"/>
    <n v="9033.9"/>
    <n v="33823.9"/>
    <n v="31.06"/>
    <n v="0.46"/>
    <n v="9033"/>
    <n v="33823"/>
    <n v="601.11"/>
    <n v="1200"/>
    <n v="377036.3"/>
    <n v="31.06"/>
    <n v="4000"/>
  </r>
  <r>
    <s v="4000_0.3_0.5_2000_2.0_order_5"/>
    <x v="1"/>
    <n v="0.3"/>
    <n v="0.5"/>
    <n v="2000"/>
    <n v="2"/>
    <n v="5"/>
    <x v="2"/>
    <n v="529483.30000000005"/>
    <n v="205231.3"/>
    <n v="324252"/>
    <n v="1200"/>
    <n v="600.03"/>
    <n v="134042.79999999999"/>
    <n v="200835.7"/>
    <n v="334878.5"/>
    <n v="24717.9"/>
    <n v="9252.7999999999993"/>
    <n v="33970.699999999997"/>
    <n v="30.34"/>
    <n v="0.44"/>
    <n v="9235"/>
    <n v="33952.9"/>
    <n v="600.48"/>
    <n v="1200"/>
    <n v="368831.4"/>
    <n v="30.34"/>
    <n v="4000"/>
  </r>
  <r>
    <s v="4000_0.3_0.5_2000_3.0_order_1"/>
    <x v="1"/>
    <n v="0.3"/>
    <n v="0.5"/>
    <n v="2000"/>
    <n v="3"/>
    <n v="1"/>
    <x v="2"/>
    <n v="681195.9"/>
    <n v="262008.1"/>
    <n v="419187.8"/>
    <n v="1200"/>
    <n v="601.78"/>
    <n v="170291.3"/>
    <n v="263088.40000000002"/>
    <n v="433379.7"/>
    <n v="24825.9"/>
    <n v="8708.9"/>
    <n v="33534.800000000003"/>
    <n v="31.46"/>
    <n v="0.57999999999999996"/>
    <n v="8708.9"/>
    <n v="33534.800000000003"/>
    <n v="602.36"/>
    <n v="1200"/>
    <n v="466914.5"/>
    <n v="31.46"/>
    <n v="4000"/>
  </r>
  <r>
    <s v="4000_0.3_0.5_2000_3.0_order_2"/>
    <x v="1"/>
    <n v="0.3"/>
    <n v="0.5"/>
    <n v="2000"/>
    <n v="3"/>
    <n v="2"/>
    <x v="2"/>
    <n v="688634.5"/>
    <n v="263569.40000000002"/>
    <n v="425065.1"/>
    <n v="1200"/>
    <n v="601.02"/>
    <n v="169766"/>
    <n v="266971.40000000002"/>
    <n v="436737.4"/>
    <n v="24540.5"/>
    <n v="8418.2999999999993"/>
    <n v="32958.800000000003"/>
    <n v="31.79"/>
    <n v="0.44"/>
    <n v="8416"/>
    <n v="32956.5"/>
    <n v="601.46"/>
    <n v="1200"/>
    <n v="469693.9"/>
    <n v="31.79"/>
    <n v="4000"/>
  </r>
  <r>
    <s v="4000_0.3_0.5_2000_3.0_order_3"/>
    <x v="1"/>
    <n v="0.3"/>
    <n v="0.5"/>
    <n v="2000"/>
    <n v="3"/>
    <n v="3"/>
    <x v="2"/>
    <n v="673599.6"/>
    <n v="251402.1"/>
    <n v="422197.5"/>
    <n v="1200"/>
    <n v="600.85"/>
    <n v="165478.5"/>
    <n v="265666.2"/>
    <n v="431144.7"/>
    <n v="24420.3"/>
    <n v="8780.4"/>
    <n v="33200.699999999997"/>
    <n v="31.07"/>
    <n v="0.43"/>
    <n v="8748.4"/>
    <n v="33168.699999999997"/>
    <n v="601.28"/>
    <n v="1200"/>
    <n v="464313.4"/>
    <n v="31.07"/>
    <n v="4000"/>
  </r>
  <r>
    <s v="4000_0.3_0.5_2000_3.0_order_4"/>
    <x v="1"/>
    <n v="0.3"/>
    <n v="0.5"/>
    <n v="2000"/>
    <n v="3"/>
    <n v="4"/>
    <x v="2"/>
    <n v="674112.8"/>
    <n v="259348.7"/>
    <n v="414764.1"/>
    <n v="1200"/>
    <n v="601.5"/>
    <n v="169243.9"/>
    <n v="261852.1"/>
    <n v="431096"/>
    <n v="24368.5"/>
    <n v="8385.9"/>
    <n v="32754.400000000001"/>
    <n v="31.19"/>
    <n v="0.45"/>
    <n v="8384.2999999999993"/>
    <n v="32752.799999999999"/>
    <n v="601.95000000000005"/>
    <n v="1200"/>
    <n v="463848.8"/>
    <n v="31.19"/>
    <n v="4000"/>
  </r>
  <r>
    <s v="4000_0.3_0.5_2000_3.0_order_5"/>
    <x v="1"/>
    <n v="0.3"/>
    <n v="0.5"/>
    <n v="2000"/>
    <n v="3"/>
    <n v="5"/>
    <x v="2"/>
    <n v="700049.7"/>
    <n v="267738.7"/>
    <n v="432311"/>
    <n v="1200"/>
    <n v="600.02"/>
    <n v="172173.6"/>
    <n v="269505.2"/>
    <n v="441678.8"/>
    <n v="24764.9"/>
    <n v="8494.2999999999993"/>
    <n v="33259.199999999997"/>
    <n v="32.159999999999997"/>
    <n v="0.49"/>
    <n v="8494.2999999999993"/>
    <n v="33259.199999999997"/>
    <n v="600.51"/>
    <n v="1200"/>
    <n v="474938"/>
    <n v="32.159999999999997"/>
    <n v="4000"/>
  </r>
  <r>
    <s v="4000_0.3_0.5_500_1.0_order_1"/>
    <x v="1"/>
    <n v="0.3"/>
    <n v="0.5"/>
    <n v="500"/>
    <n v="1"/>
    <n v="1"/>
    <x v="2"/>
    <n v="86158.9"/>
    <n v="35109.800000000003"/>
    <n v="51049.1"/>
    <n v="1200"/>
    <n v="602.27"/>
    <n v="21562.6"/>
    <n v="29902.2"/>
    <n v="51464.800000000003"/>
    <n v="13725"/>
    <n v="2971.7"/>
    <n v="16696.7"/>
    <n v="20.89"/>
    <n v="0.53"/>
    <n v="2955.1"/>
    <n v="16680.099999999999"/>
    <n v="602.79999999999995"/>
    <n v="1170"/>
    <n v="68144.899999999994"/>
    <n v="20.91"/>
    <n v="4000"/>
  </r>
  <r>
    <s v="4000_0.3_0.5_500_1.0_order_2"/>
    <x v="1"/>
    <n v="0.3"/>
    <n v="0.5"/>
    <n v="500"/>
    <n v="1"/>
    <n v="2"/>
    <x v="2"/>
    <n v="87235.199999999997"/>
    <n v="35765.300000000003"/>
    <n v="51469.9"/>
    <n v="1200"/>
    <n v="601.49"/>
    <n v="21816.799999999999"/>
    <n v="30892.9"/>
    <n v="52709.7"/>
    <n v="14086.6"/>
    <n v="2752.9"/>
    <n v="16839.5"/>
    <n v="20.27"/>
    <n v="0.68"/>
    <n v="2745.1"/>
    <n v="16831.7"/>
    <n v="602.16999999999996"/>
    <n v="1200"/>
    <n v="69541.399999999994"/>
    <n v="20.28"/>
    <n v="4000"/>
  </r>
  <r>
    <s v="4000_0.3_0.5_500_1.0_order_3"/>
    <x v="1"/>
    <n v="0.3"/>
    <n v="0.5"/>
    <n v="500"/>
    <n v="1"/>
    <n v="3"/>
    <x v="2"/>
    <n v="87209.7"/>
    <n v="35411.300000000003"/>
    <n v="51798.400000000001"/>
    <n v="1200"/>
    <n v="601.98"/>
    <n v="20959.599999999999"/>
    <n v="30245.5"/>
    <n v="51205.1"/>
    <n v="14312.2"/>
    <n v="3220.5"/>
    <n v="17532.7"/>
    <n v="21.18"/>
    <n v="0.61"/>
    <n v="3183.5"/>
    <n v="17495.7"/>
    <n v="602.59"/>
    <n v="1200"/>
    <n v="68700.800000000003"/>
    <n v="21.22"/>
    <n v="4000"/>
  </r>
  <r>
    <s v="4000_0.3_0.5_500_1.0_order_4"/>
    <x v="1"/>
    <n v="0.3"/>
    <n v="0.5"/>
    <n v="500"/>
    <n v="1"/>
    <n v="4"/>
    <x v="2"/>
    <n v="89293"/>
    <n v="36025.699999999997"/>
    <n v="53267.3"/>
    <n v="1200"/>
    <n v="601.59"/>
    <n v="21728.7"/>
    <n v="31028.2"/>
    <n v="52756.9"/>
    <n v="14093.7"/>
    <n v="3053.4"/>
    <n v="17147.099999999999"/>
    <n v="21.71"/>
    <n v="0.65"/>
    <n v="3019.2"/>
    <n v="17112.900000000001"/>
    <n v="602.24"/>
    <n v="1184"/>
    <n v="69869.8"/>
    <n v="21.75"/>
    <n v="4000"/>
  </r>
  <r>
    <s v="4000_0.3_0.5_500_1.0_order_5"/>
    <x v="1"/>
    <n v="0.3"/>
    <n v="0.5"/>
    <n v="500"/>
    <n v="1"/>
    <n v="5"/>
    <x v="2"/>
    <n v="90482.3"/>
    <n v="36247.9"/>
    <n v="54234.400000000001"/>
    <n v="1200"/>
    <n v="602.41"/>
    <n v="21583.599999999999"/>
    <n v="30349.7"/>
    <n v="51933.3"/>
    <n v="14569"/>
    <n v="3218.4"/>
    <n v="17787.400000000001"/>
    <n v="22.95"/>
    <n v="0.65"/>
    <n v="3196.7"/>
    <n v="17765.7"/>
    <n v="603.05999999999995"/>
    <n v="1195"/>
    <n v="69699"/>
    <n v="22.97"/>
    <n v="4000"/>
  </r>
  <r>
    <s v="4000_0.3_0.5_500_2.0_order_1"/>
    <x v="1"/>
    <n v="0.3"/>
    <n v="0.5"/>
    <n v="500"/>
    <n v="2"/>
    <n v="1"/>
    <x v="2"/>
    <n v="137406.5"/>
    <n v="55799.7"/>
    <n v="81606.8"/>
    <n v="1200"/>
    <n v="600.51"/>
    <n v="33375.199999999997"/>
    <n v="45753.5"/>
    <n v="79128.7"/>
    <n v="15377"/>
    <n v="4224.5"/>
    <n v="19601.5"/>
    <n v="28.15"/>
    <n v="0.47"/>
    <n v="4203.6000000000004"/>
    <n v="19580.599999999999"/>
    <n v="600.97"/>
    <n v="1200"/>
    <n v="98709.3"/>
    <n v="28.16"/>
    <n v="4000"/>
  </r>
  <r>
    <s v="4000_0.3_0.5_500_2.0_order_2"/>
    <x v="1"/>
    <n v="0.3"/>
    <n v="0.5"/>
    <n v="500"/>
    <n v="2"/>
    <n v="2"/>
    <x v="2"/>
    <n v="134470.9"/>
    <n v="52869.5"/>
    <n v="81601.399999999994"/>
    <n v="1200"/>
    <n v="601.95000000000005"/>
    <n v="31487.7"/>
    <n v="45454.400000000001"/>
    <n v="76942.100000000006"/>
    <n v="15772.6"/>
    <n v="4386.7"/>
    <n v="20159.3"/>
    <n v="27.79"/>
    <n v="0.49"/>
    <n v="4354.1000000000004"/>
    <n v="20126.7"/>
    <n v="602.44000000000005"/>
    <n v="1195"/>
    <n v="97068.800000000003"/>
    <n v="27.81"/>
    <n v="4000"/>
  </r>
  <r>
    <s v="4000_0.3_0.5_500_2.0_order_3"/>
    <x v="1"/>
    <n v="0.3"/>
    <n v="0.5"/>
    <n v="500"/>
    <n v="2"/>
    <n v="3"/>
    <x v="2"/>
    <n v="141138"/>
    <n v="56617.599999999999"/>
    <n v="84520.4"/>
    <n v="1200"/>
    <n v="601.45000000000005"/>
    <n v="33891"/>
    <n v="47434.5"/>
    <n v="81325.5"/>
    <n v="15261.8"/>
    <n v="4263.1000000000004"/>
    <n v="19524.900000000001"/>
    <n v="28.54"/>
    <n v="0.6"/>
    <n v="4237.3"/>
    <n v="19499.099999999999"/>
    <n v="602.04999999999995"/>
    <n v="1200"/>
    <n v="100824.6"/>
    <n v="28.56"/>
    <n v="4000"/>
  </r>
  <r>
    <s v="4000_0.3_0.5_500_2.0_order_4"/>
    <x v="1"/>
    <n v="0.3"/>
    <n v="0.5"/>
    <n v="500"/>
    <n v="2"/>
    <n v="4"/>
    <x v="2"/>
    <n v="138094.29999999999"/>
    <n v="51984.9"/>
    <n v="86109.4"/>
    <n v="1200"/>
    <n v="601.5"/>
    <n v="31913.1"/>
    <n v="47569.2"/>
    <n v="79482.3"/>
    <n v="15820.3"/>
    <n v="4945.7"/>
    <n v="20766"/>
    <n v="27.41"/>
    <n v="0.48"/>
    <n v="4925.3999999999996"/>
    <n v="20745.7"/>
    <n v="601.98"/>
    <n v="1198"/>
    <n v="100228"/>
    <n v="27.42"/>
    <n v="4000"/>
  </r>
  <r>
    <s v="4000_0.3_0.5_500_2.0_order_5"/>
    <x v="1"/>
    <n v="0.3"/>
    <n v="0.5"/>
    <n v="500"/>
    <n v="2"/>
    <n v="5"/>
    <x v="2"/>
    <n v="132232.6"/>
    <n v="53369.5"/>
    <n v="78863.100000000006"/>
    <n v="1200"/>
    <n v="602.34"/>
    <n v="33139.5"/>
    <n v="44243.7"/>
    <n v="77383.199999999997"/>
    <n v="15144.1"/>
    <n v="4427.3999999999996"/>
    <n v="19571.5"/>
    <n v="26.68"/>
    <n v="0.52"/>
    <n v="4399"/>
    <n v="19543.099999999999"/>
    <n v="602.86"/>
    <n v="1198"/>
    <n v="96926.3"/>
    <n v="26.7"/>
    <n v="4000"/>
  </r>
  <r>
    <s v="4000_0.3_0.5_500_3.0_order_1"/>
    <x v="1"/>
    <n v="0.3"/>
    <n v="0.5"/>
    <n v="500"/>
    <n v="3"/>
    <n v="1"/>
    <x v="2"/>
    <n v="175437.9"/>
    <n v="65584.100000000006"/>
    <n v="109853.8"/>
    <n v="1200"/>
    <n v="601.66"/>
    <n v="39467.599999999999"/>
    <n v="62816.2"/>
    <n v="102283.8"/>
    <n v="16173.9"/>
    <n v="5183.8999999999996"/>
    <n v="21357.8"/>
    <n v="29.52"/>
    <n v="0.43"/>
    <n v="5155.7"/>
    <n v="21329.599999999999"/>
    <n v="602.09"/>
    <n v="1197"/>
    <n v="123613.4"/>
    <n v="29.54"/>
    <n v="4000"/>
  </r>
  <r>
    <s v="4000_0.3_0.5_500_3.0_order_2"/>
    <x v="1"/>
    <n v="0.3"/>
    <n v="0.5"/>
    <n v="500"/>
    <n v="3"/>
    <n v="2"/>
    <x v="2"/>
    <n v="180917.6"/>
    <n v="67104.800000000003"/>
    <n v="113812.8"/>
    <n v="1200"/>
    <n v="601.53"/>
    <n v="40456"/>
    <n v="65291.7"/>
    <n v="105747.7"/>
    <n v="16332.5"/>
    <n v="5705.5"/>
    <n v="22038"/>
    <n v="29.37"/>
    <n v="0.61"/>
    <n v="5639"/>
    <n v="21971.5"/>
    <n v="602.14"/>
    <n v="1196"/>
    <n v="127719.2"/>
    <n v="29.4"/>
    <n v="4000"/>
  </r>
  <r>
    <s v="4000_0.3_0.5_500_3.0_order_3"/>
    <x v="1"/>
    <n v="0.3"/>
    <n v="0.5"/>
    <n v="500"/>
    <n v="3"/>
    <n v="3"/>
    <x v="2"/>
    <n v="181227.2"/>
    <n v="68904.100000000006"/>
    <n v="112323.1"/>
    <n v="1200"/>
    <n v="601.75"/>
    <n v="40910.6"/>
    <n v="63849"/>
    <n v="104759.6"/>
    <n v="17009.599999999999"/>
    <n v="5428.9"/>
    <n v="22438.5"/>
    <n v="29.81"/>
    <n v="0.45"/>
    <n v="5426.1"/>
    <n v="22435.7"/>
    <n v="602.20000000000005"/>
    <n v="1200"/>
    <n v="127195.3"/>
    <n v="29.81"/>
    <n v="4000"/>
  </r>
  <r>
    <s v="4000_0.3_0.5_500_3.0_order_4"/>
    <x v="1"/>
    <n v="0.3"/>
    <n v="0.5"/>
    <n v="500"/>
    <n v="3"/>
    <n v="4"/>
    <x v="2"/>
    <n v="174207.9"/>
    <n v="64976.3"/>
    <n v="109231.6"/>
    <n v="1200"/>
    <n v="601.77"/>
    <n v="39390.1"/>
    <n v="62808.7"/>
    <n v="102198.8"/>
    <n v="16180.4"/>
    <n v="5513.8"/>
    <n v="21694.2"/>
    <n v="28.88"/>
    <n v="0.53"/>
    <n v="5482.6"/>
    <n v="21663"/>
    <n v="602.30999999999995"/>
    <n v="1200"/>
    <n v="123861.8"/>
    <n v="28.9"/>
    <n v="4000"/>
  </r>
  <r>
    <s v="4000_0.3_0.5_500_3.0_order_5"/>
    <x v="1"/>
    <n v="0.3"/>
    <n v="0.5"/>
    <n v="500"/>
    <n v="3"/>
    <n v="5"/>
    <x v="2"/>
    <n v="177058.9"/>
    <n v="65926.600000000006"/>
    <n v="111132.3"/>
    <n v="1200"/>
    <n v="601.87"/>
    <n v="40698.300000000003"/>
    <n v="64267.7"/>
    <n v="104966"/>
    <n v="15975.2"/>
    <n v="5170.7"/>
    <n v="21145.9"/>
    <n v="28.77"/>
    <n v="0.56000000000000005"/>
    <n v="5125.5"/>
    <n v="21100.7"/>
    <n v="602.44000000000005"/>
    <n v="1195"/>
    <n v="126066.7"/>
    <n v="28.8"/>
    <n v="4000"/>
  </r>
  <r>
    <s v="4000_0.4_0.5_1000_1.0_order_1"/>
    <x v="1"/>
    <n v="0.4"/>
    <n v="0.5"/>
    <n v="1000"/>
    <n v="1"/>
    <n v="1"/>
    <x v="2"/>
    <n v="171724.4"/>
    <n v="71423.3"/>
    <n v="100301.1"/>
    <n v="1200"/>
    <n v="600.97"/>
    <n v="40181.9"/>
    <n v="55250.400000000001"/>
    <n v="95432.3"/>
    <n v="20732.7"/>
    <n v="7430.2"/>
    <n v="28162.9"/>
    <n v="28.03"/>
    <n v="0.57999999999999996"/>
    <n v="7397.1"/>
    <n v="28129.8"/>
    <n v="601.54999999999995"/>
    <n v="1199"/>
    <n v="123562.1"/>
    <n v="28.05"/>
    <n v="4000"/>
  </r>
  <r>
    <s v="4000_0.4_0.5_1000_1.0_order_2"/>
    <x v="1"/>
    <n v="0.4"/>
    <n v="0.5"/>
    <n v="1000"/>
    <n v="1"/>
    <n v="2"/>
    <x v="2"/>
    <n v="177265.8"/>
    <n v="68879.7"/>
    <n v="108386.1"/>
    <n v="1200"/>
    <n v="601.47"/>
    <n v="39628.9"/>
    <n v="58205.8"/>
    <n v="97834.7"/>
    <n v="20626.900000000001"/>
    <n v="8393"/>
    <n v="29019.9"/>
    <n v="28.44"/>
    <n v="0.59"/>
    <n v="8373.2000000000007"/>
    <n v="29000.1"/>
    <n v="602.05999999999995"/>
    <n v="1190"/>
    <n v="126834.8"/>
    <n v="28.45"/>
    <n v="4000"/>
  </r>
  <r>
    <s v="4000_0.4_0.5_1000_1.0_order_3"/>
    <x v="1"/>
    <n v="0.4"/>
    <n v="0.5"/>
    <n v="1000"/>
    <n v="1"/>
    <n v="3"/>
    <x v="2"/>
    <n v="177163.7"/>
    <n v="70112.600000000006"/>
    <n v="107051.1"/>
    <n v="1200"/>
    <n v="602"/>
    <n v="40617.699999999997"/>
    <n v="58995.3"/>
    <n v="99613"/>
    <n v="20145.599999999999"/>
    <n v="8414.2999999999993"/>
    <n v="28559.9"/>
    <n v="27.65"/>
    <n v="0.78"/>
    <n v="8349.4"/>
    <n v="28495"/>
    <n v="602.78"/>
    <n v="1191"/>
    <n v="128108"/>
    <n v="27.69"/>
    <n v="4000"/>
  </r>
  <r>
    <s v="4000_0.4_0.5_1000_1.0_order_4"/>
    <x v="1"/>
    <n v="0.4"/>
    <n v="0.5"/>
    <n v="1000"/>
    <n v="1"/>
    <n v="4"/>
    <x v="2"/>
    <n v="172274.8"/>
    <n v="71609"/>
    <n v="100665.8"/>
    <n v="1200"/>
    <n v="601.69000000000005"/>
    <n v="40462.6"/>
    <n v="54454.400000000001"/>
    <n v="94917"/>
    <n v="21662.1"/>
    <n v="8464.9"/>
    <n v="30127"/>
    <n v="27.42"/>
    <n v="0.61"/>
    <n v="8405.5"/>
    <n v="30067.599999999999"/>
    <n v="602.29"/>
    <n v="1200"/>
    <n v="124984.6"/>
    <n v="27.45"/>
    <n v="4000"/>
  </r>
  <r>
    <s v="4000_0.4_0.5_1000_1.0_order_5"/>
    <x v="1"/>
    <n v="0.4"/>
    <n v="0.5"/>
    <n v="1000"/>
    <n v="1"/>
    <n v="5"/>
    <x v="2"/>
    <n v="177440"/>
    <n v="71930.2"/>
    <n v="105509.8"/>
    <n v="1200"/>
    <n v="601.07000000000005"/>
    <n v="41568.800000000003"/>
    <n v="56093.5"/>
    <n v="97662.3"/>
    <n v="21509.5"/>
    <n v="8792.9"/>
    <n v="30302.400000000001"/>
    <n v="27.88"/>
    <n v="0.67"/>
    <n v="8756.2000000000007"/>
    <n v="30265.7"/>
    <n v="601.73"/>
    <n v="1200"/>
    <n v="127928"/>
    <n v="27.9"/>
    <n v="4000"/>
  </r>
  <r>
    <s v="4000_0.4_0.5_1000_2.0_order_1"/>
    <x v="1"/>
    <n v="0.4"/>
    <n v="0.5"/>
    <n v="1000"/>
    <n v="2"/>
    <n v="1"/>
    <x v="2"/>
    <n v="272984.8"/>
    <n v="106266.9"/>
    <n v="166717.9"/>
    <n v="1200"/>
    <n v="601.49"/>
    <n v="63663"/>
    <n v="90925.7"/>
    <n v="154588.70000000001"/>
    <n v="20285.599999999999"/>
    <n v="9057.7999999999993"/>
    <n v="29343.4"/>
    <n v="32.619999999999997"/>
    <n v="0.91"/>
    <n v="9023.2999999999993"/>
    <n v="29308.9"/>
    <n v="602.41"/>
    <n v="1199"/>
    <n v="183897.60000000001"/>
    <n v="32.630000000000003"/>
    <n v="4000"/>
  </r>
  <r>
    <s v="4000_0.4_0.5_1000_2.0_order_2"/>
    <x v="1"/>
    <n v="0.4"/>
    <n v="0.5"/>
    <n v="1000"/>
    <n v="2"/>
    <n v="2"/>
    <x v="2"/>
    <n v="263794"/>
    <n v="97689.9"/>
    <n v="166104.1"/>
    <n v="1200"/>
    <n v="600.01"/>
    <n v="58702.6"/>
    <n v="91765.1"/>
    <n v="150467.70000000001"/>
    <n v="20439.900000000001"/>
    <n v="8706.1"/>
    <n v="29146"/>
    <n v="31.91"/>
    <n v="0.7"/>
    <n v="8682.1"/>
    <n v="29122"/>
    <n v="600.71"/>
    <n v="1200"/>
    <n v="179589.7"/>
    <n v="31.92"/>
    <n v="4000"/>
  </r>
  <r>
    <s v="4000_0.4_0.5_1000_2.0_order_3"/>
    <x v="1"/>
    <n v="0.4"/>
    <n v="0.5"/>
    <n v="1000"/>
    <n v="2"/>
    <n v="3"/>
    <x v="2"/>
    <n v="267654.8"/>
    <n v="104237.1"/>
    <n v="163417.70000000001"/>
    <n v="1200"/>
    <n v="600.97"/>
    <n v="60935.199999999997"/>
    <n v="89383.8"/>
    <n v="150319"/>
    <n v="20680.5"/>
    <n v="9444.5"/>
    <n v="30125"/>
    <n v="32.58"/>
    <n v="0.79"/>
    <n v="9400.7000000000007"/>
    <n v="30081.200000000001"/>
    <n v="601.76"/>
    <n v="1200"/>
    <n v="180400.2"/>
    <n v="32.6"/>
    <n v="4000"/>
  </r>
  <r>
    <s v="4000_0.4_0.5_1000_2.0_order_4"/>
    <x v="1"/>
    <n v="0.4"/>
    <n v="0.5"/>
    <n v="1000"/>
    <n v="2"/>
    <n v="4"/>
    <x v="2"/>
    <n v="271917.09999999998"/>
    <n v="103980.4"/>
    <n v="167936.7"/>
    <n v="1200"/>
    <n v="600"/>
    <n v="61957.5"/>
    <n v="90419"/>
    <n v="152376.5"/>
    <n v="20558.8"/>
    <n v="8870.2000000000007"/>
    <n v="29429"/>
    <n v="33.14"/>
    <n v="0.76"/>
    <n v="8845.7999999999993"/>
    <n v="29404.6"/>
    <n v="600.77"/>
    <n v="1199"/>
    <n v="181781.1"/>
    <n v="33.15"/>
    <n v="4000"/>
  </r>
  <r>
    <s v="4000_0.4_0.5_1000_2.0_order_5"/>
    <x v="1"/>
    <n v="0.4"/>
    <n v="0.5"/>
    <n v="1000"/>
    <n v="2"/>
    <n v="5"/>
    <x v="2"/>
    <n v="276548.7"/>
    <n v="105846.5"/>
    <n v="170702.2"/>
    <n v="1200"/>
    <n v="602.1"/>
    <n v="62169"/>
    <n v="93882.5"/>
    <n v="156051.5"/>
    <n v="20928.599999999999"/>
    <n v="9378.2999999999993"/>
    <n v="30306.9"/>
    <n v="32.61"/>
    <n v="0.9"/>
    <n v="9364.5"/>
    <n v="30293.1"/>
    <n v="603"/>
    <n v="1200"/>
    <n v="186344.6"/>
    <n v="32.619999999999997"/>
    <n v="4000"/>
  </r>
  <r>
    <s v="4000_0.4_0.5_1000_3.0_order_1"/>
    <x v="1"/>
    <n v="0.4"/>
    <n v="0.5"/>
    <n v="1000"/>
    <n v="3"/>
    <n v="1"/>
    <x v="2"/>
    <n v="341551.3"/>
    <n v="129094.3"/>
    <n v="212457"/>
    <n v="1200"/>
    <n v="601.65"/>
    <n v="76274.600000000006"/>
    <n v="116675.1"/>
    <n v="192949.7"/>
    <n v="20741"/>
    <n v="9482.2999999999993"/>
    <n v="30223.3"/>
    <n v="34.659999999999997"/>
    <n v="1"/>
    <n v="9434.4"/>
    <n v="30175.4"/>
    <n v="602.65"/>
    <n v="1200"/>
    <n v="223125.1"/>
    <n v="34.67"/>
    <n v="4000"/>
  </r>
  <r>
    <s v="4000_0.4_0.5_1000_3.0_order_2"/>
    <x v="1"/>
    <n v="0.4"/>
    <n v="0.5"/>
    <n v="1000"/>
    <n v="3"/>
    <n v="2"/>
    <x v="2"/>
    <n v="359905"/>
    <n v="140692.79999999999"/>
    <n v="219212.2"/>
    <n v="1200"/>
    <n v="601.54"/>
    <n v="84241.1"/>
    <n v="122117.6"/>
    <n v="206358.7"/>
    <n v="20731.2"/>
    <n v="8864.7999999999993"/>
    <n v="29596"/>
    <n v="34.44"/>
    <n v="0.91"/>
    <n v="8828.6"/>
    <n v="29559.8"/>
    <n v="602.45000000000005"/>
    <n v="1199"/>
    <n v="235918.5"/>
    <n v="34.450000000000003"/>
    <n v="4000"/>
  </r>
  <r>
    <s v="4000_0.4_0.5_1000_3.0_order_3"/>
    <x v="1"/>
    <n v="0.4"/>
    <n v="0.5"/>
    <n v="1000"/>
    <n v="3"/>
    <n v="3"/>
    <x v="2"/>
    <n v="346084.2"/>
    <n v="139484.70000000001"/>
    <n v="206599.5"/>
    <n v="1200"/>
    <n v="600.01"/>
    <n v="82346.3"/>
    <n v="115386.2"/>
    <n v="197732.5"/>
    <n v="20729.599999999999"/>
    <n v="8800.7000000000007"/>
    <n v="29530.3"/>
    <n v="34.33"/>
    <n v="0.86"/>
    <n v="8798"/>
    <n v="29527.599999999999"/>
    <n v="600.87"/>
    <n v="1200"/>
    <n v="227260.1"/>
    <n v="34.33"/>
    <n v="4000"/>
  </r>
  <r>
    <s v="4000_0.4_0.5_1000_3.0_order_4"/>
    <x v="1"/>
    <n v="0.4"/>
    <n v="0.5"/>
    <n v="1000"/>
    <n v="3"/>
    <n v="4"/>
    <x v="2"/>
    <n v="368365.6"/>
    <n v="138650.29999999999"/>
    <n v="229715.3"/>
    <n v="1200"/>
    <n v="602.12"/>
    <n v="82633"/>
    <n v="127787.3"/>
    <n v="210420.3"/>
    <n v="20237.3"/>
    <n v="9278.5"/>
    <n v="29515.8"/>
    <n v="34.86"/>
    <n v="1.17"/>
    <n v="9225.7999999999993"/>
    <n v="29463.1"/>
    <n v="603.29"/>
    <n v="1199"/>
    <n v="239883.4"/>
    <n v="34.880000000000003"/>
    <n v="4000"/>
  </r>
  <r>
    <s v="4000_0.4_0.5_1000_3.0_order_5"/>
    <x v="1"/>
    <n v="0.4"/>
    <n v="0.5"/>
    <n v="1000"/>
    <n v="3"/>
    <n v="5"/>
    <x v="2"/>
    <n v="339263.6"/>
    <n v="129708.3"/>
    <n v="209555.3"/>
    <n v="1200"/>
    <n v="601.44000000000005"/>
    <n v="78229.600000000006"/>
    <n v="116424"/>
    <n v="194653.6"/>
    <n v="20780.5"/>
    <n v="9215.6"/>
    <n v="29996.1"/>
    <n v="33.78"/>
    <n v="0.8"/>
    <n v="9215.6"/>
    <n v="29996.1"/>
    <n v="602.24"/>
    <n v="1199"/>
    <n v="224649.7"/>
    <n v="33.78"/>
    <n v="4000"/>
  </r>
  <r>
    <s v="4000_0.4_0.5_2000_1.0_order_1"/>
    <x v="1"/>
    <n v="0.4"/>
    <n v="0.5"/>
    <n v="2000"/>
    <n v="1"/>
    <n v="1"/>
    <x v="2"/>
    <n v="359399"/>
    <n v="142539.5"/>
    <n v="216859.5"/>
    <n v="1200"/>
    <n v="601.51"/>
    <n v="82902.899999999994"/>
    <n v="122721.60000000001"/>
    <n v="205624.5"/>
    <n v="26976.9"/>
    <n v="12365.9"/>
    <n v="39342.800000000003"/>
    <n v="31.84"/>
    <n v="0.45"/>
    <n v="12353.1"/>
    <n v="39330"/>
    <n v="601.96"/>
    <n v="1198"/>
    <n v="244954.5"/>
    <n v="31.84"/>
    <n v="4000"/>
  </r>
  <r>
    <s v="4000_0.4_0.5_2000_1.0_order_2"/>
    <x v="1"/>
    <n v="0.4"/>
    <n v="0.5"/>
    <n v="2000"/>
    <n v="1"/>
    <n v="2"/>
    <x v="2"/>
    <n v="357031.4"/>
    <n v="141652.1"/>
    <n v="215379.3"/>
    <n v="1200"/>
    <n v="601.1"/>
    <n v="82213.899999999994"/>
    <n v="122925.4"/>
    <n v="205139.3"/>
    <n v="26282.9"/>
    <n v="12353.3"/>
    <n v="38636.199999999997"/>
    <n v="31.72"/>
    <n v="0.43"/>
    <n v="12336.7"/>
    <n v="38619.599999999999"/>
    <n v="601.53"/>
    <n v="1200"/>
    <n v="243758.9"/>
    <n v="31.73"/>
    <n v="4000"/>
  </r>
  <r>
    <s v="4000_0.4_0.5_2000_1.0_order_3"/>
    <x v="1"/>
    <n v="0.4"/>
    <n v="0.5"/>
    <n v="2000"/>
    <n v="1"/>
    <n v="3"/>
    <x v="2"/>
    <n v="354479.3"/>
    <n v="137883.5"/>
    <n v="216595.8"/>
    <n v="1200"/>
    <n v="601.16"/>
    <n v="82369.399999999994"/>
    <n v="124000.3"/>
    <n v="206369.7"/>
    <n v="26614.400000000001"/>
    <n v="12208.2"/>
    <n v="38822.6"/>
    <n v="30.83"/>
    <n v="0.53"/>
    <n v="12208.2"/>
    <n v="38822.6"/>
    <n v="601.69000000000005"/>
    <n v="1200"/>
    <n v="245192.3"/>
    <n v="30.83"/>
    <n v="4000"/>
  </r>
  <r>
    <s v="4000_0.4_0.5_2000_1.0_order_4"/>
    <x v="1"/>
    <n v="0.4"/>
    <n v="0.5"/>
    <n v="2000"/>
    <n v="1"/>
    <n v="4"/>
    <x v="2"/>
    <n v="350005.1"/>
    <n v="139952.9"/>
    <n v="210052.2"/>
    <n v="1200"/>
    <n v="600.32000000000005"/>
    <n v="81709.100000000006"/>
    <n v="118727.2"/>
    <n v="200436.3"/>
    <n v="26676.7"/>
    <n v="12101.2"/>
    <n v="38777.9"/>
    <n v="31.65"/>
    <n v="0.59"/>
    <n v="12090.2"/>
    <n v="38766.9"/>
    <n v="600.91"/>
    <n v="1199"/>
    <n v="239203.20000000001"/>
    <n v="31.66"/>
    <n v="4000"/>
  </r>
  <r>
    <s v="4000_0.4_0.5_2000_1.0_order_5"/>
    <x v="1"/>
    <n v="0.4"/>
    <n v="0.5"/>
    <n v="2000"/>
    <n v="1"/>
    <n v="5"/>
    <x v="2"/>
    <n v="349985"/>
    <n v="143173.9"/>
    <n v="206811.1"/>
    <n v="1200"/>
    <n v="601.74"/>
    <n v="83697.899999999994"/>
    <n v="116092.6"/>
    <n v="199790.5"/>
    <n v="26276"/>
    <n v="12542.7"/>
    <n v="38818.699999999997"/>
    <n v="31.82"/>
    <n v="0.57999999999999996"/>
    <n v="12517.9"/>
    <n v="38793.9"/>
    <n v="602.32000000000005"/>
    <n v="1200"/>
    <n v="238584.4"/>
    <n v="31.83"/>
    <n v="4000"/>
  </r>
  <r>
    <s v="4000_0.4_0.5_2000_2.0_order_1"/>
    <x v="1"/>
    <n v="0.4"/>
    <n v="0.5"/>
    <n v="2000"/>
    <n v="2"/>
    <n v="1"/>
    <x v="2"/>
    <n v="530065.5"/>
    <n v="200162.8"/>
    <n v="329902.7"/>
    <n v="1200"/>
    <n v="600.02"/>
    <n v="122204"/>
    <n v="189968.6"/>
    <n v="312172.59999999998"/>
    <n v="25123.8"/>
    <n v="11442.7"/>
    <n v="36566.5"/>
    <n v="34.21"/>
    <n v="0.74"/>
    <n v="11439.1"/>
    <n v="36562.9"/>
    <n v="600.76"/>
    <n v="1200"/>
    <n v="348735.5"/>
    <n v="34.21"/>
    <n v="4000"/>
  </r>
  <r>
    <s v="4000_0.4_0.5_2000_2.0_order_2"/>
    <x v="1"/>
    <n v="0.4"/>
    <n v="0.5"/>
    <n v="2000"/>
    <n v="2"/>
    <n v="2"/>
    <x v="2"/>
    <n v="544762.19999999995"/>
    <n v="210074.1"/>
    <n v="334688.09999999998"/>
    <n v="1200"/>
    <n v="601.49"/>
    <n v="129502.5"/>
    <n v="191961.8"/>
    <n v="321464.3"/>
    <n v="24955.8"/>
    <n v="11368"/>
    <n v="36323.800000000003"/>
    <n v="34.32"/>
    <n v="0.67"/>
    <n v="11360.2"/>
    <n v="36316"/>
    <n v="602.16"/>
    <n v="1199"/>
    <n v="357780.3"/>
    <n v="34.32"/>
    <n v="4000"/>
  </r>
  <r>
    <s v="4000_0.4_0.5_2000_2.0_order_3"/>
    <x v="1"/>
    <n v="0.4"/>
    <n v="0.5"/>
    <n v="2000"/>
    <n v="2"/>
    <n v="3"/>
    <x v="2"/>
    <n v="530652.9"/>
    <n v="203092.4"/>
    <n v="327560.5"/>
    <n v="1200"/>
    <n v="600.01"/>
    <n v="125248.5"/>
    <n v="187384.1"/>
    <n v="312632.59999999998"/>
    <n v="24510.799999999999"/>
    <n v="11545"/>
    <n v="36055.800000000003"/>
    <n v="34.29"/>
    <n v="0.8"/>
    <n v="11542.2"/>
    <n v="36053"/>
    <n v="600.80999999999995"/>
    <n v="1199"/>
    <n v="348685.6"/>
    <n v="34.29"/>
    <n v="4000"/>
  </r>
  <r>
    <s v="4000_0.4_0.5_2000_2.0_order_4"/>
    <x v="1"/>
    <n v="0.4"/>
    <n v="0.5"/>
    <n v="2000"/>
    <n v="2"/>
    <n v="4"/>
    <x v="2"/>
    <n v="541149"/>
    <n v="207558.3"/>
    <n v="333590.7"/>
    <n v="1200"/>
    <n v="601.80999999999995"/>
    <n v="126363.5"/>
    <n v="189948.7"/>
    <n v="316312.2"/>
    <n v="24785.8"/>
    <n v="11358.6"/>
    <n v="36144.400000000001"/>
    <n v="34.869999999999997"/>
    <n v="0.72"/>
    <n v="11352.2"/>
    <n v="36138"/>
    <n v="602.53"/>
    <n v="1200"/>
    <n v="352450.2"/>
    <n v="34.869999999999997"/>
    <n v="4000"/>
  </r>
  <r>
    <s v="4000_0.4_0.5_2000_2.0_order_5"/>
    <x v="1"/>
    <n v="0.4"/>
    <n v="0.5"/>
    <n v="2000"/>
    <n v="2"/>
    <n v="5"/>
    <x v="2"/>
    <n v="541488.4"/>
    <n v="211176"/>
    <n v="330312.40000000002"/>
    <n v="1200"/>
    <n v="601.91999999999996"/>
    <n v="128940.1"/>
    <n v="188836.1"/>
    <n v="317776.2"/>
    <n v="24661.3"/>
    <n v="11389.4"/>
    <n v="36050.699999999997"/>
    <n v="34.659999999999997"/>
    <n v="0.8"/>
    <n v="11389.4"/>
    <n v="36050.699999999997"/>
    <n v="602.72"/>
    <n v="1200"/>
    <n v="353826.9"/>
    <n v="34.659999999999997"/>
    <n v="4000"/>
  </r>
  <r>
    <s v="4000_0.4_0.5_2000_3.0_order_1"/>
    <x v="1"/>
    <n v="0.4"/>
    <n v="0.5"/>
    <n v="2000"/>
    <n v="3"/>
    <n v="1"/>
    <x v="2"/>
    <n v="690900.6"/>
    <n v="273563.3"/>
    <n v="417337.3"/>
    <n v="1200"/>
    <n v="600.05999999999995"/>
    <n v="167279.6"/>
    <n v="245505.5"/>
    <n v="412785.1"/>
    <n v="24212.1"/>
    <n v="10291.4"/>
    <n v="34503.5"/>
    <n v="35.26"/>
    <n v="0.83"/>
    <n v="10275.9"/>
    <n v="34488"/>
    <n v="600.9"/>
    <n v="1200"/>
    <n v="447273.1"/>
    <n v="35.26"/>
    <n v="4000"/>
  </r>
  <r>
    <s v="4000_0.4_0.5_2000_3.0_order_2"/>
    <x v="1"/>
    <n v="0.4"/>
    <n v="0.5"/>
    <n v="2000"/>
    <n v="3"/>
    <n v="2"/>
    <x v="2"/>
    <n v="683230.4"/>
    <n v="258189.2"/>
    <n v="425041.2"/>
    <n v="1200"/>
    <n v="601.75"/>
    <n v="155984"/>
    <n v="247153.3"/>
    <n v="403137.3"/>
    <n v="24957.8"/>
    <n v="10871.4"/>
    <n v="35829.199999999997"/>
    <n v="35.75"/>
    <n v="0.61"/>
    <n v="10871.4"/>
    <n v="35829.199999999997"/>
    <n v="602.36"/>
    <n v="1199"/>
    <n v="438966.5"/>
    <n v="35.75"/>
    <n v="4000"/>
  </r>
  <r>
    <s v="4000_0.4_0.5_2000_3.0_order_3"/>
    <x v="1"/>
    <n v="0.4"/>
    <n v="0.5"/>
    <n v="2000"/>
    <n v="3"/>
    <n v="3"/>
    <x v="2"/>
    <n v="685319.4"/>
    <n v="263709.59999999998"/>
    <n v="421609.8"/>
    <n v="1200"/>
    <n v="601.58000000000004"/>
    <n v="159859.9"/>
    <n v="244623.9"/>
    <n v="404483.8"/>
    <n v="24899.3"/>
    <n v="11089"/>
    <n v="35988.300000000003"/>
    <n v="35.729999999999997"/>
    <n v="0.87"/>
    <n v="11089"/>
    <n v="35988.300000000003"/>
    <n v="602.44000000000005"/>
    <n v="1200"/>
    <n v="440472.1"/>
    <n v="35.729999999999997"/>
    <n v="4000"/>
  </r>
  <r>
    <s v="4000_0.4_0.5_2000_3.0_order_4"/>
    <x v="1"/>
    <n v="0.4"/>
    <n v="0.5"/>
    <n v="2000"/>
    <n v="3"/>
    <n v="4"/>
    <x v="2"/>
    <n v="705555.1"/>
    <n v="275391"/>
    <n v="430164.1"/>
    <n v="1200"/>
    <n v="601.78"/>
    <n v="167778.4"/>
    <n v="251737.8"/>
    <n v="419516.2"/>
    <n v="24760.6"/>
    <n v="10692.8"/>
    <n v="35453.4"/>
    <n v="35.520000000000003"/>
    <n v="0.82"/>
    <n v="10684.2"/>
    <n v="35444.800000000003"/>
    <n v="602.61"/>
    <n v="1200"/>
    <n v="454961"/>
    <n v="35.520000000000003"/>
    <n v="4000"/>
  </r>
  <r>
    <s v="4000_0.4_0.5_2000_3.0_order_5"/>
    <x v="1"/>
    <n v="0.4"/>
    <n v="0.5"/>
    <n v="2000"/>
    <n v="3"/>
    <n v="5"/>
    <x v="2"/>
    <n v="690650.8"/>
    <n v="277328.40000000002"/>
    <n v="413322.4"/>
    <n v="1200"/>
    <n v="601.6"/>
    <n v="168447.6"/>
    <n v="239676.3"/>
    <n v="408123.9"/>
    <n v="24219.4"/>
    <n v="10442.299999999999"/>
    <n v="34661.699999999997"/>
    <n v="35.89"/>
    <n v="0.94"/>
    <n v="10442.299999999999"/>
    <n v="34661.699999999997"/>
    <n v="602.54"/>
    <n v="1200"/>
    <n v="442785.6"/>
    <n v="35.89"/>
    <n v="4000"/>
  </r>
  <r>
    <s v="4000_0.4_0.5_500_1.0_order_1"/>
    <x v="1"/>
    <n v="0.4"/>
    <n v="0.5"/>
    <n v="500"/>
    <n v="1"/>
    <n v="1"/>
    <x v="2"/>
    <n v="87661.1"/>
    <n v="35162.800000000003"/>
    <n v="52498.3"/>
    <n v="1200"/>
    <n v="601.91999999999996"/>
    <n v="20856.8"/>
    <n v="29902.9"/>
    <n v="50759.7"/>
    <n v="13621.9"/>
    <n v="3781.2"/>
    <n v="17403.099999999999"/>
    <n v="22.24"/>
    <n v="0.6"/>
    <n v="3773.4"/>
    <n v="17395.3"/>
    <n v="602.53"/>
    <n v="1073"/>
    <n v="68155"/>
    <n v="22.25"/>
    <n v="4000"/>
  </r>
  <r>
    <s v="4000_0.4_0.5_500_1.0_order_2"/>
    <x v="1"/>
    <n v="0.4"/>
    <n v="0.5"/>
    <n v="500"/>
    <n v="1"/>
    <n v="2"/>
    <x v="2"/>
    <n v="89703.4"/>
    <n v="36386.6"/>
    <n v="53316.800000000003"/>
    <n v="1200"/>
    <n v="601.74"/>
    <n v="20880"/>
    <n v="30368"/>
    <n v="51248"/>
    <n v="13692.4"/>
    <n v="3847.4"/>
    <n v="17539.8"/>
    <n v="23.32"/>
    <n v="1"/>
    <n v="3821.6"/>
    <n v="17514"/>
    <n v="602.74"/>
    <n v="1112"/>
    <n v="68762"/>
    <n v="23.35"/>
    <n v="4000"/>
  </r>
  <r>
    <s v="4000_0.4_0.5_500_1.0_order_3"/>
    <x v="1"/>
    <n v="0.4"/>
    <n v="0.5"/>
    <n v="500"/>
    <n v="1"/>
    <n v="3"/>
    <x v="2"/>
    <n v="91355.9"/>
    <n v="35827.599999999999"/>
    <n v="55528.3"/>
    <n v="1200"/>
    <n v="602.1"/>
    <n v="20869.8"/>
    <n v="31261.1"/>
    <n v="52130.9"/>
    <n v="13725.3"/>
    <n v="3923.3"/>
    <n v="17648.599999999999"/>
    <n v="23.62"/>
    <n v="0.74"/>
    <n v="3923.3"/>
    <n v="17648.599999999999"/>
    <n v="602.84"/>
    <n v="1123"/>
    <n v="69779.5"/>
    <n v="23.62"/>
    <n v="4000"/>
  </r>
  <r>
    <s v="4000_0.4_0.5_500_1.0_order_4"/>
    <x v="1"/>
    <n v="0.4"/>
    <n v="0.5"/>
    <n v="500"/>
    <n v="1"/>
    <n v="4"/>
    <x v="2"/>
    <n v="87928.6"/>
    <n v="35207.4"/>
    <n v="52721.2"/>
    <n v="1200"/>
    <n v="601.83000000000004"/>
    <n v="20328.5"/>
    <n v="28949.200000000001"/>
    <n v="49277.7"/>
    <n v="14169.1"/>
    <n v="3995.2"/>
    <n v="18164.3"/>
    <n v="23.3"/>
    <n v="0.61"/>
    <n v="3969.7"/>
    <n v="18138.8"/>
    <n v="602.45000000000005"/>
    <n v="1088"/>
    <n v="67416.5"/>
    <n v="23.33"/>
    <n v="4000"/>
  </r>
  <r>
    <s v="4000_0.4_0.5_500_1.0_order_5"/>
    <x v="1"/>
    <n v="0.4"/>
    <n v="0.5"/>
    <n v="500"/>
    <n v="1"/>
    <n v="5"/>
    <x v="2"/>
    <n v="88814"/>
    <n v="36737.1"/>
    <n v="52076.9"/>
    <n v="1200"/>
    <n v="601.79"/>
    <n v="21291.200000000001"/>
    <n v="29541.200000000001"/>
    <n v="50832.4"/>
    <n v="13325.9"/>
    <n v="3839"/>
    <n v="17164.900000000001"/>
    <n v="23.44"/>
    <n v="0.56000000000000005"/>
    <n v="3827.5"/>
    <n v="17153.400000000001"/>
    <n v="602.35"/>
    <n v="1038"/>
    <n v="67985.8"/>
    <n v="23.45"/>
    <n v="4000"/>
  </r>
  <r>
    <s v="4000_0.4_0.5_500_2.0_order_1"/>
    <x v="1"/>
    <n v="0.4"/>
    <n v="0.5"/>
    <n v="500"/>
    <n v="2"/>
    <n v="1"/>
    <x v="2"/>
    <n v="137052.1"/>
    <n v="54121"/>
    <n v="82931.100000000006"/>
    <n v="1200"/>
    <n v="600.01"/>
    <n v="30977"/>
    <n v="44019.4"/>
    <n v="74996.399999999994"/>
    <n v="15562.4"/>
    <n v="5687.8"/>
    <n v="21250.2"/>
    <n v="29.77"/>
    <n v="0.95"/>
    <n v="5678.6"/>
    <n v="21241"/>
    <n v="600.96"/>
    <n v="1200"/>
    <n v="96237.4"/>
    <n v="29.78"/>
    <n v="4000"/>
  </r>
  <r>
    <s v="4000_0.4_0.5_500_2.0_order_2"/>
    <x v="1"/>
    <n v="0.4"/>
    <n v="0.5"/>
    <n v="500"/>
    <n v="2"/>
    <n v="2"/>
    <x v="2"/>
    <n v="137294.79999999999"/>
    <n v="54229.3"/>
    <n v="83065.5"/>
    <n v="1200"/>
    <n v="602.48"/>
    <n v="30638.5"/>
    <n v="42951.4"/>
    <n v="73589.899999999994"/>
    <n v="15841"/>
    <n v="5456"/>
    <n v="21297"/>
    <n v="30.89"/>
    <n v="0.81"/>
    <n v="5437.2"/>
    <n v="21278.2"/>
    <n v="603.29"/>
    <n v="1199"/>
    <n v="94868.1"/>
    <n v="30.9"/>
    <n v="4000"/>
  </r>
  <r>
    <s v="4000_0.4_0.5_500_2.0_order_3"/>
    <x v="1"/>
    <n v="0.4"/>
    <n v="0.5"/>
    <n v="500"/>
    <n v="2"/>
    <n v="3"/>
    <x v="2"/>
    <n v="135124.1"/>
    <n v="51690.400000000001"/>
    <n v="83433.7"/>
    <n v="1200"/>
    <n v="601.6"/>
    <n v="29730"/>
    <n v="43549.599999999999"/>
    <n v="73279.600000000006"/>
    <n v="15180.8"/>
    <n v="5518.1"/>
    <n v="20698.900000000001"/>
    <n v="30.45"/>
    <n v="0.99"/>
    <n v="5504.9"/>
    <n v="20685.7"/>
    <n v="602.58000000000004"/>
    <n v="1199"/>
    <n v="93965.3"/>
    <n v="30.46"/>
    <n v="4000"/>
  </r>
  <r>
    <s v="4000_0.4_0.5_500_2.0_order_4"/>
    <x v="1"/>
    <n v="0.4"/>
    <n v="0.5"/>
    <n v="500"/>
    <n v="2"/>
    <n v="4"/>
    <x v="2"/>
    <n v="135231.9"/>
    <n v="54366.2"/>
    <n v="80865.7"/>
    <n v="1200"/>
    <n v="600"/>
    <n v="31928.9"/>
    <n v="44776.6"/>
    <n v="76705.5"/>
    <n v="14327.5"/>
    <n v="5597.1"/>
    <n v="19924.599999999999"/>
    <n v="28.54"/>
    <n v="1.17"/>
    <n v="5574.6"/>
    <n v="19902.099999999999"/>
    <n v="601.16999999999996"/>
    <n v="1199"/>
    <n v="96607.6"/>
    <n v="28.56"/>
    <n v="4000"/>
  </r>
  <r>
    <s v="4000_0.4_0.5_500_2.0_order_5"/>
    <x v="1"/>
    <n v="0.4"/>
    <n v="0.5"/>
    <n v="500"/>
    <n v="2"/>
    <n v="5"/>
    <x v="2"/>
    <n v="136797.6"/>
    <n v="54167"/>
    <n v="82630.600000000006"/>
    <n v="1200"/>
    <n v="602.24"/>
    <n v="31078.1"/>
    <n v="43522.400000000001"/>
    <n v="74600.5"/>
    <n v="15266"/>
    <n v="5515.4"/>
    <n v="20781.400000000001"/>
    <n v="30.28"/>
    <n v="1.08"/>
    <n v="5510.4"/>
    <n v="20776.400000000001"/>
    <n v="603.30999999999995"/>
    <n v="1199"/>
    <n v="95376.9"/>
    <n v="30.28"/>
    <n v="4000"/>
  </r>
  <r>
    <s v="4000_0.4_0.5_500_3.0_order_1"/>
    <x v="1"/>
    <n v="0.4"/>
    <n v="0.5"/>
    <n v="500"/>
    <n v="3"/>
    <n v="1"/>
    <x v="2"/>
    <n v="171391.1"/>
    <n v="67717.2"/>
    <n v="103673.9"/>
    <n v="1200"/>
    <n v="602.15"/>
    <n v="38420.699999999997"/>
    <n v="54858.7"/>
    <n v="93279.4"/>
    <n v="16165"/>
    <n v="6938.2"/>
    <n v="23103.200000000001"/>
    <n v="32.1"/>
    <n v="0.84"/>
    <n v="6919.8"/>
    <n v="23084.799999999999"/>
    <n v="602.99"/>
    <n v="1200"/>
    <n v="116364.2"/>
    <n v="32.11"/>
    <n v="4000"/>
  </r>
  <r>
    <s v="4000_0.4_0.5_500_3.0_order_2"/>
    <x v="1"/>
    <n v="0.4"/>
    <n v="0.5"/>
    <n v="500"/>
    <n v="3"/>
    <n v="2"/>
    <x v="2"/>
    <n v="182732.3"/>
    <n v="70909.8"/>
    <n v="111822.5"/>
    <n v="1200"/>
    <n v="602.28"/>
    <n v="40640.699999999997"/>
    <n v="58623"/>
    <n v="99263.7"/>
    <n v="16619"/>
    <n v="7218.1"/>
    <n v="23837.1"/>
    <n v="32.630000000000003"/>
    <n v="0.91"/>
    <n v="7193.1"/>
    <n v="23812.1"/>
    <n v="603.19000000000005"/>
    <n v="1200"/>
    <n v="123075.8"/>
    <n v="32.65"/>
    <n v="4000"/>
  </r>
  <r>
    <s v="4000_0.4_0.5_500_3.0_order_3"/>
    <x v="1"/>
    <n v="0.4"/>
    <n v="0.5"/>
    <n v="500"/>
    <n v="3"/>
    <n v="3"/>
    <x v="2"/>
    <n v="170968.9"/>
    <n v="66311"/>
    <n v="104657.9"/>
    <n v="1200"/>
    <n v="602.24"/>
    <n v="37466.5"/>
    <n v="55173.8"/>
    <n v="92640.3"/>
    <n v="16147.8"/>
    <n v="6851.8"/>
    <n v="22999.599999999999"/>
    <n v="32.36"/>
    <n v="1.06"/>
    <n v="6838.6"/>
    <n v="22986.400000000001"/>
    <n v="603.29999999999995"/>
    <n v="1200"/>
    <n v="115626.7"/>
    <n v="32.369999999999997"/>
    <n v="4000"/>
  </r>
  <r>
    <s v="4000_0.4_0.5_500_3.0_order_4"/>
    <x v="1"/>
    <n v="0.4"/>
    <n v="0.5"/>
    <n v="500"/>
    <n v="3"/>
    <n v="4"/>
    <x v="2"/>
    <n v="176088"/>
    <n v="67017.2"/>
    <n v="109070.8"/>
    <n v="1200"/>
    <n v="600.03"/>
    <n v="37984.5"/>
    <n v="58286.1"/>
    <n v="96270.6"/>
    <n v="16605.2"/>
    <n v="6963.7"/>
    <n v="23568.9"/>
    <n v="31.94"/>
    <n v="0.9"/>
    <n v="6917.4"/>
    <n v="23522.6"/>
    <n v="600.91999999999996"/>
    <n v="1200"/>
    <n v="119793.2"/>
    <n v="31.97"/>
    <n v="4000"/>
  </r>
  <r>
    <s v="4000_0.4_0.5_500_3.0_order_5"/>
    <x v="1"/>
    <n v="0.4"/>
    <n v="0.5"/>
    <n v="500"/>
    <n v="3"/>
    <n v="5"/>
    <x v="2"/>
    <n v="180565.1"/>
    <n v="70104.7"/>
    <n v="110460.4"/>
    <n v="1200"/>
    <n v="601.26"/>
    <n v="39950.9"/>
    <n v="57549.599999999999"/>
    <n v="97500.5"/>
    <n v="16755"/>
    <n v="7063.4"/>
    <n v="23818.400000000001"/>
    <n v="32.81"/>
    <n v="0.71"/>
    <n v="7051.5"/>
    <n v="23806.5"/>
    <n v="601.97"/>
    <n v="1198"/>
    <n v="121307"/>
    <n v="32.82"/>
    <n v="4000"/>
  </r>
  <r>
    <s v="800_0.2_0.5_1000_1.0_order_1"/>
    <x v="2"/>
    <n v="0.2"/>
    <n v="0.5"/>
    <n v="1000"/>
    <n v="1"/>
    <n v="1"/>
    <x v="2"/>
    <n v="87087.3"/>
    <n v="36452.6"/>
    <n v="50634.7"/>
    <n v="240"/>
    <n v="600.79"/>
    <n v="25919.4"/>
    <n v="37511.300000000003"/>
    <n v="63430.7"/>
    <n v="3292.1"/>
    <n v="853.5"/>
    <n v="4145.6000000000004"/>
    <n v="22.4"/>
    <n v="0.01"/>
    <n v="853.5"/>
    <n v="4145.6000000000004"/>
    <n v="600.79999999999995"/>
    <n v="240"/>
    <n v="67576.3"/>
    <n v="22.4"/>
    <n v="800"/>
  </r>
  <r>
    <s v="800_0.2_0.5_1000_1.0_order_2"/>
    <x v="2"/>
    <n v="0.2"/>
    <n v="0.5"/>
    <n v="1000"/>
    <n v="1"/>
    <n v="2"/>
    <x v="2"/>
    <n v="85252.3"/>
    <n v="35206.400000000001"/>
    <n v="50045.9"/>
    <n v="240"/>
    <n v="600.45000000000005"/>
    <n v="25749.9"/>
    <n v="37484.1"/>
    <n v="63234"/>
    <n v="3364.4"/>
    <n v="875.5"/>
    <n v="4239.8999999999996"/>
    <n v="20.85"/>
    <n v="0.01"/>
    <n v="875.5"/>
    <n v="4239.8999999999996"/>
    <n v="600.46"/>
    <n v="240"/>
    <n v="67473.899999999994"/>
    <n v="20.85"/>
    <n v="800"/>
  </r>
  <r>
    <s v="800_0.2_0.5_1000_1.0_order_3"/>
    <x v="2"/>
    <n v="0.2"/>
    <n v="0.5"/>
    <n v="1000"/>
    <n v="1"/>
    <n v="3"/>
    <x v="2"/>
    <n v="83157.600000000006"/>
    <n v="33716.1"/>
    <n v="49441.5"/>
    <n v="240"/>
    <n v="600"/>
    <n v="24719.5"/>
    <n v="36920.400000000001"/>
    <n v="61639.9"/>
    <n v="3009.4"/>
    <n v="871.7"/>
    <n v="3881.1"/>
    <n v="21.21"/>
    <n v="0.01"/>
    <n v="828.7"/>
    <n v="3838.1"/>
    <n v="600.01"/>
    <n v="240"/>
    <n v="65478"/>
    <n v="21.26"/>
    <n v="800"/>
  </r>
  <r>
    <s v="800_0.2_0.5_1000_1.0_order_4"/>
    <x v="2"/>
    <n v="0.2"/>
    <n v="0.5"/>
    <n v="1000"/>
    <n v="1"/>
    <n v="4"/>
    <x v="2"/>
    <n v="84371.6"/>
    <n v="35098.199999999997"/>
    <n v="49273.4"/>
    <n v="240"/>
    <n v="600.29999999999995"/>
    <n v="26084.7"/>
    <n v="37185.199999999997"/>
    <n v="63269.9"/>
    <n v="3261.3"/>
    <n v="813.1"/>
    <n v="4074.4"/>
    <n v="20.18"/>
    <n v="0.01"/>
    <n v="813.1"/>
    <n v="4074.4"/>
    <n v="600.29999999999995"/>
    <n v="240"/>
    <n v="67344.3"/>
    <n v="20.18"/>
    <n v="800"/>
  </r>
  <r>
    <s v="800_0.2_0.5_1000_1.0_order_5"/>
    <x v="2"/>
    <n v="0.2"/>
    <n v="0.5"/>
    <n v="1000"/>
    <n v="1"/>
    <n v="5"/>
    <x v="2"/>
    <n v="86498.4"/>
    <n v="34835"/>
    <n v="51663.4"/>
    <n v="240"/>
    <n v="600.95000000000005"/>
    <n v="25270.799999999999"/>
    <n v="38307.800000000003"/>
    <n v="63578.6"/>
    <n v="3157.5"/>
    <n v="804"/>
    <n v="3961.5"/>
    <n v="21.92"/>
    <n v="0.01"/>
    <n v="804"/>
    <n v="3961.5"/>
    <n v="600.96"/>
    <n v="240"/>
    <n v="67540.100000000006"/>
    <n v="21.92"/>
    <n v="800"/>
  </r>
  <r>
    <s v="800_0.2_0.5_1000_2.0_order_1"/>
    <x v="2"/>
    <n v="0.2"/>
    <n v="0.5"/>
    <n v="1000"/>
    <n v="2"/>
    <n v="1"/>
    <x v="2"/>
    <n v="124979.2"/>
    <n v="52678.5"/>
    <n v="72300.7"/>
    <n v="240"/>
    <n v="600.87"/>
    <n v="39350.6"/>
    <n v="53951.7"/>
    <n v="93302.3"/>
    <n v="3057.2"/>
    <n v="860.1"/>
    <n v="3917.3"/>
    <n v="22.21"/>
    <n v="0.01"/>
    <n v="860.1"/>
    <n v="3917.3"/>
    <n v="600.89"/>
    <n v="240"/>
    <n v="97219.6"/>
    <n v="22.21"/>
    <n v="800"/>
  </r>
  <r>
    <s v="800_0.2_0.5_1000_2.0_order_2"/>
    <x v="2"/>
    <n v="0.2"/>
    <n v="0.5"/>
    <n v="1000"/>
    <n v="2"/>
    <n v="2"/>
    <x v="2"/>
    <n v="123878"/>
    <n v="49806.9"/>
    <n v="74071.100000000006"/>
    <n v="240"/>
    <n v="600.54"/>
    <n v="37664.1"/>
    <n v="55318.400000000001"/>
    <n v="92982.5"/>
    <n v="3207.2"/>
    <n v="790.1"/>
    <n v="3997.3"/>
    <n v="21.71"/>
    <n v="0.01"/>
    <n v="790.1"/>
    <n v="3997.3"/>
    <n v="600.54999999999995"/>
    <n v="240"/>
    <n v="96979.8"/>
    <n v="21.71"/>
    <n v="800"/>
  </r>
  <r>
    <s v="800_0.2_0.5_1000_2.0_order_3"/>
    <x v="2"/>
    <n v="0.2"/>
    <n v="0.5"/>
    <n v="1000"/>
    <n v="2"/>
    <n v="3"/>
    <x v="2"/>
    <n v="122027.6"/>
    <n v="48486.3"/>
    <n v="73541.3"/>
    <n v="240"/>
    <n v="600.14"/>
    <n v="36674.800000000003"/>
    <n v="54783.9"/>
    <n v="91458.7"/>
    <n v="3063.3"/>
    <n v="849.5"/>
    <n v="3912.8"/>
    <n v="21.84"/>
    <n v="0.02"/>
    <n v="837.1"/>
    <n v="3900.4"/>
    <n v="600.16"/>
    <n v="240"/>
    <n v="95359.1"/>
    <n v="21.85"/>
    <n v="800"/>
  </r>
  <r>
    <s v="800_0.2_0.5_1000_2.0_order_4"/>
    <x v="2"/>
    <n v="0.2"/>
    <n v="0.5"/>
    <n v="1000"/>
    <n v="2"/>
    <n v="4"/>
    <x v="2"/>
    <n v="125666.4"/>
    <n v="50755.1"/>
    <n v="74911.3"/>
    <n v="240"/>
    <n v="600.97"/>
    <n v="37648.5"/>
    <n v="55994.7"/>
    <n v="93643.199999999997"/>
    <n v="3079.2"/>
    <n v="858.7"/>
    <n v="3937.9"/>
    <n v="22.35"/>
    <n v="0.01"/>
    <n v="858.7"/>
    <n v="3937.9"/>
    <n v="600.98"/>
    <n v="240"/>
    <n v="97581.1"/>
    <n v="22.35"/>
    <n v="800"/>
  </r>
  <r>
    <s v="800_0.2_0.5_1000_2.0_order_5"/>
    <x v="2"/>
    <n v="0.2"/>
    <n v="0.5"/>
    <n v="1000"/>
    <n v="2"/>
    <n v="5"/>
    <x v="2"/>
    <n v="123503.4"/>
    <n v="49154.400000000001"/>
    <n v="74349"/>
    <n v="240"/>
    <n v="600.39"/>
    <n v="37821.4"/>
    <n v="56407.6"/>
    <n v="94229"/>
    <n v="2876.3"/>
    <n v="850.8"/>
    <n v="3727.1"/>
    <n v="20.69"/>
    <n v="0.01"/>
    <n v="840.7"/>
    <n v="3717"/>
    <n v="600.41"/>
    <n v="240"/>
    <n v="97946"/>
    <n v="20.69"/>
    <n v="800"/>
  </r>
  <r>
    <s v="800_0.2_0.5_1000_3.0_order_1"/>
    <x v="2"/>
    <n v="0.2"/>
    <n v="0.5"/>
    <n v="1000"/>
    <n v="3"/>
    <n v="1"/>
    <x v="2"/>
    <n v="148479.1"/>
    <n v="59976.5"/>
    <n v="88502.6"/>
    <n v="240"/>
    <n v="600.36"/>
    <n v="46410.9"/>
    <n v="68239.3"/>
    <n v="114650.2"/>
    <n v="3090.2"/>
    <n v="857.2"/>
    <n v="3947.4"/>
    <n v="20.13"/>
    <n v="0.02"/>
    <n v="843.9"/>
    <n v="3934.1"/>
    <n v="600.38"/>
    <n v="239"/>
    <n v="118584.3"/>
    <n v="20.13"/>
    <n v="800"/>
  </r>
  <r>
    <s v="800_0.2_0.5_1000_3.0_order_2"/>
    <x v="2"/>
    <n v="0.2"/>
    <n v="0.5"/>
    <n v="1000"/>
    <n v="3"/>
    <n v="2"/>
    <x v="2"/>
    <n v="154768.20000000001"/>
    <n v="63488.1"/>
    <n v="91280.1"/>
    <n v="240"/>
    <n v="600.01"/>
    <n v="47503.5"/>
    <n v="67520.600000000006"/>
    <n v="115024.1"/>
    <n v="3122.5"/>
    <n v="869.6"/>
    <n v="3992.1"/>
    <n v="23.1"/>
    <n v="0.02"/>
    <n v="869.6"/>
    <n v="3992.1"/>
    <n v="600.02"/>
    <n v="240"/>
    <n v="119016.2"/>
    <n v="23.1"/>
    <n v="800"/>
  </r>
  <r>
    <s v="800_0.2_0.5_1000_3.0_order_3"/>
    <x v="2"/>
    <n v="0.2"/>
    <n v="0.5"/>
    <n v="1000"/>
    <n v="3"/>
    <n v="3"/>
    <x v="2"/>
    <n v="154773.79999999999"/>
    <n v="62475.5"/>
    <n v="92298.3"/>
    <n v="240"/>
    <n v="600.4"/>
    <n v="46381.7"/>
    <n v="68494.2"/>
    <n v="114875.9"/>
    <n v="3127.7"/>
    <n v="828.7"/>
    <n v="3956.4"/>
    <n v="23.22"/>
    <n v="0.01"/>
    <n v="827.3"/>
    <n v="3955"/>
    <n v="600.41"/>
    <n v="240"/>
    <n v="118830.9"/>
    <n v="23.22"/>
    <n v="800"/>
  </r>
  <r>
    <s v="800_0.2_0.5_1000_3.0_order_4"/>
    <x v="2"/>
    <n v="0.2"/>
    <n v="0.5"/>
    <n v="1000"/>
    <n v="3"/>
    <n v="4"/>
    <x v="2"/>
    <n v="156995.70000000001"/>
    <n v="65727.199999999997"/>
    <n v="91268.5"/>
    <n v="240"/>
    <n v="600.76"/>
    <n v="48151.7"/>
    <n v="67343.7"/>
    <n v="115495.4"/>
    <n v="2967.7"/>
    <n v="807.6"/>
    <n v="3775.3"/>
    <n v="24.03"/>
    <n v="0.02"/>
    <n v="807.6"/>
    <n v="3775.3"/>
    <n v="600.78"/>
    <n v="240"/>
    <n v="119270.7"/>
    <n v="24.03"/>
    <n v="800"/>
  </r>
  <r>
    <s v="800_0.2_0.5_1000_3.0_order_5"/>
    <x v="2"/>
    <n v="0.2"/>
    <n v="0.5"/>
    <n v="1000"/>
    <n v="3"/>
    <n v="5"/>
    <x v="2"/>
    <n v="153496.9"/>
    <n v="61169.2"/>
    <n v="92327.7"/>
    <n v="240"/>
    <n v="600.14"/>
    <n v="45809"/>
    <n v="69105.399999999994"/>
    <n v="114914.4"/>
    <n v="3106.6"/>
    <n v="923.1"/>
    <n v="4029.7"/>
    <n v="22.51"/>
    <n v="0.02"/>
    <n v="916.7"/>
    <n v="4023.3"/>
    <n v="600.16"/>
    <n v="240"/>
    <n v="118937.7"/>
    <n v="22.51"/>
    <n v="800"/>
  </r>
  <r>
    <s v="800_0.2_0.5_2000_1.0_order_1"/>
    <x v="2"/>
    <n v="0.2"/>
    <n v="0.5"/>
    <n v="2000"/>
    <n v="1"/>
    <n v="1"/>
    <x v="2"/>
    <n v="170586.4"/>
    <n v="68832.399999999994"/>
    <n v="101754"/>
    <n v="240"/>
    <n v="600.01"/>
    <n v="52547.5"/>
    <n v="78001.2"/>
    <n v="130548.7"/>
    <n v="3132"/>
    <n v="942.6"/>
    <n v="4074.6"/>
    <n v="21.08"/>
    <n v="0.01"/>
    <n v="941.2"/>
    <n v="4073.2"/>
    <n v="600.02"/>
    <n v="240"/>
    <n v="134621.9"/>
    <n v="21.08"/>
    <n v="800"/>
  </r>
  <r>
    <s v="800_0.2_0.5_2000_1.0_order_2"/>
    <x v="2"/>
    <n v="0.2"/>
    <n v="0.5"/>
    <n v="2000"/>
    <n v="1"/>
    <n v="2"/>
    <x v="2"/>
    <n v="165460"/>
    <n v="69625.7"/>
    <n v="95834.3"/>
    <n v="240"/>
    <n v="600.16999999999996"/>
    <n v="54312.6"/>
    <n v="74472.5"/>
    <n v="128785.1"/>
    <n v="3244.7"/>
    <n v="870.8"/>
    <n v="4115.5"/>
    <n v="19.68"/>
    <n v="0.01"/>
    <n v="870.8"/>
    <n v="4115.5"/>
    <n v="600.17999999999995"/>
    <n v="240"/>
    <n v="132900.6"/>
    <n v="19.68"/>
    <n v="800"/>
  </r>
  <r>
    <s v="800_0.2_0.5_2000_1.0_order_3"/>
    <x v="2"/>
    <n v="0.2"/>
    <n v="0.5"/>
    <n v="2000"/>
    <n v="1"/>
    <n v="3"/>
    <x v="2"/>
    <n v="168221.5"/>
    <n v="70384.5"/>
    <n v="97837"/>
    <n v="240"/>
    <n v="600.05999999999995"/>
    <n v="52625.5"/>
    <n v="74682.899999999994"/>
    <n v="127308.4"/>
    <n v="3409.6"/>
    <n v="957.7"/>
    <n v="4367.3"/>
    <n v="21.72"/>
    <n v="0.01"/>
    <n v="938.3"/>
    <n v="4347.8999999999996"/>
    <n v="600.07000000000005"/>
    <n v="240"/>
    <n v="131656.29999999999"/>
    <n v="21.74"/>
    <n v="800"/>
  </r>
  <r>
    <s v="800_0.2_0.5_2000_1.0_order_4"/>
    <x v="2"/>
    <n v="0.2"/>
    <n v="0.5"/>
    <n v="2000"/>
    <n v="1"/>
    <n v="4"/>
    <x v="2"/>
    <n v="168917.2"/>
    <n v="69517.8"/>
    <n v="99399.4"/>
    <n v="240"/>
    <n v="600.30999999999995"/>
    <n v="51523.6"/>
    <n v="76132.899999999994"/>
    <n v="127656.5"/>
    <n v="3359.3"/>
    <n v="1002.5"/>
    <n v="4361.8"/>
    <n v="21.84"/>
    <n v="0.01"/>
    <n v="979.5"/>
    <n v="4338.8"/>
    <n v="600.32000000000005"/>
    <n v="240"/>
    <n v="131995.29999999999"/>
    <n v="21.86"/>
    <n v="800"/>
  </r>
  <r>
    <s v="800_0.2_0.5_2000_1.0_order_5"/>
    <x v="2"/>
    <n v="0.2"/>
    <n v="0.5"/>
    <n v="2000"/>
    <n v="1"/>
    <n v="5"/>
    <x v="2"/>
    <n v="168479.3"/>
    <n v="68009.100000000006"/>
    <n v="100470.2"/>
    <n v="240"/>
    <n v="600.91999999999996"/>
    <n v="50560.3"/>
    <n v="74835.5"/>
    <n v="125395.8"/>
    <n v="3381.3"/>
    <n v="891.2"/>
    <n v="4272.5"/>
    <n v="23.04"/>
    <n v="0.01"/>
    <n v="891.2"/>
    <n v="4272.5"/>
    <n v="600.94000000000005"/>
    <n v="240"/>
    <n v="129668.3"/>
    <n v="23.04"/>
    <n v="800"/>
  </r>
  <r>
    <s v="800_0.2_0.5_2000_2.0_order_1"/>
    <x v="2"/>
    <n v="0.2"/>
    <n v="0.5"/>
    <n v="2000"/>
    <n v="2"/>
    <n v="1"/>
    <x v="2"/>
    <n v="245290.8"/>
    <n v="101416.6"/>
    <n v="143874.20000000001"/>
    <n v="240"/>
    <n v="600.05999999999995"/>
    <n v="76621"/>
    <n v="109828.2"/>
    <n v="186449.2"/>
    <n v="3307.3"/>
    <n v="931.9"/>
    <n v="4239.2"/>
    <n v="22.26"/>
    <n v="0.01"/>
    <n v="909.5"/>
    <n v="4216.8"/>
    <n v="600.07000000000005"/>
    <n v="240"/>
    <n v="190666"/>
    <n v="22.27"/>
    <n v="800"/>
  </r>
  <r>
    <s v="800_0.2_0.5_2000_2.0_order_2"/>
    <x v="2"/>
    <n v="0.2"/>
    <n v="0.5"/>
    <n v="2000"/>
    <n v="2"/>
    <n v="2"/>
    <x v="2"/>
    <n v="244984.3"/>
    <n v="99494.9"/>
    <n v="145489.4"/>
    <n v="240"/>
    <n v="600.88"/>
    <n v="77135.600000000006"/>
    <n v="111155.1"/>
    <n v="188290.7"/>
    <n v="3198.6"/>
    <n v="893.1"/>
    <n v="4091.7"/>
    <n v="21.47"/>
    <n v="0.02"/>
    <n v="893.1"/>
    <n v="4091.7"/>
    <n v="600.9"/>
    <n v="240"/>
    <n v="192382.4"/>
    <n v="21.47"/>
    <n v="800"/>
  </r>
  <r>
    <s v="800_0.2_0.5_2000_2.0_order_3"/>
    <x v="2"/>
    <n v="0.2"/>
    <n v="0.5"/>
    <n v="2000"/>
    <n v="2"/>
    <n v="3"/>
    <x v="2"/>
    <n v="246364.79999999999"/>
    <n v="99776.2"/>
    <n v="146588.6"/>
    <n v="240"/>
    <n v="600.95000000000005"/>
    <n v="76933.399999999994"/>
    <n v="110589.7"/>
    <n v="187523.1"/>
    <n v="3109.1"/>
    <n v="965.6"/>
    <n v="4074.7"/>
    <n v="22.23"/>
    <n v="0.02"/>
    <n v="965.6"/>
    <n v="4074.7"/>
    <n v="600.97"/>
    <n v="240"/>
    <n v="191597.8"/>
    <n v="22.23"/>
    <n v="800"/>
  </r>
  <r>
    <s v="800_0.2_0.5_2000_2.0_order_4"/>
    <x v="2"/>
    <n v="0.2"/>
    <n v="0.5"/>
    <n v="2000"/>
    <n v="2"/>
    <n v="4"/>
    <x v="2"/>
    <n v="242464.7"/>
    <n v="99473.1"/>
    <n v="142991.6"/>
    <n v="240"/>
    <n v="600.30999999999995"/>
    <n v="77115.3"/>
    <n v="110013.6"/>
    <n v="187128.9"/>
    <n v="3189.9"/>
    <n v="914.5"/>
    <n v="4104.3999999999996"/>
    <n v="21.13"/>
    <n v="0.02"/>
    <n v="914.5"/>
    <n v="4104.3999999999996"/>
    <n v="600.33000000000004"/>
    <n v="240"/>
    <n v="191233.3"/>
    <n v="21.13"/>
    <n v="800"/>
  </r>
  <r>
    <s v="800_0.2_0.5_2000_2.0_order_5"/>
    <x v="2"/>
    <n v="0.2"/>
    <n v="0.5"/>
    <n v="2000"/>
    <n v="2"/>
    <n v="5"/>
    <x v="2"/>
    <n v="247997.4"/>
    <n v="101583.4"/>
    <n v="146414"/>
    <n v="240"/>
    <n v="600"/>
    <n v="76547"/>
    <n v="111212.1"/>
    <n v="187759.1"/>
    <n v="3244.7"/>
    <n v="1025.2"/>
    <n v="4269.8999999999996"/>
    <n v="22.57"/>
    <n v="0.01"/>
    <n v="1025.2"/>
    <n v="4269.8999999999996"/>
    <n v="600.01"/>
    <n v="240"/>
    <n v="192029"/>
    <n v="22.57"/>
    <n v="800"/>
  </r>
  <r>
    <s v="800_0.2_0.5_2000_3.0_order_1"/>
    <x v="2"/>
    <n v="0.2"/>
    <n v="0.5"/>
    <n v="2000"/>
    <n v="3"/>
    <n v="1"/>
    <x v="2"/>
    <n v="299881.40000000002"/>
    <n v="120588.9"/>
    <n v="179292.5"/>
    <n v="240"/>
    <n v="600.62"/>
    <n v="93127.5"/>
    <n v="137580.9"/>
    <n v="230708.4"/>
    <n v="3268.1"/>
    <n v="918.4"/>
    <n v="4186.5"/>
    <n v="21.67"/>
    <n v="0.02"/>
    <n v="905.3"/>
    <n v="4173.3999999999996"/>
    <n v="600.64"/>
    <n v="240"/>
    <n v="234881.8"/>
    <n v="21.68"/>
    <n v="800"/>
  </r>
  <r>
    <s v="800_0.2_0.5_2000_3.0_order_2"/>
    <x v="2"/>
    <n v="0.2"/>
    <n v="0.5"/>
    <n v="2000"/>
    <n v="3"/>
    <n v="2"/>
    <x v="2"/>
    <n v="313359.5"/>
    <n v="131053.2"/>
    <n v="182306.3"/>
    <n v="240"/>
    <n v="600.88"/>
    <n v="100479.7"/>
    <n v="138071"/>
    <n v="238550.7"/>
    <n v="3230.4"/>
    <n v="1054.8"/>
    <n v="4285.2"/>
    <n v="22.51"/>
    <n v="0.01"/>
    <n v="1054.8"/>
    <n v="4285.2"/>
    <n v="600.89"/>
    <n v="240"/>
    <n v="242835.9"/>
    <n v="22.51"/>
    <n v="800"/>
  </r>
  <r>
    <s v="800_0.2_0.5_2000_3.0_order_3"/>
    <x v="2"/>
    <n v="0.2"/>
    <n v="0.5"/>
    <n v="2000"/>
    <n v="3"/>
    <n v="3"/>
    <x v="2"/>
    <n v="312901.7"/>
    <n v="123616.3"/>
    <n v="189285.4"/>
    <n v="240"/>
    <n v="600.21"/>
    <n v="93952.8"/>
    <n v="142821.6"/>
    <n v="236774.39999999999"/>
    <n v="3387.8"/>
    <n v="996.9"/>
    <n v="4384.7"/>
    <n v="22.93"/>
    <n v="0.01"/>
    <n v="995.5"/>
    <n v="4383.3"/>
    <n v="600.22"/>
    <n v="240"/>
    <n v="241157.7"/>
    <n v="22.93"/>
    <n v="800"/>
  </r>
  <r>
    <s v="800_0.2_0.5_2000_3.0_order_4"/>
    <x v="2"/>
    <n v="0.2"/>
    <n v="0.5"/>
    <n v="2000"/>
    <n v="3"/>
    <n v="4"/>
    <x v="2"/>
    <n v="315103.40000000002"/>
    <n v="126781"/>
    <n v="188322.4"/>
    <n v="240"/>
    <n v="600.26"/>
    <n v="97482.3"/>
    <n v="142026.6"/>
    <n v="239508.9"/>
    <n v="3444.8"/>
    <n v="910.1"/>
    <n v="4354.8999999999996"/>
    <n v="22.61"/>
    <n v="0.01"/>
    <n v="910.1"/>
    <n v="4354.8999999999996"/>
    <n v="600.27"/>
    <n v="240"/>
    <n v="243863.8"/>
    <n v="22.61"/>
    <n v="800"/>
  </r>
  <r>
    <s v="800_0.2_0.5_2000_3.0_order_5"/>
    <x v="2"/>
    <n v="0.2"/>
    <n v="0.5"/>
    <n v="2000"/>
    <n v="3"/>
    <n v="5"/>
    <x v="2"/>
    <n v="306717"/>
    <n v="125797.8"/>
    <n v="180919.2"/>
    <n v="240"/>
    <n v="600.91999999999996"/>
    <n v="95716.7"/>
    <n v="136909"/>
    <n v="232625.7"/>
    <n v="3235.1"/>
    <n v="859.2"/>
    <n v="4094.3"/>
    <n v="22.82"/>
    <n v="0.02"/>
    <n v="859.2"/>
    <n v="4094.3"/>
    <n v="600.92999999999995"/>
    <n v="240"/>
    <n v="236720"/>
    <n v="22.82"/>
    <n v="800"/>
  </r>
  <r>
    <s v="800_0.2_0.5_500_1.0_order_1"/>
    <x v="2"/>
    <n v="0.2"/>
    <n v="0.5"/>
    <n v="500"/>
    <n v="1"/>
    <n v="1"/>
    <x v="2"/>
    <n v="42456"/>
    <n v="17710.900000000001"/>
    <n v="24745.1"/>
    <n v="240"/>
    <n v="600.85"/>
    <n v="12702.9"/>
    <n v="17941.8"/>
    <n v="30644.7"/>
    <n v="2738.1"/>
    <n v="681.7"/>
    <n v="3419.8"/>
    <n v="19.77"/>
    <n v="0.01"/>
    <n v="669.8"/>
    <n v="3407.9"/>
    <n v="600.86"/>
    <n v="240"/>
    <n v="34052.6"/>
    <n v="19.79"/>
    <n v="800"/>
  </r>
  <r>
    <s v="800_0.2_0.5_500_1.0_order_2"/>
    <x v="2"/>
    <n v="0.2"/>
    <n v="0.5"/>
    <n v="500"/>
    <n v="1"/>
    <n v="2"/>
    <x v="2"/>
    <n v="39729.800000000003"/>
    <n v="15669.4"/>
    <n v="24060.400000000001"/>
    <n v="240"/>
    <n v="600.37"/>
    <n v="11489.1"/>
    <n v="17011"/>
    <n v="28500.1"/>
    <n v="2898.9"/>
    <n v="610.1"/>
    <n v="3509"/>
    <n v="19.43"/>
    <n v="0.01"/>
    <n v="608.70000000000005"/>
    <n v="3507.6"/>
    <n v="600.38"/>
    <n v="240"/>
    <n v="32007.7"/>
    <n v="19.440000000000001"/>
    <n v="800"/>
  </r>
  <r>
    <s v="800_0.2_0.5_500_1.0_order_3"/>
    <x v="2"/>
    <n v="0.2"/>
    <n v="0.5"/>
    <n v="500"/>
    <n v="1"/>
    <n v="3"/>
    <x v="2"/>
    <n v="41512.699999999997"/>
    <n v="16714"/>
    <n v="24798.7"/>
    <n v="240"/>
    <n v="600.92999999999995"/>
    <n v="12108.9"/>
    <n v="17906.3"/>
    <n v="30015.200000000001"/>
    <n v="2812.8"/>
    <n v="660.2"/>
    <n v="3473"/>
    <n v="19.329999999999998"/>
    <n v="0.01"/>
    <n v="660.2"/>
    <n v="3473"/>
    <n v="600.94000000000005"/>
    <n v="240"/>
    <n v="33488.199999999997"/>
    <n v="19.329999999999998"/>
    <n v="800"/>
  </r>
  <r>
    <s v="800_0.2_0.5_500_1.0_order_4"/>
    <x v="2"/>
    <n v="0.2"/>
    <n v="0.5"/>
    <n v="500"/>
    <n v="1"/>
    <n v="4"/>
    <x v="2"/>
    <n v="44381.599999999999"/>
    <n v="18877.900000000001"/>
    <n v="25503.7"/>
    <n v="240"/>
    <n v="600.17999999999995"/>
    <n v="13538.6"/>
    <n v="19107.099999999999"/>
    <n v="32645.7"/>
    <n v="2948.2"/>
    <n v="599.1"/>
    <n v="3547.3"/>
    <n v="18.45"/>
    <n v="0.01"/>
    <n v="594.9"/>
    <n v="3543.1"/>
    <n v="600.17999999999995"/>
    <n v="240"/>
    <n v="36188.800000000003"/>
    <n v="18.46"/>
    <n v="800"/>
  </r>
  <r>
    <s v="800_0.2_0.5_500_1.0_order_5"/>
    <x v="2"/>
    <n v="0.2"/>
    <n v="0.5"/>
    <n v="500"/>
    <n v="1"/>
    <n v="5"/>
    <x v="2"/>
    <n v="42373.3"/>
    <n v="16880"/>
    <n v="25493.3"/>
    <n v="240"/>
    <n v="600.69000000000005"/>
    <n v="11985"/>
    <n v="18104.5"/>
    <n v="30089.5"/>
    <n v="2967.6"/>
    <n v="647.79999999999995"/>
    <n v="3615.4"/>
    <n v="20.46"/>
    <n v="0.01"/>
    <n v="635"/>
    <n v="3602.6"/>
    <n v="600.70000000000005"/>
    <n v="240"/>
    <n v="33692.1"/>
    <n v="20.49"/>
    <n v="800"/>
  </r>
  <r>
    <s v="800_0.2_0.5_500_2.0_order_1"/>
    <x v="2"/>
    <n v="0.2"/>
    <n v="0.5"/>
    <n v="500"/>
    <n v="2"/>
    <n v="1"/>
    <x v="2"/>
    <n v="58760.1"/>
    <n v="23869.599999999999"/>
    <n v="34890.5"/>
    <n v="240"/>
    <n v="600.26"/>
    <n v="17973.099999999999"/>
    <n v="25591.9"/>
    <n v="43565"/>
    <n v="2647.9"/>
    <n v="597.4"/>
    <n v="3245.3"/>
    <n v="20.34"/>
    <n v="0.01"/>
    <n v="597.4"/>
    <n v="3245.3"/>
    <n v="600.27"/>
    <n v="240"/>
    <n v="46810.3"/>
    <n v="20.34"/>
    <n v="800"/>
  </r>
  <r>
    <s v="800_0.2_0.5_500_2.0_order_2"/>
    <x v="2"/>
    <n v="0.2"/>
    <n v="0.5"/>
    <n v="500"/>
    <n v="2"/>
    <n v="2"/>
    <x v="2"/>
    <n v="61570.7"/>
    <n v="26005.7"/>
    <n v="35565"/>
    <n v="240"/>
    <n v="600.34"/>
    <n v="18833"/>
    <n v="25930.1"/>
    <n v="44763.1"/>
    <n v="2755"/>
    <n v="762.5"/>
    <n v="3517.5"/>
    <n v="21.59"/>
    <n v="0.01"/>
    <n v="762.5"/>
    <n v="3517.5"/>
    <n v="600.35"/>
    <n v="240"/>
    <n v="48280.6"/>
    <n v="21.59"/>
    <n v="800"/>
  </r>
  <r>
    <s v="800_0.2_0.5_500_2.0_order_3"/>
    <x v="2"/>
    <n v="0.2"/>
    <n v="0.5"/>
    <n v="500"/>
    <n v="2"/>
    <n v="3"/>
    <x v="2"/>
    <n v="63072.5"/>
    <n v="23232.1"/>
    <n v="39840.400000000001"/>
    <n v="240"/>
    <n v="600.28"/>
    <n v="17273.400000000001"/>
    <n v="29535.7"/>
    <n v="46809.1"/>
    <n v="2757.1"/>
    <n v="758.4"/>
    <n v="3515.5"/>
    <n v="20.21"/>
    <n v="0.01"/>
    <n v="755.6"/>
    <n v="3512.7"/>
    <n v="600.29"/>
    <n v="240"/>
    <n v="50321.8"/>
    <n v="20.22"/>
    <n v="800"/>
  </r>
  <r>
    <s v="800_0.2_0.5_500_2.0_order_4"/>
    <x v="2"/>
    <n v="0.2"/>
    <n v="0.5"/>
    <n v="500"/>
    <n v="2"/>
    <n v="4"/>
    <x v="2"/>
    <n v="62339.8"/>
    <n v="25439"/>
    <n v="36900.800000000003"/>
    <n v="240"/>
    <n v="600.9"/>
    <n v="18666.7"/>
    <n v="27003.7"/>
    <n v="45670.400000000001"/>
    <n v="2901.1"/>
    <n v="654.79999999999995"/>
    <n v="3555.9"/>
    <n v="21.04"/>
    <n v="0.01"/>
    <n v="654.79999999999995"/>
    <n v="3555.9"/>
    <n v="600.91"/>
    <n v="240"/>
    <n v="49226.3"/>
    <n v="21.04"/>
    <n v="800"/>
  </r>
  <r>
    <s v="800_0.2_0.5_500_2.0_order_5"/>
    <x v="2"/>
    <n v="0.2"/>
    <n v="0.5"/>
    <n v="500"/>
    <n v="2"/>
    <n v="5"/>
    <x v="2"/>
    <n v="64404.800000000003"/>
    <n v="25541.1"/>
    <n v="38863.699999999997"/>
    <n v="240"/>
    <n v="600.29"/>
    <n v="18567.3"/>
    <n v="28579"/>
    <n v="47146.3"/>
    <n v="2803.3"/>
    <n v="719.6"/>
    <n v="3522.9"/>
    <n v="21.33"/>
    <n v="0.01"/>
    <n v="718.2"/>
    <n v="3521.5"/>
    <n v="600.29999999999995"/>
    <n v="240"/>
    <n v="50667.8"/>
    <n v="21.33"/>
    <n v="800"/>
  </r>
  <r>
    <s v="800_0.2_0.5_500_3.0_order_1"/>
    <x v="2"/>
    <n v="0.2"/>
    <n v="0.5"/>
    <n v="500"/>
    <n v="3"/>
    <n v="1"/>
    <x v="2"/>
    <n v="79313.899999999994"/>
    <n v="31214.7"/>
    <n v="48099.199999999997"/>
    <n v="240"/>
    <n v="600.07000000000005"/>
    <n v="23081.599999999999"/>
    <n v="34978"/>
    <n v="58059.6"/>
    <n v="2846.4"/>
    <n v="897.7"/>
    <n v="3744.1"/>
    <n v="22.08"/>
    <n v="0.02"/>
    <n v="896.3"/>
    <n v="3742.7"/>
    <n v="600.09"/>
    <n v="240"/>
    <n v="61802.3"/>
    <n v="22.08"/>
    <n v="800"/>
  </r>
  <r>
    <s v="800_0.2_0.5_500_3.0_order_2"/>
    <x v="2"/>
    <n v="0.2"/>
    <n v="0.5"/>
    <n v="500"/>
    <n v="3"/>
    <n v="2"/>
    <x v="2"/>
    <n v="79561.8"/>
    <n v="30927.7"/>
    <n v="48634.1"/>
    <n v="240"/>
    <n v="600"/>
    <n v="22960.6"/>
    <n v="35989.9"/>
    <n v="58950.5"/>
    <n v="2868.6"/>
    <n v="723.8"/>
    <n v="3592.4"/>
    <n v="21.39"/>
    <n v="0.01"/>
    <n v="721"/>
    <n v="3589.6"/>
    <n v="600.02"/>
    <n v="240"/>
    <n v="62540.1"/>
    <n v="21.39"/>
    <n v="800"/>
  </r>
  <r>
    <s v="800_0.2_0.5_500_3.0_order_3"/>
    <x v="2"/>
    <n v="0.2"/>
    <n v="0.5"/>
    <n v="500"/>
    <n v="3"/>
    <n v="3"/>
    <x v="2"/>
    <n v="73403.7"/>
    <n v="31356.799999999999"/>
    <n v="42046.9"/>
    <n v="240"/>
    <n v="600.76"/>
    <n v="22529.9"/>
    <n v="30608.400000000001"/>
    <n v="53138.3"/>
    <n v="2786"/>
    <n v="639.79999999999995"/>
    <n v="3425.8"/>
    <n v="22.94"/>
    <n v="0.01"/>
    <n v="639.79999999999995"/>
    <n v="3425.8"/>
    <n v="600.77"/>
    <n v="240"/>
    <n v="56564.1"/>
    <n v="22.94"/>
    <n v="800"/>
  </r>
  <r>
    <s v="800_0.2_0.5_500_3.0_order_4"/>
    <x v="2"/>
    <n v="0.2"/>
    <n v="0.5"/>
    <n v="500"/>
    <n v="3"/>
    <n v="4"/>
    <x v="2"/>
    <n v="79997"/>
    <n v="32625.7"/>
    <n v="47371.3"/>
    <n v="240"/>
    <n v="600.73"/>
    <n v="23611.599999999999"/>
    <n v="33905"/>
    <n v="57516.6"/>
    <n v="2905.4"/>
    <n v="722.3"/>
    <n v="3627.7"/>
    <n v="23.57"/>
    <n v="0.01"/>
    <n v="705.4"/>
    <n v="3610.8"/>
    <n v="600.74"/>
    <n v="240"/>
    <n v="61127.4"/>
    <n v="23.59"/>
    <n v="800"/>
  </r>
  <r>
    <s v="800_0.2_0.5_500_3.0_order_5"/>
    <x v="2"/>
    <n v="0.2"/>
    <n v="0.5"/>
    <n v="500"/>
    <n v="3"/>
    <n v="5"/>
    <x v="2"/>
    <n v="79466.7"/>
    <n v="34632.300000000003"/>
    <n v="44834.400000000001"/>
    <n v="240"/>
    <n v="600.64"/>
    <n v="25191.200000000001"/>
    <n v="33158.199999999997"/>
    <n v="58349.4"/>
    <n v="2802.9"/>
    <n v="779.6"/>
    <n v="3582.5"/>
    <n v="22.07"/>
    <n v="0.02"/>
    <n v="769.1"/>
    <n v="3572"/>
    <n v="600.65"/>
    <n v="240"/>
    <n v="61921.4"/>
    <n v="22.08"/>
    <n v="800"/>
  </r>
  <r>
    <s v="800_0.3_0.5_1000_1.0_order_1"/>
    <x v="2"/>
    <n v="0.3"/>
    <n v="0.5"/>
    <n v="1000"/>
    <n v="1"/>
    <n v="1"/>
    <x v="2"/>
    <n v="84653.3"/>
    <n v="35326.1"/>
    <n v="49327.199999999997"/>
    <n v="240"/>
    <n v="600"/>
    <n v="24083.8"/>
    <n v="34980.699999999997"/>
    <n v="59064.5"/>
    <n v="3321.2"/>
    <n v="1199.2"/>
    <n v="4520.3999999999996"/>
    <n v="24.89"/>
    <n v="0.03"/>
    <n v="1199.2"/>
    <n v="4520.3999999999996"/>
    <n v="600.03"/>
    <n v="240"/>
    <n v="63584.9"/>
    <n v="24.89"/>
    <n v="800"/>
  </r>
  <r>
    <s v="800_0.3_0.5_1000_1.0_order_2"/>
    <x v="2"/>
    <n v="0.3"/>
    <n v="0.5"/>
    <n v="1000"/>
    <n v="1"/>
    <n v="2"/>
    <x v="2"/>
    <n v="82666.2"/>
    <n v="34357"/>
    <n v="48309.2"/>
    <n v="240"/>
    <n v="600.24"/>
    <n v="23449.4"/>
    <n v="33925"/>
    <n v="57374.400000000001"/>
    <n v="3162.3"/>
    <n v="1128.5999999999999"/>
    <n v="4290.8999999999996"/>
    <n v="25.4"/>
    <n v="0.02"/>
    <n v="1128.5999999999999"/>
    <n v="4290.8999999999996"/>
    <n v="600.25"/>
    <n v="240"/>
    <n v="61665.3"/>
    <n v="25.4"/>
    <n v="800"/>
  </r>
  <r>
    <s v="800_0.3_0.5_1000_1.0_order_3"/>
    <x v="2"/>
    <n v="0.3"/>
    <n v="0.5"/>
    <n v="1000"/>
    <n v="1"/>
    <n v="3"/>
    <x v="2"/>
    <n v="85677.4"/>
    <n v="34507"/>
    <n v="51170.400000000001"/>
    <n v="240"/>
    <n v="600.04"/>
    <n v="23758.1"/>
    <n v="35663.4"/>
    <n v="59421.5"/>
    <n v="3192.7"/>
    <n v="1072.8"/>
    <n v="4265.5"/>
    <n v="25.67"/>
    <n v="0.02"/>
    <n v="1072.8"/>
    <n v="4265.5"/>
    <n v="600.05999999999995"/>
    <n v="240"/>
    <n v="63687"/>
    <n v="25.67"/>
    <n v="800"/>
  </r>
  <r>
    <s v="800_0.3_0.5_1000_1.0_order_4"/>
    <x v="2"/>
    <n v="0.3"/>
    <n v="0.5"/>
    <n v="1000"/>
    <n v="1"/>
    <n v="4"/>
    <x v="2"/>
    <n v="83697.600000000006"/>
    <n v="35227.4"/>
    <n v="48470.2"/>
    <n v="240"/>
    <n v="600.13"/>
    <n v="24667.200000000001"/>
    <n v="34601.1"/>
    <n v="59268.3"/>
    <n v="3373.8"/>
    <n v="1232.5999999999999"/>
    <n v="4606.3999999999996"/>
    <n v="23.68"/>
    <n v="0.02"/>
    <n v="1232.5999999999999"/>
    <n v="4606.3999999999996"/>
    <n v="600.14"/>
    <n v="240"/>
    <n v="63874.7"/>
    <n v="23.68"/>
    <n v="800"/>
  </r>
  <r>
    <s v="800_0.3_0.5_1000_1.0_order_5"/>
    <x v="2"/>
    <n v="0.3"/>
    <n v="0.5"/>
    <n v="1000"/>
    <n v="1"/>
    <n v="5"/>
    <x v="2"/>
    <n v="84517.4"/>
    <n v="33762.1"/>
    <n v="50755.3"/>
    <n v="240"/>
    <n v="600.21"/>
    <n v="23776.1"/>
    <n v="35824.400000000001"/>
    <n v="59600.5"/>
    <n v="3022.6"/>
    <n v="1210.5"/>
    <n v="4233.1000000000004"/>
    <n v="24.47"/>
    <n v="0.03"/>
    <n v="1210.5"/>
    <n v="4233.1000000000004"/>
    <n v="600.25"/>
    <n v="240"/>
    <n v="63833.599999999999"/>
    <n v="24.47"/>
    <n v="800"/>
  </r>
  <r>
    <s v="800_0.3_0.5_1000_2.0_order_1"/>
    <x v="2"/>
    <n v="0.3"/>
    <n v="0.5"/>
    <n v="1000"/>
    <n v="2"/>
    <n v="1"/>
    <x v="2"/>
    <n v="123870.9"/>
    <n v="51589.4"/>
    <n v="72281.5"/>
    <n v="240"/>
    <n v="600.96"/>
    <n v="35625.300000000003"/>
    <n v="50220.800000000003"/>
    <n v="85846.1"/>
    <n v="2965.2"/>
    <n v="1047.0999999999999"/>
    <n v="4012.3"/>
    <n v="27.46"/>
    <n v="0.03"/>
    <n v="1047.0999999999999"/>
    <n v="4012.3"/>
    <n v="600.99"/>
    <n v="240"/>
    <n v="89858.4"/>
    <n v="27.46"/>
    <n v="800"/>
  </r>
  <r>
    <s v="800_0.3_0.5_1000_2.0_order_2"/>
    <x v="2"/>
    <n v="0.3"/>
    <n v="0.5"/>
    <n v="1000"/>
    <n v="2"/>
    <n v="2"/>
    <x v="2"/>
    <n v="123697.2"/>
    <n v="50663.4"/>
    <n v="73033.8"/>
    <n v="240"/>
    <n v="600.38"/>
    <n v="36555.1"/>
    <n v="51553.9"/>
    <n v="88109"/>
    <n v="2914.1"/>
    <n v="1063.2"/>
    <n v="3977.3"/>
    <n v="25.56"/>
    <n v="0.02"/>
    <n v="1063.2"/>
    <n v="3977.3"/>
    <n v="600.41"/>
    <n v="240"/>
    <n v="92086.3"/>
    <n v="25.56"/>
    <n v="800"/>
  </r>
  <r>
    <s v="800_0.3_0.5_1000_2.0_order_3"/>
    <x v="2"/>
    <n v="0.3"/>
    <n v="0.5"/>
    <n v="1000"/>
    <n v="2"/>
    <n v="3"/>
    <x v="2"/>
    <n v="126029.9"/>
    <n v="50118.3"/>
    <n v="75911.600000000006"/>
    <n v="240"/>
    <n v="600.63"/>
    <n v="36019"/>
    <n v="53890"/>
    <n v="89909"/>
    <n v="3067.2"/>
    <n v="1236.4000000000001"/>
    <n v="4303.6000000000004"/>
    <n v="25.25"/>
    <n v="0.04"/>
    <n v="1234.2"/>
    <n v="4301.3999999999996"/>
    <n v="600.66999999999996"/>
    <n v="240"/>
    <n v="94210.4"/>
    <n v="25.25"/>
    <n v="800"/>
  </r>
  <r>
    <s v="800_0.3_0.5_1000_2.0_order_4"/>
    <x v="2"/>
    <n v="0.3"/>
    <n v="0.5"/>
    <n v="1000"/>
    <n v="2"/>
    <n v="4"/>
    <x v="2"/>
    <n v="124838.2"/>
    <n v="49077.599999999999"/>
    <n v="75760.600000000006"/>
    <n v="240"/>
    <n v="600.84"/>
    <n v="34282"/>
    <n v="53188.7"/>
    <n v="87470.7"/>
    <n v="3110.5"/>
    <n v="1167.7"/>
    <n v="4278.2"/>
    <n v="26.51"/>
    <n v="0.04"/>
    <n v="1167.7"/>
    <n v="4278.2"/>
    <n v="600.88"/>
    <n v="240"/>
    <n v="91748.9"/>
    <n v="26.51"/>
    <n v="800"/>
  </r>
  <r>
    <s v="800_0.3_0.5_1000_2.0_order_5"/>
    <x v="2"/>
    <n v="0.3"/>
    <n v="0.5"/>
    <n v="1000"/>
    <n v="2"/>
    <n v="5"/>
    <x v="2"/>
    <n v="130583.5"/>
    <n v="53589.9"/>
    <n v="76993.600000000006"/>
    <n v="240"/>
    <n v="600.91999999999996"/>
    <n v="37563.1"/>
    <n v="53769"/>
    <n v="91332.1"/>
    <n v="3162.8"/>
    <n v="1105.5999999999999"/>
    <n v="4268.3999999999996"/>
    <n v="26.79"/>
    <n v="0.04"/>
    <n v="1105.5999999999999"/>
    <n v="4268.3999999999996"/>
    <n v="600.96"/>
    <n v="240"/>
    <n v="95600.5"/>
    <n v="26.79"/>
    <n v="800"/>
  </r>
  <r>
    <s v="800_0.3_0.5_1000_3.0_order_1"/>
    <x v="2"/>
    <n v="0.3"/>
    <n v="0.5"/>
    <n v="1000"/>
    <n v="3"/>
    <n v="1"/>
    <x v="2"/>
    <n v="165838"/>
    <n v="67188.399999999994"/>
    <n v="98649.600000000006"/>
    <n v="240"/>
    <n v="600.83000000000004"/>
    <n v="49409.5"/>
    <n v="69247.399999999994"/>
    <n v="118656.9"/>
    <n v="3241.8"/>
    <n v="1395.4"/>
    <n v="4637.2"/>
    <n v="25.65"/>
    <n v="0.03"/>
    <n v="1395.4"/>
    <n v="4637.2"/>
    <n v="600.86"/>
    <n v="240"/>
    <n v="123294.1"/>
    <n v="25.65"/>
    <n v="800"/>
  </r>
  <r>
    <s v="800_0.3_0.5_1000_3.0_order_2"/>
    <x v="2"/>
    <n v="0.3"/>
    <n v="0.5"/>
    <n v="1000"/>
    <n v="3"/>
    <n v="2"/>
    <x v="2"/>
    <n v="157725.29999999999"/>
    <n v="62671.7"/>
    <n v="95053.6"/>
    <n v="240"/>
    <n v="600.01"/>
    <n v="44863.7"/>
    <n v="68531.899999999994"/>
    <n v="113395.6"/>
    <n v="3125.4"/>
    <n v="980.5"/>
    <n v="4105.8999999999996"/>
    <n v="25.5"/>
    <n v="0.02"/>
    <n v="980.5"/>
    <n v="4105.8999999999996"/>
    <n v="600.03"/>
    <n v="240"/>
    <n v="117501.5"/>
    <n v="25.5"/>
    <n v="800"/>
  </r>
  <r>
    <s v="800_0.3_0.5_1000_3.0_order_3"/>
    <x v="2"/>
    <n v="0.3"/>
    <n v="0.5"/>
    <n v="1000"/>
    <n v="3"/>
    <n v="3"/>
    <x v="2"/>
    <n v="158113.60000000001"/>
    <n v="62217.4"/>
    <n v="95896.2"/>
    <n v="240"/>
    <n v="600.32000000000005"/>
    <n v="43739"/>
    <n v="66900.399999999994"/>
    <n v="110639.4"/>
    <n v="3116.9"/>
    <n v="1105.3"/>
    <n v="4222.2"/>
    <n v="27.36"/>
    <n v="0.03"/>
    <n v="1105.3"/>
    <n v="4222.2"/>
    <n v="600.34"/>
    <n v="240"/>
    <n v="114861.6"/>
    <n v="27.36"/>
    <n v="800"/>
  </r>
  <r>
    <s v="800_0.3_0.5_1000_3.0_order_4"/>
    <x v="2"/>
    <n v="0.3"/>
    <n v="0.5"/>
    <n v="1000"/>
    <n v="3"/>
    <n v="4"/>
    <x v="2"/>
    <n v="152442.79999999999"/>
    <n v="62484.3"/>
    <n v="89958.5"/>
    <n v="240"/>
    <n v="600.54"/>
    <n v="44714.6"/>
    <n v="63884.5"/>
    <n v="108599.1"/>
    <n v="3232.3"/>
    <n v="1178"/>
    <n v="4410.3"/>
    <n v="25.87"/>
    <n v="0.03"/>
    <n v="1178"/>
    <n v="4410.3"/>
    <n v="600.57000000000005"/>
    <n v="240"/>
    <n v="113009.4"/>
    <n v="25.87"/>
    <n v="800"/>
  </r>
  <r>
    <s v="800_0.3_0.5_1000_3.0_order_5"/>
    <x v="2"/>
    <n v="0.3"/>
    <n v="0.5"/>
    <n v="1000"/>
    <n v="3"/>
    <n v="5"/>
    <x v="2"/>
    <n v="155852.5"/>
    <n v="62377.7"/>
    <n v="93474.8"/>
    <n v="240"/>
    <n v="600.29999999999995"/>
    <n v="44884.3"/>
    <n v="65020.800000000003"/>
    <n v="109905.1"/>
    <n v="3087.1"/>
    <n v="1221.7"/>
    <n v="4308.8"/>
    <n v="26.72"/>
    <n v="0.03"/>
    <n v="1221.7"/>
    <n v="4308.8"/>
    <n v="600.33000000000004"/>
    <n v="240"/>
    <n v="114213.9"/>
    <n v="26.72"/>
    <n v="800"/>
  </r>
  <r>
    <s v="800_0.3_0.5_2000_1.0_order_1"/>
    <x v="2"/>
    <n v="0.3"/>
    <n v="0.5"/>
    <n v="2000"/>
    <n v="1"/>
    <n v="1"/>
    <x v="2"/>
    <n v="171006.7"/>
    <n v="71207.600000000006"/>
    <n v="99799.1"/>
    <n v="240"/>
    <n v="600.69000000000005"/>
    <n v="50437.4"/>
    <n v="71641.600000000006"/>
    <n v="122079"/>
    <n v="3292.7"/>
    <n v="1338.8"/>
    <n v="4631.5"/>
    <n v="25.9"/>
    <n v="0.03"/>
    <n v="1338.8"/>
    <n v="4631.5"/>
    <n v="600.72"/>
    <n v="240"/>
    <n v="126710.5"/>
    <n v="25.9"/>
    <n v="800"/>
  </r>
  <r>
    <s v="800_0.3_0.5_2000_1.0_order_2"/>
    <x v="2"/>
    <n v="0.3"/>
    <n v="0.5"/>
    <n v="2000"/>
    <n v="1"/>
    <n v="2"/>
    <x v="2"/>
    <n v="172500.6"/>
    <n v="71637.7"/>
    <n v="100862.9"/>
    <n v="240"/>
    <n v="600.24"/>
    <n v="51011.199999999997"/>
    <n v="73716.399999999994"/>
    <n v="124727.6"/>
    <n v="3333.4"/>
    <n v="1244.0999999999999"/>
    <n v="4577.5"/>
    <n v="25.04"/>
    <n v="0.03"/>
    <n v="1244.0999999999999"/>
    <n v="4577.5"/>
    <n v="600.27"/>
    <n v="240"/>
    <n v="129305.1"/>
    <n v="25.04"/>
    <n v="800"/>
  </r>
  <r>
    <s v="800_0.3_0.5_2000_1.0_order_3"/>
    <x v="2"/>
    <n v="0.3"/>
    <n v="0.5"/>
    <n v="2000"/>
    <n v="1"/>
    <n v="3"/>
    <x v="2"/>
    <n v="168558.4"/>
    <n v="67244.600000000006"/>
    <n v="101313.8"/>
    <n v="240"/>
    <n v="600.34"/>
    <n v="48741.2"/>
    <n v="74246.399999999994"/>
    <n v="122987.6"/>
    <n v="3322.9"/>
    <n v="1221.4000000000001"/>
    <n v="4544.3"/>
    <n v="24.34"/>
    <n v="0.04"/>
    <n v="1218.7"/>
    <n v="4541.6000000000004"/>
    <n v="600.38"/>
    <n v="240"/>
    <n v="127529.2"/>
    <n v="24.34"/>
    <n v="800"/>
  </r>
  <r>
    <s v="800_0.3_0.5_2000_1.0_order_4"/>
    <x v="2"/>
    <n v="0.3"/>
    <n v="0.5"/>
    <n v="2000"/>
    <n v="1"/>
    <n v="4"/>
    <x v="2"/>
    <n v="176111.9"/>
    <n v="72025.8"/>
    <n v="104086.1"/>
    <n v="240"/>
    <n v="600.05999999999995"/>
    <n v="51058.2"/>
    <n v="73542.3"/>
    <n v="124600.5"/>
    <n v="3284.3"/>
    <n v="1252.2"/>
    <n v="4536.5"/>
    <n v="26.67"/>
    <n v="0.04"/>
    <n v="1252.2"/>
    <n v="4536.5"/>
    <n v="600.1"/>
    <n v="240"/>
    <n v="129137"/>
    <n v="26.67"/>
    <n v="800"/>
  </r>
  <r>
    <s v="800_0.3_0.5_2000_1.0_order_5"/>
    <x v="2"/>
    <n v="0.3"/>
    <n v="0.5"/>
    <n v="2000"/>
    <n v="1"/>
    <n v="5"/>
    <x v="2"/>
    <n v="169328.4"/>
    <n v="68708.100000000006"/>
    <n v="100620.3"/>
    <n v="240"/>
    <n v="600.17999999999995"/>
    <n v="49567.1"/>
    <n v="73114.899999999994"/>
    <n v="122682"/>
    <n v="3339"/>
    <n v="1284.5999999999999"/>
    <n v="4623.6000000000004"/>
    <n v="24.82"/>
    <n v="0.04"/>
    <n v="1284.5999999999999"/>
    <n v="4623.6000000000004"/>
    <n v="600.22"/>
    <n v="240"/>
    <n v="127305.60000000001"/>
    <n v="24.82"/>
    <n v="800"/>
  </r>
  <r>
    <s v="800_0.3_0.5_2000_2.0_order_1"/>
    <x v="2"/>
    <n v="0.3"/>
    <n v="0.5"/>
    <n v="2000"/>
    <n v="2"/>
    <n v="1"/>
    <x v="2"/>
    <n v="248948.8"/>
    <n v="101892.4"/>
    <n v="147056.4"/>
    <n v="240"/>
    <n v="600.01"/>
    <n v="73481.399999999994"/>
    <n v="104943.1"/>
    <n v="178424.5"/>
    <n v="3158.3"/>
    <n v="1198.7"/>
    <n v="4357"/>
    <n v="26.58"/>
    <n v="0.04"/>
    <n v="1198.7"/>
    <n v="4357"/>
    <n v="600.04999999999995"/>
    <n v="240"/>
    <n v="182781.5"/>
    <n v="26.58"/>
    <n v="800"/>
  </r>
  <r>
    <s v="800_0.3_0.5_2000_2.0_order_2"/>
    <x v="2"/>
    <n v="0.3"/>
    <n v="0.5"/>
    <n v="2000"/>
    <n v="2"/>
    <n v="2"/>
    <x v="2"/>
    <n v="251798.1"/>
    <n v="99478.3"/>
    <n v="152319.79999999999"/>
    <n v="240"/>
    <n v="600.65"/>
    <n v="72467.3"/>
    <n v="108265.60000000001"/>
    <n v="180732.9"/>
    <n v="3246.2"/>
    <n v="1369.8"/>
    <n v="4616"/>
    <n v="26.39"/>
    <n v="0.04"/>
    <n v="1369.8"/>
    <n v="4616"/>
    <n v="600.69000000000005"/>
    <n v="240"/>
    <n v="185348.9"/>
    <n v="26.39"/>
    <n v="800"/>
  </r>
  <r>
    <s v="800_0.3_0.5_2000_2.0_order_3"/>
    <x v="2"/>
    <n v="0.3"/>
    <n v="0.5"/>
    <n v="2000"/>
    <n v="2"/>
    <n v="3"/>
    <x v="2"/>
    <n v="256798.8"/>
    <n v="104496.9"/>
    <n v="152301.9"/>
    <n v="240"/>
    <n v="600.13"/>
    <n v="73803.899999999994"/>
    <n v="106402.1"/>
    <n v="180206"/>
    <n v="3401.8"/>
    <n v="1085.5"/>
    <n v="4487.3"/>
    <n v="28.08"/>
    <n v="0.04"/>
    <n v="1085.5"/>
    <n v="4487.3"/>
    <n v="600.16999999999996"/>
    <n v="240"/>
    <n v="184693.3"/>
    <n v="28.08"/>
    <n v="800"/>
  </r>
  <r>
    <s v="800_0.3_0.5_2000_2.0_order_4"/>
    <x v="2"/>
    <n v="0.3"/>
    <n v="0.5"/>
    <n v="2000"/>
    <n v="2"/>
    <n v="4"/>
    <x v="2"/>
    <n v="253933.9"/>
    <n v="102202.1"/>
    <n v="151731.79999999999"/>
    <n v="240"/>
    <n v="600.29"/>
    <n v="73786"/>
    <n v="108417"/>
    <n v="182203"/>
    <n v="3254.8"/>
    <n v="1117.5"/>
    <n v="4372.3"/>
    <n v="26.53"/>
    <n v="0.03"/>
    <n v="1117.5"/>
    <n v="4372.3"/>
    <n v="600.32000000000005"/>
    <n v="240"/>
    <n v="186575.3"/>
    <n v="26.53"/>
    <n v="800"/>
  </r>
  <r>
    <s v="800_0.3_0.5_2000_2.0_order_5"/>
    <x v="2"/>
    <n v="0.3"/>
    <n v="0.5"/>
    <n v="2000"/>
    <n v="2"/>
    <n v="5"/>
    <x v="2"/>
    <n v="249086.1"/>
    <n v="101164.3"/>
    <n v="147921.79999999999"/>
    <n v="240"/>
    <n v="600.51"/>
    <n v="73119.7"/>
    <n v="104997"/>
    <n v="178116.7"/>
    <n v="3202.4"/>
    <n v="1242"/>
    <n v="4444.3999999999996"/>
    <n v="26.71"/>
    <n v="0.04"/>
    <n v="1242"/>
    <n v="4444.3999999999996"/>
    <n v="600.54999999999995"/>
    <n v="240"/>
    <n v="182561.1"/>
    <n v="26.71"/>
    <n v="800"/>
  </r>
  <r>
    <s v="800_0.3_0.5_2000_3.0_order_1"/>
    <x v="2"/>
    <n v="0.3"/>
    <n v="0.5"/>
    <n v="2000"/>
    <n v="3"/>
    <n v="1"/>
    <x v="2"/>
    <n v="310754.59999999998"/>
    <n v="128361.4"/>
    <n v="182393.2"/>
    <n v="240"/>
    <n v="600.98"/>
    <n v="93904.5"/>
    <n v="131690.6"/>
    <n v="225595.1"/>
    <n v="3281.2"/>
    <n v="1099.5999999999999"/>
    <n v="4380.8"/>
    <n v="25.99"/>
    <n v="0.02"/>
    <n v="1099.5999999999999"/>
    <n v="4380.8"/>
    <n v="601"/>
    <n v="240"/>
    <n v="229975.9"/>
    <n v="25.99"/>
    <n v="800"/>
  </r>
  <r>
    <s v="800_0.3_0.5_2000_3.0_order_2"/>
    <x v="2"/>
    <n v="0.3"/>
    <n v="0.5"/>
    <n v="2000"/>
    <n v="3"/>
    <n v="2"/>
    <x v="2"/>
    <n v="313880.8"/>
    <n v="128693.3"/>
    <n v="185187.5"/>
    <n v="240"/>
    <n v="600.34"/>
    <n v="95087.6"/>
    <n v="132676.4"/>
    <n v="227764"/>
    <n v="3318.2"/>
    <n v="1307.5"/>
    <n v="4625.7"/>
    <n v="25.96"/>
    <n v="0.04"/>
    <n v="1307.5"/>
    <n v="4625.7"/>
    <n v="600.38"/>
    <n v="240"/>
    <n v="232389.7"/>
    <n v="25.96"/>
    <n v="800"/>
  </r>
  <r>
    <s v="800_0.3_0.5_2000_3.0_order_3"/>
    <x v="2"/>
    <n v="0.3"/>
    <n v="0.5"/>
    <n v="2000"/>
    <n v="3"/>
    <n v="3"/>
    <x v="2"/>
    <n v="309386.8"/>
    <n v="122023.6"/>
    <n v="187363.20000000001"/>
    <n v="240"/>
    <n v="600.12"/>
    <n v="88942.5"/>
    <n v="134728.4"/>
    <n v="223670.9"/>
    <n v="3293"/>
    <n v="1405.2"/>
    <n v="4698.2"/>
    <n v="26.19"/>
    <n v="0.05"/>
    <n v="1403.9"/>
    <n v="4696.8999999999996"/>
    <n v="600.16999999999996"/>
    <n v="240"/>
    <n v="228367.8"/>
    <n v="26.19"/>
    <n v="800"/>
  </r>
  <r>
    <s v="800_0.3_0.5_2000_3.0_order_4"/>
    <x v="2"/>
    <n v="0.3"/>
    <n v="0.5"/>
    <n v="2000"/>
    <n v="3"/>
    <n v="4"/>
    <x v="2"/>
    <n v="310158.2"/>
    <n v="127750.1"/>
    <n v="182408.1"/>
    <n v="240"/>
    <n v="600.16999999999996"/>
    <n v="90945.4"/>
    <n v="129825.1"/>
    <n v="220770.5"/>
    <n v="3227.6"/>
    <n v="1153.8"/>
    <n v="4381.3999999999996"/>
    <n v="27.41"/>
    <n v="0.03"/>
    <n v="1153.8"/>
    <n v="4381.3999999999996"/>
    <n v="600.20000000000005"/>
    <n v="240"/>
    <n v="225151.9"/>
    <n v="27.41"/>
    <n v="800"/>
  </r>
  <r>
    <s v="800_0.3_0.5_2000_3.0_order_5"/>
    <x v="2"/>
    <n v="0.3"/>
    <n v="0.5"/>
    <n v="2000"/>
    <n v="3"/>
    <n v="5"/>
    <x v="2"/>
    <n v="314621.59999999998"/>
    <n v="129787.3"/>
    <n v="184834.3"/>
    <n v="240"/>
    <n v="600.77"/>
    <n v="92710.6"/>
    <n v="131858.79999999999"/>
    <n v="224569.4"/>
    <n v="3245.8"/>
    <n v="1332.2"/>
    <n v="4578"/>
    <n v="27.17"/>
    <n v="0.04"/>
    <n v="1332.2"/>
    <n v="4578"/>
    <n v="600.82000000000005"/>
    <n v="240"/>
    <n v="229147.4"/>
    <n v="27.17"/>
    <n v="800"/>
  </r>
  <r>
    <s v="800_0.3_0.5_500_1.0_order_1"/>
    <x v="2"/>
    <n v="0.3"/>
    <n v="0.5"/>
    <n v="500"/>
    <n v="1"/>
    <n v="1"/>
    <x v="2"/>
    <n v="42104.1"/>
    <n v="17539.8"/>
    <n v="24564.3"/>
    <n v="240"/>
    <n v="600.12"/>
    <n v="11713.6"/>
    <n v="16635.599999999999"/>
    <n v="28349.200000000001"/>
    <n v="3001.3"/>
    <n v="1063.0999999999999"/>
    <n v="4064.4"/>
    <n v="23.02"/>
    <n v="0.02"/>
    <n v="1047.8"/>
    <n v="4049.1"/>
    <n v="600.14"/>
    <n v="240"/>
    <n v="32398.3"/>
    <n v="23.05"/>
    <n v="800"/>
  </r>
  <r>
    <s v="800_0.3_0.5_500_1.0_order_2"/>
    <x v="2"/>
    <n v="0.3"/>
    <n v="0.5"/>
    <n v="500"/>
    <n v="1"/>
    <n v="2"/>
    <x v="2"/>
    <n v="41779.599999999999"/>
    <n v="17994.900000000001"/>
    <n v="23784.7"/>
    <n v="240"/>
    <n v="600.70000000000005"/>
    <n v="12610.1"/>
    <n v="16283.6"/>
    <n v="28893.7"/>
    <n v="2991.7"/>
    <n v="973.4"/>
    <n v="3965.1"/>
    <n v="21.35"/>
    <n v="0.03"/>
    <n v="973.4"/>
    <n v="3965.1"/>
    <n v="600.73"/>
    <n v="240"/>
    <n v="32858.800000000003"/>
    <n v="21.35"/>
    <n v="800"/>
  </r>
  <r>
    <s v="800_0.3_0.5_500_1.0_order_3"/>
    <x v="2"/>
    <n v="0.3"/>
    <n v="0.5"/>
    <n v="500"/>
    <n v="1"/>
    <n v="3"/>
    <x v="2"/>
    <n v="40950.1"/>
    <n v="17179.099999999999"/>
    <n v="23771"/>
    <n v="240"/>
    <n v="600.29"/>
    <n v="11228"/>
    <n v="16468.400000000001"/>
    <n v="27696.400000000001"/>
    <n v="2834.8"/>
    <n v="1039.2"/>
    <n v="3874"/>
    <n v="22.91"/>
    <n v="0.02"/>
    <n v="1026.4000000000001"/>
    <n v="3861.2"/>
    <n v="600.30999999999995"/>
    <n v="240"/>
    <n v="31557.599999999999"/>
    <n v="22.94"/>
    <n v="800"/>
  </r>
  <r>
    <s v="800_0.3_0.5_500_1.0_order_4"/>
    <x v="2"/>
    <n v="0.3"/>
    <n v="0.5"/>
    <n v="500"/>
    <n v="1"/>
    <n v="4"/>
    <x v="2"/>
    <n v="41546.400000000001"/>
    <n v="16396.099999999999"/>
    <n v="25150.3"/>
    <n v="240"/>
    <n v="600.6"/>
    <n v="10872.2"/>
    <n v="16905.599999999999"/>
    <n v="27777.8"/>
    <n v="2805"/>
    <n v="1026.8"/>
    <n v="3831.8"/>
    <n v="23.92"/>
    <n v="0.02"/>
    <n v="1021.3"/>
    <n v="3826.3"/>
    <n v="600.62"/>
    <n v="240"/>
    <n v="31604.1"/>
    <n v="23.93"/>
    <n v="800"/>
  </r>
  <r>
    <s v="800_0.3_0.5_500_1.0_order_5"/>
    <x v="2"/>
    <n v="0.3"/>
    <n v="0.5"/>
    <n v="500"/>
    <n v="1"/>
    <n v="5"/>
    <x v="2"/>
    <n v="42722"/>
    <n v="18044.599999999999"/>
    <n v="24677.4"/>
    <n v="240"/>
    <n v="600.14"/>
    <n v="12248.9"/>
    <n v="16608.400000000001"/>
    <n v="28857.3"/>
    <n v="2985.2"/>
    <n v="1034"/>
    <n v="4019.2"/>
    <n v="23.05"/>
    <n v="0.02"/>
    <n v="1011.9"/>
    <n v="3997.1"/>
    <n v="600.16"/>
    <n v="240"/>
    <n v="32854.400000000001"/>
    <n v="23.1"/>
    <n v="800"/>
  </r>
  <r>
    <s v="800_0.3_0.5_500_2.0_order_1"/>
    <x v="2"/>
    <n v="0.3"/>
    <n v="0.5"/>
    <n v="500"/>
    <n v="2"/>
    <n v="1"/>
    <x v="2"/>
    <n v="60998.8"/>
    <n v="24909.4"/>
    <n v="36089.4"/>
    <n v="240"/>
    <n v="600.6"/>
    <n v="17100.7"/>
    <n v="24912.2"/>
    <n v="42012.9"/>
    <n v="2853.1"/>
    <n v="1062.3"/>
    <n v="3915.4"/>
    <n v="24.71"/>
    <n v="0.03"/>
    <n v="1060.9000000000001"/>
    <n v="3914"/>
    <n v="600.63"/>
    <n v="240"/>
    <n v="45926.9"/>
    <n v="24.71"/>
    <n v="800"/>
  </r>
  <r>
    <s v="800_0.3_0.5_500_2.0_order_2"/>
    <x v="2"/>
    <n v="0.3"/>
    <n v="0.5"/>
    <n v="500"/>
    <n v="2"/>
    <n v="2"/>
    <x v="2"/>
    <n v="64804.6"/>
    <n v="25518.2"/>
    <n v="39286.400000000001"/>
    <n v="240"/>
    <n v="600.04"/>
    <n v="17393.5"/>
    <n v="26310.1"/>
    <n v="43703.6"/>
    <n v="2992.8"/>
    <n v="1035.5999999999999"/>
    <n v="4028.4"/>
    <n v="26.34"/>
    <n v="0.03"/>
    <n v="1030.5999999999999"/>
    <n v="4023.4"/>
    <n v="600.07000000000005"/>
    <n v="240"/>
    <n v="47727"/>
    <n v="26.35"/>
    <n v="800"/>
  </r>
  <r>
    <s v="800_0.3_0.5_500_2.0_order_3"/>
    <x v="2"/>
    <n v="0.3"/>
    <n v="0.5"/>
    <n v="500"/>
    <n v="2"/>
    <n v="3"/>
    <x v="2"/>
    <n v="63051.4"/>
    <n v="26785.9"/>
    <n v="36265.5"/>
    <n v="240"/>
    <n v="600.53"/>
    <n v="18281.900000000001"/>
    <n v="24962.799999999999"/>
    <n v="43244.7"/>
    <n v="2795.4"/>
    <n v="1015.1"/>
    <n v="3810.5"/>
    <n v="25.37"/>
    <n v="0.03"/>
    <n v="1015.1"/>
    <n v="3810.5"/>
    <n v="600.55999999999995"/>
    <n v="240"/>
    <n v="47055.199999999997"/>
    <n v="25.37"/>
    <n v="800"/>
  </r>
  <r>
    <s v="800_0.3_0.5_500_2.0_order_4"/>
    <x v="2"/>
    <n v="0.3"/>
    <n v="0.5"/>
    <n v="500"/>
    <n v="2"/>
    <n v="4"/>
    <x v="2"/>
    <n v="62455.6"/>
    <n v="24925.4"/>
    <n v="37530.199999999997"/>
    <n v="240"/>
    <n v="600.91999999999996"/>
    <n v="17077.900000000001"/>
    <n v="25806.2"/>
    <n v="42884.1"/>
    <n v="2749.6"/>
    <n v="1100.4000000000001"/>
    <n v="3850"/>
    <n v="25.17"/>
    <n v="0.03"/>
    <n v="1100.4000000000001"/>
    <n v="3850"/>
    <n v="600.95000000000005"/>
    <n v="240"/>
    <n v="46734.1"/>
    <n v="25.17"/>
    <n v="800"/>
  </r>
  <r>
    <s v="800_0.3_0.5_500_2.0_order_5"/>
    <x v="2"/>
    <n v="0.3"/>
    <n v="0.5"/>
    <n v="500"/>
    <n v="2"/>
    <n v="5"/>
    <x v="2"/>
    <n v="63319.6"/>
    <n v="28112.7"/>
    <n v="35206.9"/>
    <n v="240"/>
    <n v="600.79"/>
    <n v="19015.900000000001"/>
    <n v="23910.3"/>
    <n v="42926.2"/>
    <n v="2755.1"/>
    <n v="1024.8"/>
    <n v="3779.9"/>
    <n v="26.24"/>
    <n v="0.03"/>
    <n v="1008.8"/>
    <n v="3763.9"/>
    <n v="600.82000000000005"/>
    <n v="240"/>
    <n v="46690.1"/>
    <n v="26.26"/>
    <n v="800"/>
  </r>
  <r>
    <s v="800_0.3_0.5_500_3.0_order_1"/>
    <x v="2"/>
    <n v="0.3"/>
    <n v="0.5"/>
    <n v="500"/>
    <n v="3"/>
    <n v="1"/>
    <x v="2"/>
    <n v="76825.100000000006"/>
    <n v="32308.5"/>
    <n v="44516.6"/>
    <n v="240"/>
    <n v="600.57000000000005"/>
    <n v="22375.5"/>
    <n v="30980.7"/>
    <n v="53356.2"/>
    <n v="2936"/>
    <n v="959.4"/>
    <n v="3895.4"/>
    <n v="25.48"/>
    <n v="0.04"/>
    <n v="959.4"/>
    <n v="3895.4"/>
    <n v="600.61"/>
    <n v="240"/>
    <n v="57251.6"/>
    <n v="25.48"/>
    <n v="800"/>
  </r>
  <r>
    <s v="800_0.3_0.5_500_3.0_order_2"/>
    <x v="2"/>
    <n v="0.3"/>
    <n v="0.5"/>
    <n v="500"/>
    <n v="3"/>
    <n v="2"/>
    <x v="2"/>
    <n v="79939"/>
    <n v="31659.1"/>
    <n v="48279.9"/>
    <n v="240"/>
    <n v="600.41999999999996"/>
    <n v="21837.4"/>
    <n v="33422.6"/>
    <n v="55260"/>
    <n v="2892.1"/>
    <n v="1084.2"/>
    <n v="3976.3"/>
    <n v="25.9"/>
    <n v="0.05"/>
    <n v="1084.2"/>
    <n v="3976.3"/>
    <n v="600.47"/>
    <n v="240"/>
    <n v="59236.3"/>
    <n v="25.9"/>
    <n v="800"/>
  </r>
  <r>
    <s v="800_0.3_0.5_500_3.0_order_3"/>
    <x v="2"/>
    <n v="0.3"/>
    <n v="0.5"/>
    <n v="500"/>
    <n v="3"/>
    <n v="3"/>
    <x v="2"/>
    <n v="79677.899999999994"/>
    <n v="32024.3"/>
    <n v="47653.599999999999"/>
    <n v="240"/>
    <n v="600.11"/>
    <n v="21733"/>
    <n v="32317"/>
    <n v="54050"/>
    <n v="2872.8"/>
    <n v="997.8"/>
    <n v="3870.6"/>
    <n v="27.31"/>
    <n v="0.03"/>
    <n v="997.8"/>
    <n v="3870.6"/>
    <n v="600.14"/>
    <n v="240"/>
    <n v="57920.6"/>
    <n v="27.31"/>
    <n v="800"/>
  </r>
  <r>
    <s v="800_0.3_0.5_500_3.0_order_4"/>
    <x v="2"/>
    <n v="0.3"/>
    <n v="0.5"/>
    <n v="500"/>
    <n v="3"/>
    <n v="4"/>
    <x v="2"/>
    <n v="78989.600000000006"/>
    <n v="31902.7"/>
    <n v="47086.9"/>
    <n v="240"/>
    <n v="600.25"/>
    <n v="22203.3"/>
    <n v="32466.799999999999"/>
    <n v="54670.1"/>
    <n v="2929"/>
    <n v="1066.0999999999999"/>
    <n v="3995.1"/>
    <n v="25.73"/>
    <n v="0.04"/>
    <n v="1066.0999999999999"/>
    <n v="3995.1"/>
    <n v="600.29"/>
    <n v="240"/>
    <n v="58665.2"/>
    <n v="25.73"/>
    <n v="800"/>
  </r>
  <r>
    <s v="800_0.3_0.5_500_3.0_order_5"/>
    <x v="2"/>
    <n v="0.3"/>
    <n v="0.5"/>
    <n v="500"/>
    <n v="3"/>
    <n v="5"/>
    <x v="2"/>
    <n v="80569.2"/>
    <n v="33784.800000000003"/>
    <n v="46784.4"/>
    <n v="240"/>
    <n v="600.01"/>
    <n v="23386.9"/>
    <n v="32490.9"/>
    <n v="55877.8"/>
    <n v="2901"/>
    <n v="1302.4000000000001"/>
    <n v="4203.3999999999996"/>
    <n v="25.43"/>
    <n v="0.03"/>
    <n v="1302.4000000000001"/>
    <n v="4203.3999999999996"/>
    <n v="600.04"/>
    <n v="240"/>
    <n v="60081.2"/>
    <n v="25.43"/>
    <n v="800"/>
  </r>
  <r>
    <s v="800_0.4_0.5_1000_1.0_order_1"/>
    <x v="2"/>
    <n v="0.4"/>
    <n v="0.5"/>
    <n v="1000"/>
    <n v="1"/>
    <n v="1"/>
    <x v="2"/>
    <n v="86875.5"/>
    <n v="35462.5"/>
    <n v="51413"/>
    <n v="240"/>
    <n v="600.53"/>
    <n v="23732.400000000001"/>
    <n v="35105.800000000003"/>
    <n v="58838.2"/>
    <n v="3179.5"/>
    <n v="1412.9"/>
    <n v="4592.3999999999996"/>
    <n v="26.99"/>
    <n v="0.05"/>
    <n v="1412.9"/>
    <n v="4592.3999999999996"/>
    <n v="600.58000000000004"/>
    <n v="240"/>
    <n v="63430.6"/>
    <n v="26.99"/>
    <n v="800"/>
  </r>
  <r>
    <s v="800_0.4_0.5_1000_1.0_order_2"/>
    <x v="2"/>
    <n v="0.4"/>
    <n v="0.5"/>
    <n v="1000"/>
    <n v="1"/>
    <n v="2"/>
    <x v="2"/>
    <n v="87343.7"/>
    <n v="35450.300000000003"/>
    <n v="51893.4"/>
    <n v="240"/>
    <n v="600.54"/>
    <n v="22793.9"/>
    <n v="34394.1"/>
    <n v="57188"/>
    <n v="3276.3"/>
    <n v="1343.3"/>
    <n v="4619.6000000000004"/>
    <n v="29.24"/>
    <n v="0.03"/>
    <n v="1343.3"/>
    <n v="4619.6000000000004"/>
    <n v="600.57000000000005"/>
    <n v="240"/>
    <n v="61807.6"/>
    <n v="29.24"/>
    <n v="800"/>
  </r>
  <r>
    <s v="800_0.4_0.5_1000_1.0_order_3"/>
    <x v="2"/>
    <n v="0.4"/>
    <n v="0.5"/>
    <n v="1000"/>
    <n v="1"/>
    <n v="3"/>
    <x v="2"/>
    <n v="86584.4"/>
    <n v="35892.6"/>
    <n v="50691.8"/>
    <n v="240"/>
    <n v="600.36"/>
    <n v="23278.7"/>
    <n v="34072.9"/>
    <n v="57351.6"/>
    <n v="3152"/>
    <n v="1443"/>
    <n v="4595"/>
    <n v="28.46"/>
    <n v="0.05"/>
    <n v="1441.6"/>
    <n v="4593.6000000000004"/>
    <n v="600.41"/>
    <n v="240"/>
    <n v="61945.2"/>
    <n v="28.46"/>
    <n v="800"/>
  </r>
  <r>
    <s v="800_0.4_0.5_1000_1.0_order_4"/>
    <x v="2"/>
    <n v="0.4"/>
    <n v="0.5"/>
    <n v="1000"/>
    <n v="1"/>
    <n v="4"/>
    <x v="2"/>
    <n v="84463.6"/>
    <n v="34051.300000000003"/>
    <n v="50412.3"/>
    <n v="240"/>
    <n v="600.37"/>
    <n v="22326.1"/>
    <n v="33664.199999999997"/>
    <n v="55990.3"/>
    <n v="3188.4"/>
    <n v="1508.4"/>
    <n v="4696.8"/>
    <n v="28.15"/>
    <n v="0.05"/>
    <n v="1508.4"/>
    <n v="4696.8"/>
    <n v="600.41"/>
    <n v="240"/>
    <n v="60687.1"/>
    <n v="28.15"/>
    <n v="800"/>
  </r>
  <r>
    <s v="800_0.4_0.5_1000_1.0_order_5"/>
    <x v="2"/>
    <n v="0.4"/>
    <n v="0.5"/>
    <n v="1000"/>
    <n v="1"/>
    <n v="5"/>
    <x v="2"/>
    <n v="85389.5"/>
    <n v="35210.300000000003"/>
    <n v="50179.199999999997"/>
    <n v="240"/>
    <n v="600.71"/>
    <n v="23579.7"/>
    <n v="33602.800000000003"/>
    <n v="57182.5"/>
    <n v="3285.2"/>
    <n v="1445"/>
    <n v="4730.2"/>
    <n v="27.49"/>
    <n v="0.05"/>
    <n v="1445"/>
    <n v="4730.2"/>
    <n v="600.76"/>
    <n v="240"/>
    <n v="61912.7"/>
    <n v="27.49"/>
    <n v="800"/>
  </r>
  <r>
    <s v="800_0.4_0.5_1000_2.0_order_1"/>
    <x v="2"/>
    <n v="0.4"/>
    <n v="0.5"/>
    <n v="1000"/>
    <n v="2"/>
    <n v="1"/>
    <x v="2"/>
    <n v="120010.4"/>
    <n v="50108.7"/>
    <n v="69901.7"/>
    <n v="240"/>
    <n v="600.83000000000004"/>
    <n v="34136.400000000001"/>
    <n v="47249"/>
    <n v="81385.399999999994"/>
    <n v="3003.5"/>
    <n v="1248.7"/>
    <n v="4252.2"/>
    <n v="28.64"/>
    <n v="0.04"/>
    <n v="1247.3"/>
    <n v="4250.8"/>
    <n v="600.87"/>
    <n v="240"/>
    <n v="85636.2"/>
    <n v="28.64"/>
    <n v="800"/>
  </r>
  <r>
    <s v="800_0.4_0.5_1000_2.0_order_2"/>
    <x v="2"/>
    <n v="0.4"/>
    <n v="0.5"/>
    <n v="1000"/>
    <n v="2"/>
    <n v="2"/>
    <x v="2"/>
    <n v="122422.7"/>
    <n v="49651.199999999997"/>
    <n v="72771.5"/>
    <n v="240"/>
    <n v="600.54999999999995"/>
    <n v="34722.199999999997"/>
    <n v="49275.4"/>
    <n v="83997.6"/>
    <n v="2849.1"/>
    <n v="1278.7"/>
    <n v="4127.8"/>
    <n v="28.02"/>
    <n v="0.06"/>
    <n v="1278.7"/>
    <n v="4127.8"/>
    <n v="600.61"/>
    <n v="240"/>
    <n v="88125.4"/>
    <n v="28.02"/>
    <n v="800"/>
  </r>
  <r>
    <s v="800_0.4_0.5_1000_2.0_order_3"/>
    <x v="2"/>
    <n v="0.4"/>
    <n v="0.5"/>
    <n v="1000"/>
    <n v="2"/>
    <n v="3"/>
    <x v="2"/>
    <n v="121057.1"/>
    <n v="49231.7"/>
    <n v="71825.399999999994"/>
    <n v="240"/>
    <n v="600.78"/>
    <n v="33423.199999999997"/>
    <n v="48423.3"/>
    <n v="81846.5"/>
    <n v="3065.3"/>
    <n v="1327.2"/>
    <n v="4392.5"/>
    <n v="28.76"/>
    <n v="0.04"/>
    <n v="1318"/>
    <n v="4383.3"/>
    <n v="600.82000000000005"/>
    <n v="240"/>
    <n v="86229.8"/>
    <n v="28.77"/>
    <n v="800"/>
  </r>
  <r>
    <s v="800_0.4_0.5_1000_2.0_order_4"/>
    <x v="2"/>
    <n v="0.4"/>
    <n v="0.5"/>
    <n v="1000"/>
    <n v="2"/>
    <n v="4"/>
    <x v="2"/>
    <n v="123447.4"/>
    <n v="51496.6"/>
    <n v="71950.8"/>
    <n v="240"/>
    <n v="600.66"/>
    <n v="34927.300000000003"/>
    <n v="48351.7"/>
    <n v="83279"/>
    <n v="3034.7"/>
    <n v="1328.6"/>
    <n v="4363.3"/>
    <n v="29"/>
    <n v="0.05"/>
    <n v="1328.6"/>
    <n v="4363.3"/>
    <n v="600.70000000000005"/>
    <n v="240"/>
    <n v="87642.3"/>
    <n v="29"/>
    <n v="800"/>
  </r>
  <r>
    <s v="800_0.4_0.5_1000_2.0_order_5"/>
    <x v="2"/>
    <n v="0.4"/>
    <n v="0.5"/>
    <n v="1000"/>
    <n v="2"/>
    <n v="5"/>
    <x v="2"/>
    <n v="120041.2"/>
    <n v="49650.400000000001"/>
    <n v="70390.8"/>
    <n v="240"/>
    <n v="600.32000000000005"/>
    <n v="33240.800000000003"/>
    <n v="46530.5"/>
    <n v="79771.3"/>
    <n v="3019.9"/>
    <n v="1301.7"/>
    <n v="4321.6000000000004"/>
    <n v="29.95"/>
    <n v="0.04"/>
    <n v="1301.7"/>
    <n v="4321.6000000000004"/>
    <n v="600.36"/>
    <n v="240"/>
    <n v="84092.9"/>
    <n v="29.95"/>
    <n v="800"/>
  </r>
  <r>
    <s v="800_0.4_0.5_1000_3.0_order_1"/>
    <x v="2"/>
    <n v="0.4"/>
    <n v="0.5"/>
    <n v="1000"/>
    <n v="3"/>
    <n v="1"/>
    <x v="2"/>
    <n v="146868"/>
    <n v="60175.9"/>
    <n v="86692.1"/>
    <n v="240"/>
    <n v="600.02"/>
    <n v="41511.1"/>
    <n v="57549.9"/>
    <n v="99061"/>
    <n v="3197.7"/>
    <n v="1277.5"/>
    <n v="4475.2"/>
    <n v="29.5"/>
    <n v="0.05"/>
    <n v="1277.5"/>
    <n v="4475.2"/>
    <n v="600.07000000000005"/>
    <n v="240"/>
    <n v="103536.2"/>
    <n v="29.5"/>
    <n v="800"/>
  </r>
  <r>
    <s v="800_0.4_0.5_1000_3.0_order_2"/>
    <x v="2"/>
    <n v="0.4"/>
    <n v="0.5"/>
    <n v="1000"/>
    <n v="3"/>
    <n v="2"/>
    <x v="2"/>
    <n v="152324.6"/>
    <n v="62718.5"/>
    <n v="89606.1"/>
    <n v="240"/>
    <n v="600.87"/>
    <n v="42285.9"/>
    <n v="57790.9"/>
    <n v="100076.8"/>
    <n v="3245.1"/>
    <n v="1357.3"/>
    <n v="4602.3999999999996"/>
    <n v="31.28"/>
    <n v="7.0000000000000007E-2"/>
    <n v="1357.3"/>
    <n v="4602.3999999999996"/>
    <n v="600.94000000000005"/>
    <n v="240"/>
    <n v="104679.2"/>
    <n v="31.28"/>
    <n v="800"/>
  </r>
  <r>
    <s v="800_0.4_0.5_1000_3.0_order_3"/>
    <x v="2"/>
    <n v="0.4"/>
    <n v="0.5"/>
    <n v="1000"/>
    <n v="3"/>
    <n v="3"/>
    <x v="2"/>
    <n v="157468.70000000001"/>
    <n v="63259.3"/>
    <n v="94209.4"/>
    <n v="240"/>
    <n v="600.02"/>
    <n v="44041.5"/>
    <n v="62202.9"/>
    <n v="106244.4"/>
    <n v="3012.2"/>
    <n v="1393.8"/>
    <n v="4406"/>
    <n v="29.73"/>
    <n v="0.06"/>
    <n v="1393.8"/>
    <n v="4406"/>
    <n v="600.08000000000004"/>
    <n v="240"/>
    <n v="110650.4"/>
    <n v="29.73"/>
    <n v="800"/>
  </r>
  <r>
    <s v="800_0.4_0.5_1000_3.0_order_4"/>
    <x v="2"/>
    <n v="0.4"/>
    <n v="0.5"/>
    <n v="1000"/>
    <n v="3"/>
    <n v="4"/>
    <x v="2"/>
    <n v="153712.1"/>
    <n v="61756.6"/>
    <n v="91955.5"/>
    <n v="240"/>
    <n v="600.89"/>
    <n v="42675.5"/>
    <n v="62845.7"/>
    <n v="105521.2"/>
    <n v="3188.6"/>
    <n v="1169.9000000000001"/>
    <n v="4358.5"/>
    <n v="28.52"/>
    <n v="0.05"/>
    <n v="1169.9000000000001"/>
    <n v="4358.5"/>
    <n v="600.94000000000005"/>
    <n v="240"/>
    <n v="109879.7"/>
    <n v="28.52"/>
    <n v="800"/>
  </r>
  <r>
    <s v="800_0.4_0.5_1000_3.0_order_5"/>
    <x v="2"/>
    <n v="0.4"/>
    <n v="0.5"/>
    <n v="1000"/>
    <n v="3"/>
    <n v="5"/>
    <x v="2"/>
    <n v="154868.70000000001"/>
    <n v="62106"/>
    <n v="92762.7"/>
    <n v="240"/>
    <n v="600.64"/>
    <n v="42392.2"/>
    <n v="60356.6"/>
    <n v="102748.8"/>
    <n v="3026.8"/>
    <n v="1245.9000000000001"/>
    <n v="4272.7"/>
    <n v="30.9"/>
    <n v="0.05"/>
    <n v="1245.9000000000001"/>
    <n v="4272.7"/>
    <n v="600.69000000000005"/>
    <n v="240"/>
    <n v="107021.5"/>
    <n v="30.9"/>
    <n v="800"/>
  </r>
  <r>
    <s v="800_0.4_0.5_2000_1.0_order_1"/>
    <x v="2"/>
    <n v="0.4"/>
    <n v="0.5"/>
    <n v="2000"/>
    <n v="1"/>
    <n v="1"/>
    <x v="2"/>
    <n v="170213.4"/>
    <n v="69005.2"/>
    <n v="101208.2"/>
    <n v="240"/>
    <n v="600.37"/>
    <n v="47161.7"/>
    <n v="69513.600000000006"/>
    <n v="116675.3"/>
    <n v="3448.2"/>
    <n v="1545.1"/>
    <n v="4993.3"/>
    <n v="28.52"/>
    <n v="0.04"/>
    <n v="1545.1"/>
    <n v="4993.3"/>
    <n v="600.41"/>
    <n v="240"/>
    <n v="121668.6"/>
    <n v="28.52"/>
    <n v="800"/>
  </r>
  <r>
    <s v="800_0.4_0.5_2000_1.0_order_2"/>
    <x v="2"/>
    <n v="0.4"/>
    <n v="0.5"/>
    <n v="2000"/>
    <n v="1"/>
    <n v="2"/>
    <x v="2"/>
    <n v="169988.2"/>
    <n v="70466.899999999994"/>
    <n v="99521.3"/>
    <n v="240"/>
    <n v="600.04999999999995"/>
    <n v="48413.1"/>
    <n v="69611.199999999997"/>
    <n v="118024.3"/>
    <n v="3283.1"/>
    <n v="1583.3"/>
    <n v="4866.3999999999996"/>
    <n v="27.71"/>
    <n v="0.03"/>
    <n v="1583.3"/>
    <n v="4866.3999999999996"/>
    <n v="600.08000000000004"/>
    <n v="240"/>
    <n v="122890.7"/>
    <n v="27.71"/>
    <n v="800"/>
  </r>
  <r>
    <s v="800_0.4_0.5_2000_1.0_order_3"/>
    <x v="2"/>
    <n v="0.4"/>
    <n v="0.5"/>
    <n v="2000"/>
    <n v="1"/>
    <n v="3"/>
    <x v="2"/>
    <n v="169951.6"/>
    <n v="69481.600000000006"/>
    <n v="100470"/>
    <n v="240"/>
    <n v="600.99"/>
    <n v="47557.7"/>
    <n v="69919.8"/>
    <n v="117477.5"/>
    <n v="3432.1"/>
    <n v="1584.1"/>
    <n v="5016.2"/>
    <n v="27.92"/>
    <n v="0.04"/>
    <n v="1584.1"/>
    <n v="5016.2"/>
    <n v="601.03"/>
    <n v="240"/>
    <n v="122493.7"/>
    <n v="27.92"/>
    <n v="800"/>
  </r>
  <r>
    <s v="800_0.4_0.5_2000_1.0_order_4"/>
    <x v="2"/>
    <n v="0.4"/>
    <n v="0.5"/>
    <n v="2000"/>
    <n v="1"/>
    <n v="4"/>
    <x v="2"/>
    <n v="165701.20000000001"/>
    <n v="67770.8"/>
    <n v="97930.4"/>
    <n v="240"/>
    <n v="600.95000000000005"/>
    <n v="46653.3"/>
    <n v="68302.899999999994"/>
    <n v="114956.2"/>
    <n v="3222.8"/>
    <n v="1434.9"/>
    <n v="4657.7"/>
    <n v="27.81"/>
    <n v="0.04"/>
    <n v="1434.9"/>
    <n v="4657.7"/>
    <n v="600.99"/>
    <n v="240"/>
    <n v="119613.9"/>
    <n v="27.81"/>
    <n v="800"/>
  </r>
  <r>
    <s v="800_0.4_0.5_2000_1.0_order_5"/>
    <x v="2"/>
    <n v="0.4"/>
    <n v="0.5"/>
    <n v="2000"/>
    <n v="1"/>
    <n v="5"/>
    <x v="2"/>
    <n v="168020"/>
    <n v="71133"/>
    <n v="96887"/>
    <n v="240"/>
    <n v="600.97"/>
    <n v="47077.1"/>
    <n v="66437.100000000006"/>
    <n v="113514.2"/>
    <n v="3313.6"/>
    <n v="1442.3"/>
    <n v="4755.8999999999996"/>
    <n v="29.61"/>
    <n v="0.04"/>
    <n v="1442.3"/>
    <n v="4755.8999999999996"/>
    <n v="601"/>
    <n v="240"/>
    <n v="118270.1"/>
    <n v="29.61"/>
    <n v="800"/>
  </r>
  <r>
    <s v="800_0.4_0.5_2000_2.0_order_1"/>
    <x v="2"/>
    <n v="0.4"/>
    <n v="0.5"/>
    <n v="2000"/>
    <n v="2"/>
    <n v="1"/>
    <x v="2"/>
    <n v="250362.9"/>
    <n v="98155.4"/>
    <n v="152207.5"/>
    <n v="240"/>
    <n v="600.44000000000005"/>
    <n v="67454.7"/>
    <n v="104354.2"/>
    <n v="171808.9"/>
    <n v="3243.8"/>
    <n v="1435.1"/>
    <n v="4678.8999999999996"/>
    <n v="29.51"/>
    <n v="7.0000000000000007E-2"/>
    <n v="1435.1"/>
    <n v="4678.8999999999996"/>
    <n v="600.51"/>
    <n v="240"/>
    <n v="176487.8"/>
    <n v="29.51"/>
    <n v="800"/>
  </r>
  <r>
    <s v="800_0.4_0.5_2000_2.0_order_2"/>
    <x v="2"/>
    <n v="0.4"/>
    <n v="0.5"/>
    <n v="2000"/>
    <n v="2"/>
    <n v="2"/>
    <x v="2"/>
    <n v="250230.39999999999"/>
    <n v="100944"/>
    <n v="149286.39999999999"/>
    <n v="240"/>
    <n v="600.91"/>
    <n v="70429.3"/>
    <n v="100164.8"/>
    <n v="170594.1"/>
    <n v="3177.1"/>
    <n v="1399.8"/>
    <n v="4576.8999999999996"/>
    <n v="30"/>
    <n v="0.06"/>
    <n v="1399.8"/>
    <n v="4576.8999999999996"/>
    <n v="600.97"/>
    <n v="240"/>
    <n v="175171"/>
    <n v="30"/>
    <n v="800"/>
  </r>
  <r>
    <s v="800_0.4_0.5_2000_2.0_order_3"/>
    <x v="2"/>
    <n v="0.4"/>
    <n v="0.5"/>
    <n v="2000"/>
    <n v="2"/>
    <n v="3"/>
    <x v="2"/>
    <n v="247828"/>
    <n v="100347.6"/>
    <n v="147480.4"/>
    <n v="240"/>
    <n v="600.01"/>
    <n v="69850.5"/>
    <n v="99078.8"/>
    <n v="168929.3"/>
    <n v="3227.7"/>
    <n v="1351.9"/>
    <n v="4579.6000000000004"/>
    <n v="29.99"/>
    <n v="0.06"/>
    <n v="1351.9"/>
    <n v="4579.6000000000004"/>
    <n v="600.05999999999995"/>
    <n v="240"/>
    <n v="173508.9"/>
    <n v="29.99"/>
    <n v="800"/>
  </r>
  <r>
    <s v="800_0.4_0.5_2000_2.0_order_4"/>
    <x v="2"/>
    <n v="0.4"/>
    <n v="0.5"/>
    <n v="2000"/>
    <n v="2"/>
    <n v="4"/>
    <x v="2"/>
    <n v="251946.4"/>
    <n v="102935.6"/>
    <n v="149010.79999999999"/>
    <n v="240"/>
    <n v="600.13"/>
    <n v="68974.8"/>
    <n v="99989.2"/>
    <n v="168964"/>
    <n v="3239.7"/>
    <n v="1447.7"/>
    <n v="4687.3999999999996"/>
    <n v="31.08"/>
    <n v="0.03"/>
    <n v="1447.7"/>
    <n v="4687.3999999999996"/>
    <n v="600.16"/>
    <n v="240"/>
    <n v="173651.4"/>
    <n v="31.08"/>
    <n v="800"/>
  </r>
  <r>
    <s v="800_0.4_0.5_2000_2.0_order_5"/>
    <x v="2"/>
    <n v="0.4"/>
    <n v="0.5"/>
    <n v="2000"/>
    <n v="2"/>
    <n v="5"/>
    <x v="2"/>
    <n v="245726.4"/>
    <n v="101268.2"/>
    <n v="144458.20000000001"/>
    <n v="240"/>
    <n v="600.45000000000005"/>
    <n v="70124.399999999994"/>
    <n v="98938.4"/>
    <n v="169062.8"/>
    <n v="3267.9"/>
    <n v="1343.1"/>
    <n v="4611"/>
    <n v="29.32"/>
    <n v="0.05"/>
    <n v="1343.1"/>
    <n v="4611"/>
    <n v="600.5"/>
    <n v="240"/>
    <n v="173673.8"/>
    <n v="29.32"/>
    <n v="800"/>
  </r>
  <r>
    <s v="800_0.4_0.5_2000_3.0_order_1"/>
    <x v="2"/>
    <n v="0.4"/>
    <n v="0.5"/>
    <n v="2000"/>
    <n v="3"/>
    <n v="1"/>
    <x v="2"/>
    <n v="311641.90000000002"/>
    <n v="130002.5"/>
    <n v="181639.4"/>
    <n v="240"/>
    <n v="600.87"/>
    <n v="89440.9"/>
    <n v="120270.3"/>
    <n v="209711.2"/>
    <n v="3305.2"/>
    <n v="1474.5"/>
    <n v="4779.7"/>
    <n v="31.17"/>
    <n v="0.06"/>
    <n v="1474.5"/>
    <n v="4779.7"/>
    <n v="600.92999999999995"/>
    <n v="240"/>
    <n v="214490.9"/>
    <n v="31.17"/>
    <n v="800"/>
  </r>
  <r>
    <s v="800_0.4_0.5_2000_3.0_order_2"/>
    <x v="2"/>
    <n v="0.4"/>
    <n v="0.5"/>
    <n v="2000"/>
    <n v="3"/>
    <n v="2"/>
    <x v="2"/>
    <n v="305552.90000000002"/>
    <n v="126112.6"/>
    <n v="179440.3"/>
    <n v="240"/>
    <n v="600"/>
    <n v="84608.6"/>
    <n v="118594.9"/>
    <n v="203203.5"/>
    <n v="3263.5"/>
    <n v="1214.8"/>
    <n v="4478.3"/>
    <n v="32.03"/>
    <n v="0.05"/>
    <n v="1214.8"/>
    <n v="4478.3"/>
    <n v="600.04999999999995"/>
    <n v="240"/>
    <n v="207681.8"/>
    <n v="32.03"/>
    <n v="800"/>
  </r>
  <r>
    <s v="800_0.4_0.5_2000_3.0_order_3"/>
    <x v="2"/>
    <n v="0.4"/>
    <n v="0.5"/>
    <n v="2000"/>
    <n v="3"/>
    <n v="3"/>
    <x v="2"/>
    <n v="303425.09999999998"/>
    <n v="122185.60000000001"/>
    <n v="181239.5"/>
    <n v="240"/>
    <n v="600.19000000000005"/>
    <n v="85714"/>
    <n v="122432.4"/>
    <n v="208146.4"/>
    <n v="3114.7"/>
    <n v="1181.4000000000001"/>
    <n v="4296.1000000000004"/>
    <n v="29.99"/>
    <n v="0.05"/>
    <n v="1181.4000000000001"/>
    <n v="4296.1000000000004"/>
    <n v="600.24"/>
    <n v="240"/>
    <n v="212442.5"/>
    <n v="29.99"/>
    <n v="800"/>
  </r>
  <r>
    <s v="800_0.4_0.5_2000_3.0_order_4"/>
    <x v="2"/>
    <n v="0.4"/>
    <n v="0.5"/>
    <n v="2000"/>
    <n v="3"/>
    <n v="4"/>
    <x v="2"/>
    <n v="313216.59999999998"/>
    <n v="131697"/>
    <n v="181519.6"/>
    <n v="240"/>
    <n v="600.03"/>
    <n v="92691.9"/>
    <n v="121755.9"/>
    <n v="214447.8"/>
    <n v="3356.1"/>
    <n v="1422.3"/>
    <n v="4778.3999999999996"/>
    <n v="30.01"/>
    <n v="0.03"/>
    <n v="1422.3"/>
    <n v="4778.3999999999996"/>
    <n v="600.07000000000005"/>
    <n v="240"/>
    <n v="219226.2"/>
    <n v="30.01"/>
    <n v="800"/>
  </r>
  <r>
    <s v="800_0.4_0.5_2000_3.0_order_5"/>
    <x v="2"/>
    <n v="0.4"/>
    <n v="0.5"/>
    <n v="2000"/>
    <n v="3"/>
    <n v="5"/>
    <x v="2"/>
    <n v="303871.5"/>
    <n v="126862.1"/>
    <n v="177009.4"/>
    <n v="240"/>
    <n v="600.91"/>
    <n v="87739.7"/>
    <n v="117545.1"/>
    <n v="205284.8"/>
    <n v="3411.7"/>
    <n v="1392.8"/>
    <n v="4804.5"/>
    <n v="30.86"/>
    <n v="0.05"/>
    <n v="1392.8"/>
    <n v="4804.5"/>
    <n v="600.96"/>
    <n v="240"/>
    <n v="210089.3"/>
    <n v="30.86"/>
    <n v="800"/>
  </r>
  <r>
    <s v="800_0.4_0.5_500_1.0_order_1"/>
    <x v="2"/>
    <n v="0.4"/>
    <n v="0.5"/>
    <n v="500"/>
    <n v="1"/>
    <n v="1"/>
    <x v="2"/>
    <n v="40837.5"/>
    <n v="17869.3"/>
    <n v="22968.2"/>
    <n v="240"/>
    <n v="600.44000000000005"/>
    <n v="11109.7"/>
    <n v="14722.8"/>
    <n v="25832.5"/>
    <n v="3023.8"/>
    <n v="1364.9"/>
    <n v="4388.7"/>
    <n v="26"/>
    <n v="0.04"/>
    <n v="1352.1"/>
    <n v="4375.8999999999996"/>
    <n v="600.48"/>
    <n v="240"/>
    <n v="30208.400000000001"/>
    <n v="26.03"/>
    <n v="800"/>
  </r>
  <r>
    <s v="800_0.4_0.5_500_1.0_order_2"/>
    <x v="2"/>
    <n v="0.4"/>
    <n v="0.5"/>
    <n v="500"/>
    <n v="1"/>
    <n v="2"/>
    <x v="2"/>
    <n v="42627.6"/>
    <n v="17237.8"/>
    <n v="25389.8"/>
    <n v="240"/>
    <n v="600.13"/>
    <n v="10624.7"/>
    <n v="16109.4"/>
    <n v="26734.1"/>
    <n v="2729.1"/>
    <n v="1273.9000000000001"/>
    <n v="4003"/>
    <n v="27.89"/>
    <n v="0.03"/>
    <n v="1273.9000000000001"/>
    <n v="4003"/>
    <n v="600.16"/>
    <n v="240"/>
    <n v="30737.1"/>
    <n v="27.89"/>
    <n v="800"/>
  </r>
  <r>
    <s v="800_0.4_0.5_500_1.0_order_3"/>
    <x v="2"/>
    <n v="0.4"/>
    <n v="0.5"/>
    <n v="500"/>
    <n v="1"/>
    <n v="3"/>
    <x v="2"/>
    <n v="43861.8"/>
    <n v="17522.599999999999"/>
    <n v="26339.200000000001"/>
    <n v="240"/>
    <n v="600.19000000000005"/>
    <n v="11026.4"/>
    <n v="16377.6"/>
    <n v="27404"/>
    <n v="2828.4"/>
    <n v="1262.4000000000001"/>
    <n v="4090.8"/>
    <n v="28.2"/>
    <n v="0.04"/>
    <n v="1262.4000000000001"/>
    <n v="4090.8"/>
    <n v="600.23"/>
    <n v="239"/>
    <n v="31494.799999999999"/>
    <n v="28.2"/>
    <n v="800"/>
  </r>
  <r>
    <s v="800_0.4_0.5_500_1.0_order_4"/>
    <x v="2"/>
    <n v="0.4"/>
    <n v="0.5"/>
    <n v="500"/>
    <n v="1"/>
    <n v="4"/>
    <x v="2"/>
    <n v="41801.800000000003"/>
    <n v="16903"/>
    <n v="24898.799999999999"/>
    <n v="240"/>
    <n v="600.83000000000004"/>
    <n v="10561.8"/>
    <n v="15883.8"/>
    <n v="26445.599999999999"/>
    <n v="2980.7"/>
    <n v="1316.1"/>
    <n v="4296.8"/>
    <n v="26.46"/>
    <n v="0.03"/>
    <n v="1316.1"/>
    <n v="4296.8"/>
    <n v="600.86"/>
    <n v="240"/>
    <n v="30742.400000000001"/>
    <n v="26.46"/>
    <n v="800"/>
  </r>
  <r>
    <s v="800_0.4_0.5_500_1.0_order_5"/>
    <x v="2"/>
    <n v="0.4"/>
    <n v="0.5"/>
    <n v="500"/>
    <n v="1"/>
    <n v="5"/>
    <x v="2"/>
    <n v="42102.1"/>
    <n v="17936.900000000001"/>
    <n v="24165.200000000001"/>
    <n v="240"/>
    <n v="600.64"/>
    <n v="11011"/>
    <n v="15474.2"/>
    <n v="26485.200000000001"/>
    <n v="3007.5"/>
    <n v="1157.8"/>
    <n v="4165.3"/>
    <n v="27.2"/>
    <n v="0.03"/>
    <n v="1157.8"/>
    <n v="4165.3"/>
    <n v="600.66999999999996"/>
    <n v="240"/>
    <n v="30650.5"/>
    <n v="27.2"/>
    <n v="800"/>
  </r>
  <r>
    <s v="800_0.4_0.5_500_2.0_order_1"/>
    <x v="2"/>
    <n v="0.4"/>
    <n v="0.5"/>
    <n v="500"/>
    <n v="2"/>
    <n v="1"/>
    <x v="2"/>
    <n v="62386"/>
    <n v="25311.5"/>
    <n v="37074.5"/>
    <n v="240"/>
    <n v="600.08000000000004"/>
    <n v="16627.5"/>
    <n v="24253.4"/>
    <n v="40880.9"/>
    <n v="2825.7"/>
    <n v="1156.7"/>
    <n v="3982.4"/>
    <n v="28.09"/>
    <n v="0.06"/>
    <n v="1155.3"/>
    <n v="3981"/>
    <n v="600.14"/>
    <n v="240"/>
    <n v="44861.9"/>
    <n v="28.09"/>
    <n v="800"/>
  </r>
  <r>
    <s v="800_0.4_0.5_500_2.0_order_2"/>
    <x v="2"/>
    <n v="0.4"/>
    <n v="0.5"/>
    <n v="500"/>
    <n v="2"/>
    <n v="2"/>
    <x v="2"/>
    <n v="62963.7"/>
    <n v="25003.3"/>
    <n v="37960.400000000001"/>
    <n v="240"/>
    <n v="600.64"/>
    <n v="16479.5"/>
    <n v="24709.599999999999"/>
    <n v="41189.1"/>
    <n v="2931.3"/>
    <n v="1166"/>
    <n v="4097.3"/>
    <n v="28.08"/>
    <n v="0.05"/>
    <n v="1166"/>
    <n v="4097.3"/>
    <n v="600.69000000000005"/>
    <n v="240"/>
    <n v="45286.400000000001"/>
    <n v="28.08"/>
    <n v="800"/>
  </r>
  <r>
    <s v="800_0.4_0.5_500_2.0_order_3"/>
    <x v="2"/>
    <n v="0.4"/>
    <n v="0.5"/>
    <n v="500"/>
    <n v="2"/>
    <n v="3"/>
    <x v="2"/>
    <n v="63392.6"/>
    <n v="24930.6"/>
    <n v="38462"/>
    <n v="240"/>
    <n v="600"/>
    <n v="16894.599999999999"/>
    <n v="25600.7"/>
    <n v="42495.3"/>
    <n v="2728.4"/>
    <n v="1062.4000000000001"/>
    <n v="3790.8"/>
    <n v="26.99"/>
    <n v="0.04"/>
    <n v="1062.4000000000001"/>
    <n v="3790.8"/>
    <n v="600.04"/>
    <n v="240"/>
    <n v="46286.1"/>
    <n v="26.99"/>
    <n v="800"/>
  </r>
  <r>
    <s v="800_0.4_0.5_500_2.0_order_4"/>
    <x v="2"/>
    <n v="0.4"/>
    <n v="0.5"/>
    <n v="500"/>
    <n v="2"/>
    <n v="4"/>
    <x v="2"/>
    <n v="62566.6"/>
    <n v="25917.8"/>
    <n v="36648.800000000003"/>
    <n v="240"/>
    <n v="600.42999999999995"/>
    <n v="17249.599999999999"/>
    <n v="23668.5"/>
    <n v="40918.1"/>
    <n v="2883.5"/>
    <n v="1107.5"/>
    <n v="3991"/>
    <n v="28.22"/>
    <n v="0.04"/>
    <n v="1107.5"/>
    <n v="3991"/>
    <n v="600.47"/>
    <n v="240"/>
    <n v="44909.1"/>
    <n v="28.22"/>
    <n v="800"/>
  </r>
  <r>
    <s v="800_0.4_0.5_500_2.0_order_5"/>
    <x v="2"/>
    <n v="0.4"/>
    <n v="0.5"/>
    <n v="500"/>
    <n v="2"/>
    <n v="5"/>
    <x v="2"/>
    <n v="60912.1"/>
    <n v="25149.8"/>
    <n v="35762.300000000003"/>
    <n v="240"/>
    <n v="600.41999999999996"/>
    <n v="16870.5"/>
    <n v="22747.5"/>
    <n v="39618"/>
    <n v="2773.4"/>
    <n v="1227.2"/>
    <n v="4000.6"/>
    <n v="28.39"/>
    <n v="0.05"/>
    <n v="1227.2"/>
    <n v="4000.6"/>
    <n v="600.47"/>
    <n v="240"/>
    <n v="43618.6"/>
    <n v="28.39"/>
    <n v="800"/>
  </r>
  <r>
    <s v="800_0.4_0.5_500_3.0_order_1"/>
    <x v="2"/>
    <n v="0.4"/>
    <n v="0.5"/>
    <n v="500"/>
    <n v="3"/>
    <n v="1"/>
    <x v="2"/>
    <n v="78190.600000000006"/>
    <n v="31020.5"/>
    <n v="47170.1"/>
    <n v="240"/>
    <n v="600.08000000000004"/>
    <n v="20870.8"/>
    <n v="30713.5"/>
    <n v="51584.3"/>
    <n v="2784.3"/>
    <n v="1230.8"/>
    <n v="4015.1"/>
    <n v="28.89"/>
    <n v="0.05"/>
    <n v="1230.8"/>
    <n v="4015.1"/>
    <n v="600.14"/>
    <n v="240"/>
    <n v="55599.4"/>
    <n v="28.89"/>
    <n v="800"/>
  </r>
  <r>
    <s v="800_0.4_0.5_500_3.0_order_2"/>
    <x v="2"/>
    <n v="0.4"/>
    <n v="0.5"/>
    <n v="500"/>
    <n v="3"/>
    <n v="2"/>
    <x v="2"/>
    <n v="78179.5"/>
    <n v="31302.5"/>
    <n v="46877"/>
    <n v="240"/>
    <n v="600.76"/>
    <n v="20978.2"/>
    <n v="31013.200000000001"/>
    <n v="51991.4"/>
    <n v="2811"/>
    <n v="937.4"/>
    <n v="3748.4"/>
    <n v="28.7"/>
    <n v="0.03"/>
    <n v="937.4"/>
    <n v="3748.4"/>
    <n v="600.78"/>
    <n v="240"/>
    <n v="55739.8"/>
    <n v="28.7"/>
    <n v="800"/>
  </r>
  <r>
    <s v="800_0.4_0.5_500_3.0_order_3"/>
    <x v="2"/>
    <n v="0.4"/>
    <n v="0.5"/>
    <n v="500"/>
    <n v="3"/>
    <n v="3"/>
    <x v="2"/>
    <n v="78884.100000000006"/>
    <n v="31125.200000000001"/>
    <n v="47758.9"/>
    <n v="240"/>
    <n v="600.42999999999995"/>
    <n v="20777.2"/>
    <n v="30676.1"/>
    <n v="51453.3"/>
    <n v="2768.9"/>
    <n v="1195.3"/>
    <n v="3964.2"/>
    <n v="29.75"/>
    <n v="0.05"/>
    <n v="1195.3"/>
    <n v="3964.2"/>
    <n v="600.47"/>
    <n v="240"/>
    <n v="55417.5"/>
    <n v="29.75"/>
    <n v="800"/>
  </r>
  <r>
    <s v="800_0.4_0.5_500_3.0_order_4"/>
    <x v="2"/>
    <n v="0.4"/>
    <n v="0.5"/>
    <n v="500"/>
    <n v="3"/>
    <n v="4"/>
    <x v="2"/>
    <n v="79111"/>
    <n v="30679.1"/>
    <n v="48431.9"/>
    <n v="240"/>
    <n v="600.73"/>
    <n v="20602.7"/>
    <n v="31740.6"/>
    <n v="52343.3"/>
    <n v="2661.3"/>
    <n v="938.8"/>
    <n v="3600.1"/>
    <n v="29.28"/>
    <n v="0.05"/>
    <n v="937.4"/>
    <n v="3598.7"/>
    <n v="600.78"/>
    <n v="240"/>
    <n v="55942"/>
    <n v="29.29"/>
    <n v="800"/>
  </r>
  <r>
    <s v="800_0.4_0.5_500_3.0_order_5"/>
    <x v="2"/>
    <n v="0.4"/>
    <n v="0.5"/>
    <n v="500"/>
    <n v="3"/>
    <n v="5"/>
    <x v="2"/>
    <n v="75341"/>
    <n v="31353.200000000001"/>
    <n v="43987.8"/>
    <n v="240"/>
    <n v="600.92999999999995"/>
    <n v="20381.8"/>
    <n v="28517.200000000001"/>
    <n v="48899"/>
    <n v="2924.8"/>
    <n v="1167.8"/>
    <n v="4092.6"/>
    <n v="29.66"/>
    <n v="0.03"/>
    <n v="1167.8"/>
    <n v="4092.6"/>
    <n v="600.96"/>
    <n v="240"/>
    <n v="52991.6"/>
    <n v="29.66"/>
    <n v="800"/>
  </r>
  <r>
    <s v="8000_0.2_0.5_1000_1.0_order_1"/>
    <x v="3"/>
    <n v="0.2"/>
    <n v="0.5"/>
    <n v="1000"/>
    <n v="1"/>
    <n v="1"/>
    <x v="2"/>
    <n v="284028.3"/>
    <n v="113604.7"/>
    <n v="170423.6"/>
    <n v="2400"/>
    <n v="602.96"/>
    <n v="65877.5"/>
    <n v="91435.1"/>
    <n v="157312.6"/>
    <n v="42849.8"/>
    <n v="7197.7"/>
    <n v="50047.5"/>
    <n v="26.99"/>
    <n v="1.21"/>
    <n v="7090.5"/>
    <n v="49940.3"/>
    <n v="604.16999999999996"/>
    <n v="2351"/>
    <n v="207252.9"/>
    <n v="27.03"/>
    <n v="8000"/>
  </r>
  <r>
    <s v="8000_0.2_0.5_1000_1.0_order_2"/>
    <x v="3"/>
    <n v="0.2"/>
    <n v="0.5"/>
    <n v="1000"/>
    <n v="1"/>
    <n v="2"/>
    <x v="2"/>
    <n v="287896"/>
    <n v="114328.4"/>
    <n v="173567.6"/>
    <n v="2400"/>
    <n v="602.74"/>
    <n v="66569.2"/>
    <n v="94185.7"/>
    <n v="160754.9"/>
    <n v="42248.2"/>
    <n v="7409.1"/>
    <n v="49657.3"/>
    <n v="26.91"/>
    <n v="1.67"/>
    <n v="7344"/>
    <n v="49592.2"/>
    <n v="604.4"/>
    <n v="2399"/>
    <n v="210347.1"/>
    <n v="26.94"/>
    <n v="8000"/>
  </r>
  <r>
    <s v="8000_0.2_0.5_1000_1.0_order_3"/>
    <x v="3"/>
    <n v="0.2"/>
    <n v="0.5"/>
    <n v="1000"/>
    <n v="1"/>
    <n v="3"/>
    <x v="2"/>
    <n v="300995"/>
    <n v="115406.7"/>
    <n v="185588.3"/>
    <n v="2400"/>
    <n v="600.02"/>
    <n v="66460"/>
    <n v="100706.6"/>
    <n v="167166.6"/>
    <n v="41729.800000000003"/>
    <n v="7242.1"/>
    <n v="48971.9"/>
    <n v="28.19"/>
    <n v="1.23"/>
    <n v="7201.2"/>
    <n v="48931"/>
    <n v="601.24"/>
    <n v="2400"/>
    <n v="216097.6"/>
    <n v="28.21"/>
    <n v="8000"/>
  </r>
  <r>
    <s v="8000_0.2_0.5_1000_1.0_order_4"/>
    <x v="3"/>
    <n v="0.2"/>
    <n v="0.5"/>
    <n v="1000"/>
    <n v="1"/>
    <n v="4"/>
    <x v="2"/>
    <n v="281856.2"/>
    <n v="115121.2"/>
    <n v="166735"/>
    <n v="2400"/>
    <n v="600.02"/>
    <n v="66500.899999999994"/>
    <n v="91429.7"/>
    <n v="157930.6"/>
    <n v="42448.1"/>
    <n v="7723.9"/>
    <n v="50172"/>
    <n v="26.17"/>
    <n v="1.93"/>
    <n v="7629.7"/>
    <n v="50077.8"/>
    <n v="601.96"/>
    <n v="2400"/>
    <n v="208008.4"/>
    <n v="26.2"/>
    <n v="8000"/>
  </r>
  <r>
    <s v="8000_0.2_0.5_1000_1.0_order_5"/>
    <x v="3"/>
    <n v="0.2"/>
    <n v="0.5"/>
    <n v="1000"/>
    <n v="1"/>
    <n v="5"/>
    <x v="2"/>
    <n v="290451.90000000002"/>
    <n v="115475.8"/>
    <n v="174976.1"/>
    <n v="2400"/>
    <n v="601.20000000000005"/>
    <n v="66957.3"/>
    <n v="95030.399999999994"/>
    <n v="161987.70000000001"/>
    <n v="42100.800000000003"/>
    <n v="7415.7"/>
    <n v="49516.5"/>
    <n v="27.18"/>
    <n v="1.37"/>
    <n v="7354.4"/>
    <n v="49455.199999999997"/>
    <n v="602.57000000000005"/>
    <n v="2398"/>
    <n v="211442.9"/>
    <n v="27.2"/>
    <n v="8000"/>
  </r>
  <r>
    <s v="8000_0.2_0.5_1000_2.0_order_1"/>
    <x v="3"/>
    <n v="0.2"/>
    <n v="0.5"/>
    <n v="1000"/>
    <n v="2"/>
    <n v="1"/>
    <x v="2"/>
    <n v="451665.2"/>
    <n v="173512.3"/>
    <n v="278152.90000000002"/>
    <n v="2400"/>
    <n v="602.62"/>
    <n v="101699.7"/>
    <n v="149648.9"/>
    <n v="251348.6"/>
    <n v="45165.9"/>
    <n v="8794.5"/>
    <n v="53960.4"/>
    <n v="32.4"/>
    <n v="0.85"/>
    <n v="8723.2999999999993"/>
    <n v="53889.2"/>
    <n v="603.47"/>
    <n v="2385"/>
    <n v="305237.8"/>
    <n v="32.42"/>
    <n v="8000"/>
  </r>
  <r>
    <s v="8000_0.2_0.5_1000_2.0_order_2"/>
    <x v="3"/>
    <n v="0.2"/>
    <n v="0.5"/>
    <n v="1000"/>
    <n v="2"/>
    <n v="2"/>
    <x v="2"/>
    <n v="440100.8"/>
    <n v="164654.6"/>
    <n v="275446.2"/>
    <n v="2400"/>
    <n v="603.16999999999996"/>
    <n v="95502.9"/>
    <n v="145260.20000000001"/>
    <n v="240763.1"/>
    <n v="43989.4"/>
    <n v="8533.7000000000007"/>
    <n v="52523.1"/>
    <n v="33.36"/>
    <n v="0.76"/>
    <n v="8485"/>
    <n v="52474.400000000001"/>
    <n v="603.92999999999995"/>
    <n v="2395"/>
    <n v="293237.5"/>
    <n v="33.369999999999997"/>
    <n v="8000"/>
  </r>
  <r>
    <s v="8000_0.2_0.5_1000_2.0_order_3"/>
    <x v="3"/>
    <n v="0.2"/>
    <n v="0.5"/>
    <n v="1000"/>
    <n v="2"/>
    <n v="3"/>
    <x v="2"/>
    <n v="437246.5"/>
    <n v="162976.70000000001"/>
    <n v="274269.8"/>
    <n v="2400"/>
    <n v="603.38"/>
    <n v="93085.6"/>
    <n v="148977.5"/>
    <n v="242063.1"/>
    <n v="44395.5"/>
    <n v="8687.7999999999993"/>
    <n v="53083.3"/>
    <n v="32.5"/>
    <n v="0.95"/>
    <n v="8527.4"/>
    <n v="52922.9"/>
    <n v="604.33000000000004"/>
    <n v="2395"/>
    <n v="294986"/>
    <n v="32.54"/>
    <n v="8000"/>
  </r>
  <r>
    <s v="8000_0.2_0.5_1000_2.0_order_4"/>
    <x v="3"/>
    <n v="0.2"/>
    <n v="0.5"/>
    <n v="1000"/>
    <n v="2"/>
    <n v="4"/>
    <x v="2"/>
    <n v="456550.1"/>
    <n v="164153.29999999999"/>
    <n v="292396.79999999999"/>
    <n v="2400"/>
    <n v="602.36"/>
    <n v="93225.8"/>
    <n v="155611.5"/>
    <n v="248837.3"/>
    <n v="47511.9"/>
    <n v="8797.5"/>
    <n v="56309.4"/>
    <n v="33.159999999999997"/>
    <n v="0.99"/>
    <n v="8744.7999999999993"/>
    <n v="56256.7"/>
    <n v="603.35"/>
    <n v="2397"/>
    <n v="305094"/>
    <n v="33.17"/>
    <n v="8000"/>
  </r>
  <r>
    <s v="8000_0.2_0.5_1000_2.0_order_5"/>
    <x v="3"/>
    <n v="0.2"/>
    <n v="0.5"/>
    <n v="1000"/>
    <n v="2"/>
    <n v="5"/>
    <x v="2"/>
    <n v="457523.20000000001"/>
    <n v="176183.7"/>
    <n v="281339.5"/>
    <n v="2400"/>
    <n v="603.04"/>
    <n v="100967"/>
    <n v="150819.9"/>
    <n v="251786.9"/>
    <n v="46037.4"/>
    <n v="9030.4"/>
    <n v="55067.8"/>
    <n v="32.93"/>
    <n v="0.95"/>
    <n v="8937.2999999999993"/>
    <n v="54974.7"/>
    <n v="603.98"/>
    <n v="2392"/>
    <n v="306761.59999999998"/>
    <n v="32.950000000000003"/>
    <n v="8000"/>
  </r>
  <r>
    <s v="8000_0.2_0.5_1000_3.0_order_1"/>
    <x v="3"/>
    <n v="0.2"/>
    <n v="0.5"/>
    <n v="1000"/>
    <n v="3"/>
    <n v="1"/>
    <x v="2"/>
    <n v="593161.5"/>
    <n v="215760"/>
    <n v="377401.5"/>
    <n v="2400"/>
    <n v="602.1"/>
    <n v="122790"/>
    <n v="209174.7"/>
    <n v="331964.7"/>
    <n v="50762.7"/>
    <n v="11399"/>
    <n v="62161.7"/>
    <n v="33.549999999999997"/>
    <n v="0.82"/>
    <n v="11339.1"/>
    <n v="62101.8"/>
    <n v="602.91999999999996"/>
    <n v="2399"/>
    <n v="394066.5"/>
    <n v="33.57"/>
    <n v="8000"/>
  </r>
  <r>
    <s v="8000_0.2_0.5_1000_3.0_order_2"/>
    <x v="3"/>
    <n v="0.2"/>
    <n v="0.5"/>
    <n v="1000"/>
    <n v="3"/>
    <n v="2"/>
    <x v="2"/>
    <n v="597665.69999999995"/>
    <n v="223856.5"/>
    <n v="373809.2"/>
    <n v="2400"/>
    <n v="602.74"/>
    <n v="127137.5"/>
    <n v="206657.3"/>
    <n v="333794.8"/>
    <n v="50361.3"/>
    <n v="11649.1"/>
    <n v="62010.400000000001"/>
    <n v="33.770000000000003"/>
    <n v="0.87"/>
    <n v="11565"/>
    <n v="61926.3"/>
    <n v="603.61"/>
    <n v="2399"/>
    <n v="395721.1"/>
    <n v="33.79"/>
    <n v="8000"/>
  </r>
  <r>
    <s v="8000_0.2_0.5_1000_3.0_order_3"/>
    <x v="3"/>
    <n v="0.2"/>
    <n v="0.5"/>
    <n v="1000"/>
    <n v="3"/>
    <n v="3"/>
    <x v="2"/>
    <n v="583722.1"/>
    <n v="223799"/>
    <n v="359923.1"/>
    <n v="2400"/>
    <n v="603.24"/>
    <n v="124306.9"/>
    <n v="196509.1"/>
    <n v="320816"/>
    <n v="50002.9"/>
    <n v="10971.7"/>
    <n v="60974.6"/>
    <n v="34.590000000000003"/>
    <n v="0.83"/>
    <n v="10905.6"/>
    <n v="60908.5"/>
    <n v="604.07000000000005"/>
    <n v="2399"/>
    <n v="381724.5"/>
    <n v="34.61"/>
    <n v="8000"/>
  </r>
  <r>
    <s v="8000_0.2_0.5_1000_3.0_order_4"/>
    <x v="3"/>
    <n v="0.2"/>
    <n v="0.5"/>
    <n v="1000"/>
    <n v="3"/>
    <n v="4"/>
    <x v="2"/>
    <n v="587036.19999999995"/>
    <n v="229321.60000000001"/>
    <n v="357714.6"/>
    <n v="2400"/>
    <n v="602.79"/>
    <n v="127452.6"/>
    <n v="196001.6"/>
    <n v="323454.2"/>
    <n v="49562.7"/>
    <n v="11432.7"/>
    <n v="60995.4"/>
    <n v="34.51"/>
    <n v="0.87"/>
    <n v="11318.9"/>
    <n v="60881.599999999999"/>
    <n v="603.66999999999996"/>
    <n v="2397"/>
    <n v="384335.8"/>
    <n v="34.53"/>
    <n v="8000"/>
  </r>
  <r>
    <s v="8000_0.2_0.5_1000_3.0_order_5"/>
    <x v="3"/>
    <n v="0.2"/>
    <n v="0.5"/>
    <n v="1000"/>
    <n v="3"/>
    <n v="5"/>
    <x v="2"/>
    <n v="592275.9"/>
    <n v="226754.8"/>
    <n v="365521.1"/>
    <n v="2400"/>
    <n v="601.9"/>
    <n v="128383.7"/>
    <n v="201029.9"/>
    <n v="329413.59999999998"/>
    <n v="50852.3"/>
    <n v="11841.8"/>
    <n v="62694.1"/>
    <n v="33.799999999999997"/>
    <n v="0.81"/>
    <n v="11748.9"/>
    <n v="62601.2"/>
    <n v="602.71"/>
    <n v="2396"/>
    <n v="392014.8"/>
    <n v="33.81"/>
    <n v="8000"/>
  </r>
  <r>
    <s v="8000_0.2_0.5_2000_1.0_order_1"/>
    <x v="3"/>
    <n v="0.2"/>
    <n v="0.5"/>
    <n v="2000"/>
    <n v="1"/>
    <n v="1"/>
    <x v="2"/>
    <n v="572946.6"/>
    <n v="225821.5"/>
    <n v="347125.1"/>
    <n v="2400"/>
    <n v="602.75"/>
    <n v="130649.7"/>
    <n v="186807.9"/>
    <n v="317457.59999999998"/>
    <n v="65468.4"/>
    <n v="13934.6"/>
    <n v="79403"/>
    <n v="30.73"/>
    <n v="0.77"/>
    <n v="13733.3"/>
    <n v="79201.7"/>
    <n v="603.52"/>
    <n v="2398"/>
    <n v="396659.3"/>
    <n v="30.77"/>
    <n v="8000"/>
  </r>
  <r>
    <s v="8000_0.2_0.5_2000_1.0_order_2"/>
    <x v="3"/>
    <n v="0.2"/>
    <n v="0.5"/>
    <n v="2000"/>
    <n v="1"/>
    <n v="2"/>
    <x v="2"/>
    <n v="581428.4"/>
    <n v="226042.1"/>
    <n v="355386.3"/>
    <n v="2400"/>
    <n v="602.84"/>
    <n v="136409.4"/>
    <n v="195626.3"/>
    <n v="332035.7"/>
    <n v="63645.599999999999"/>
    <n v="12622.5"/>
    <n v="76268.100000000006"/>
    <n v="29.78"/>
    <n v="0.77"/>
    <n v="12357.6"/>
    <n v="76003.199999999997"/>
    <n v="603.62"/>
    <n v="2378"/>
    <n v="408038.9"/>
    <n v="29.82"/>
    <n v="8000"/>
  </r>
  <r>
    <s v="8000_0.2_0.5_2000_1.0_order_3"/>
    <x v="3"/>
    <n v="0.2"/>
    <n v="0.5"/>
    <n v="2000"/>
    <n v="1"/>
    <n v="3"/>
    <x v="2"/>
    <n v="579172.6"/>
    <n v="229614.6"/>
    <n v="349558"/>
    <n v="2400"/>
    <n v="603.22"/>
    <n v="134433.1"/>
    <n v="191382.2"/>
    <n v="325815.3"/>
    <n v="64357.3"/>
    <n v="13015.4"/>
    <n v="77372.7"/>
    <n v="30.39"/>
    <n v="0.6"/>
    <n v="12875.4"/>
    <n v="77232.7"/>
    <n v="603.82000000000005"/>
    <n v="2399"/>
    <n v="403048"/>
    <n v="30.41"/>
    <n v="8000"/>
  </r>
  <r>
    <s v="8000_0.2_0.5_2000_1.0_order_4"/>
    <x v="3"/>
    <n v="0.2"/>
    <n v="0.5"/>
    <n v="2000"/>
    <n v="1"/>
    <n v="4"/>
    <x v="2"/>
    <n v="566645.6"/>
    <n v="222393.3"/>
    <n v="344252.3"/>
    <n v="2400"/>
    <n v="600.01"/>
    <n v="133611.4"/>
    <n v="190447.2"/>
    <n v="324058.59999999998"/>
    <n v="63420.4"/>
    <n v="13017"/>
    <n v="76437.399999999994"/>
    <n v="29.32"/>
    <n v="0.85"/>
    <n v="12833.2"/>
    <n v="76253.600000000006"/>
    <n v="600.86"/>
    <n v="2396"/>
    <n v="400312.2"/>
    <n v="29.35"/>
    <n v="8000"/>
  </r>
  <r>
    <s v="8000_0.2_0.5_2000_1.0_order_5"/>
    <x v="3"/>
    <n v="0.2"/>
    <n v="0.5"/>
    <n v="2000"/>
    <n v="1"/>
    <n v="5"/>
    <x v="2"/>
    <n v="577946.30000000005"/>
    <n v="226808.2"/>
    <n v="351138.1"/>
    <n v="2400"/>
    <n v="603.32000000000005"/>
    <n v="136367.6"/>
    <n v="196109.8"/>
    <n v="332477.40000000002"/>
    <n v="63192.6"/>
    <n v="12437.5"/>
    <n v="75630.100000000006"/>
    <n v="29.39"/>
    <n v="0.68"/>
    <n v="12308.6"/>
    <n v="75501.2"/>
    <n v="604"/>
    <n v="2392"/>
    <n v="407978.6"/>
    <n v="29.41"/>
    <n v="8000"/>
  </r>
  <r>
    <s v="8000_0.2_0.5_2000_2.0_order_1"/>
    <x v="3"/>
    <n v="0.2"/>
    <n v="0.5"/>
    <n v="2000"/>
    <n v="2"/>
    <n v="1"/>
    <x v="2"/>
    <n v="886233.1"/>
    <n v="345610.9"/>
    <n v="540622.19999999995"/>
    <n v="2400"/>
    <n v="603.42999999999995"/>
    <n v="208580.5"/>
    <n v="306715.2"/>
    <n v="515295.7"/>
    <n v="63218.1"/>
    <n v="16546.400000000001"/>
    <n v="79764.5"/>
    <n v="32.86"/>
    <n v="0.9"/>
    <n v="16171.1"/>
    <n v="79389.2"/>
    <n v="604.33000000000004"/>
    <n v="2387"/>
    <n v="594684.9"/>
    <n v="32.9"/>
    <n v="8000"/>
  </r>
  <r>
    <s v="8000_0.2_0.5_2000_2.0_order_2"/>
    <x v="3"/>
    <n v="0.2"/>
    <n v="0.5"/>
    <n v="2000"/>
    <n v="2"/>
    <n v="2"/>
    <x v="2"/>
    <n v="892256.8"/>
    <n v="337135.3"/>
    <n v="555121.5"/>
    <n v="2400"/>
    <n v="603.02"/>
    <n v="202975.7"/>
    <n v="312964.3"/>
    <n v="515940"/>
    <n v="63731.9"/>
    <n v="16416.400000000001"/>
    <n v="80148.3"/>
    <n v="33.19"/>
    <n v="0.85"/>
    <n v="16258.1"/>
    <n v="79990"/>
    <n v="603.87"/>
    <n v="2390"/>
    <n v="595930"/>
    <n v="33.21"/>
    <n v="8000"/>
  </r>
  <r>
    <s v="8000_0.2_0.5_2000_2.0_order_3"/>
    <x v="3"/>
    <n v="0.2"/>
    <n v="0.5"/>
    <n v="2000"/>
    <n v="2"/>
    <n v="3"/>
    <x v="2"/>
    <n v="915025.1"/>
    <n v="344856.5"/>
    <n v="570168.6"/>
    <n v="2400"/>
    <n v="602.41"/>
    <n v="201695.4"/>
    <n v="321852.90000000002"/>
    <n v="523548.3"/>
    <n v="66012.2"/>
    <n v="17029"/>
    <n v="83041.2"/>
    <n v="33.71"/>
    <n v="1.02"/>
    <n v="16803.7"/>
    <n v="82815.899999999994"/>
    <n v="603.42999999999995"/>
    <n v="2352"/>
    <n v="606364.19999999995"/>
    <n v="33.729999999999997"/>
    <n v="8000"/>
  </r>
  <r>
    <s v="8000_0.2_0.5_2000_2.0_order_4"/>
    <x v="3"/>
    <n v="0.2"/>
    <n v="0.5"/>
    <n v="2000"/>
    <n v="2"/>
    <n v="4"/>
    <x v="2"/>
    <n v="904841.1"/>
    <n v="328939.59999999998"/>
    <n v="575901.5"/>
    <n v="2400"/>
    <n v="602.32000000000005"/>
    <n v="199570.5"/>
    <n v="324046.8"/>
    <n v="523617.3"/>
    <n v="64444.9"/>
    <n v="16374.8"/>
    <n v="80819.7"/>
    <n v="33.200000000000003"/>
    <n v="0.59"/>
    <n v="16291.3"/>
    <n v="80736.2"/>
    <n v="602.91"/>
    <n v="2398"/>
    <n v="604353.5"/>
    <n v="33.21"/>
    <n v="8000"/>
  </r>
  <r>
    <s v="8000_0.2_0.5_2000_2.0_order_5"/>
    <x v="3"/>
    <n v="0.2"/>
    <n v="0.5"/>
    <n v="2000"/>
    <n v="2"/>
    <n v="5"/>
    <x v="2"/>
    <n v="914600.1"/>
    <n v="350446.2"/>
    <n v="564153.9"/>
    <n v="2400"/>
    <n v="602.65"/>
    <n v="211359.3"/>
    <n v="315398.5"/>
    <n v="526757.80000000005"/>
    <n v="64649.1"/>
    <n v="16803.8"/>
    <n v="81452.899999999994"/>
    <n v="33.5"/>
    <n v="0.71"/>
    <n v="16574.099999999999"/>
    <n v="81223.199999999997"/>
    <n v="603.36"/>
    <n v="2398"/>
    <n v="607981"/>
    <n v="33.520000000000003"/>
    <n v="8000"/>
  </r>
  <r>
    <s v="8000_0.2_0.5_2000_3.0_order_1"/>
    <x v="3"/>
    <n v="0.2"/>
    <n v="0.5"/>
    <n v="2000"/>
    <n v="3"/>
    <n v="1"/>
    <x v="2"/>
    <n v="1177757.2"/>
    <n v="449352.6"/>
    <n v="728404.6"/>
    <n v="2400"/>
    <n v="600.20000000000005"/>
    <n v="271970"/>
    <n v="434956.5"/>
    <n v="706926.5"/>
    <n v="64936.7"/>
    <n v="18347.7"/>
    <n v="83284.399999999994"/>
    <n v="32.909999999999997"/>
    <n v="0.85"/>
    <n v="18334.900000000001"/>
    <n v="83271.600000000006"/>
    <n v="601.04999999999995"/>
    <n v="2273"/>
    <n v="790198.1"/>
    <n v="32.909999999999997"/>
    <n v="8000"/>
  </r>
  <r>
    <s v="8000_0.2_0.5_2000_3.0_order_2"/>
    <x v="3"/>
    <n v="0.2"/>
    <n v="0.5"/>
    <n v="2000"/>
    <n v="3"/>
    <n v="2"/>
    <x v="2"/>
    <n v="1164215.3999999999"/>
    <n v="455176.9"/>
    <n v="709038.5"/>
    <n v="2400"/>
    <n v="600.32000000000005"/>
    <n v="277106"/>
    <n v="423512.6"/>
    <n v="700618.6"/>
    <n v="64011.9"/>
    <n v="18214.099999999999"/>
    <n v="82226"/>
    <n v="32.76"/>
    <n v="0.69"/>
    <n v="18213.900000000001"/>
    <n v="82225.8"/>
    <n v="601.01"/>
    <n v="2181"/>
    <n v="782844.4"/>
    <n v="32.76"/>
    <n v="8000"/>
  </r>
  <r>
    <s v="8000_0.2_0.5_2000_3.0_order_3"/>
    <x v="3"/>
    <n v="0.2"/>
    <n v="0.5"/>
    <n v="2000"/>
    <n v="3"/>
    <n v="3"/>
    <x v="2"/>
    <n v="1186733.8999999999"/>
    <n v="435508.8"/>
    <n v="751225.1"/>
    <n v="2400"/>
    <n v="600.02"/>
    <n v="266188.59999999998"/>
    <n v="443423.7"/>
    <n v="709612.3"/>
    <n v="64005.5"/>
    <n v="17601.900000000001"/>
    <n v="81607.399999999994"/>
    <n v="33.33"/>
    <n v="0.76"/>
    <n v="17596.8"/>
    <n v="81602.3"/>
    <n v="600.78"/>
    <n v="2168"/>
    <n v="791214.6"/>
    <n v="33.33"/>
    <n v="8000"/>
  </r>
  <r>
    <s v="8000_0.2_0.5_2000_3.0_order_4"/>
    <x v="3"/>
    <n v="0.2"/>
    <n v="0.5"/>
    <n v="2000"/>
    <n v="3"/>
    <n v="4"/>
    <x v="2"/>
    <n v="1163514.6000000001"/>
    <n v="442546.5"/>
    <n v="720968.1"/>
    <n v="2400"/>
    <n v="601.37"/>
    <n v="267770.59999999998"/>
    <n v="426275.5"/>
    <n v="694046.1"/>
    <n v="65100.9"/>
    <n v="17656.8"/>
    <n v="82757.7"/>
    <n v="33.24"/>
    <n v="0.92"/>
    <n v="17650.599999999999"/>
    <n v="82751.5"/>
    <n v="602.28"/>
    <n v="2264"/>
    <n v="776797.6"/>
    <n v="33.24"/>
    <n v="8000"/>
  </r>
  <r>
    <s v="8000_0.2_0.5_2000_3.0_order_5"/>
    <x v="3"/>
    <n v="0.2"/>
    <n v="0.5"/>
    <n v="2000"/>
    <n v="3"/>
    <n v="5"/>
    <x v="2"/>
    <n v="1171444.5"/>
    <n v="445181.7"/>
    <n v="726262.8"/>
    <n v="2400"/>
    <n v="602.57000000000005"/>
    <n v="266352.40000000002"/>
    <n v="429376.1"/>
    <n v="695728.5"/>
    <n v="65639"/>
    <n v="18047"/>
    <n v="83686"/>
    <n v="33.47"/>
    <n v="0.66"/>
    <n v="18047"/>
    <n v="83686"/>
    <n v="603.23"/>
    <n v="2279"/>
    <n v="779414.5"/>
    <n v="33.47"/>
    <n v="8000"/>
  </r>
  <r>
    <s v="8000_0.2_0.5_500_1.0_order_1"/>
    <x v="3"/>
    <n v="0.2"/>
    <n v="0.5"/>
    <n v="500"/>
    <n v="1"/>
    <n v="1"/>
    <x v="2"/>
    <n v="147087"/>
    <n v="56509.5"/>
    <n v="90577.5"/>
    <n v="2400"/>
    <n v="601.92999999999995"/>
    <n v="33006.5"/>
    <n v="50685.599999999999"/>
    <n v="83692.100000000006"/>
    <n v="22685.599999999999"/>
    <n v="2968.1"/>
    <n v="25653.7"/>
    <n v="25.66"/>
    <n v="0.36"/>
    <n v="2962.2"/>
    <n v="25647.8"/>
    <n v="602.29"/>
    <n v="1442"/>
    <n v="109339.9"/>
    <n v="25.66"/>
    <n v="8000"/>
  </r>
  <r>
    <s v="8000_0.2_0.5_500_1.0_order_2"/>
    <x v="3"/>
    <n v="0.2"/>
    <n v="0.5"/>
    <n v="500"/>
    <n v="1"/>
    <n v="2"/>
    <x v="2"/>
    <n v="140233.70000000001"/>
    <n v="55542.9"/>
    <n v="84690.8"/>
    <n v="2400"/>
    <n v="601.77"/>
    <n v="33768.800000000003"/>
    <n v="48657.1"/>
    <n v="82425.899999999994"/>
    <n v="22239"/>
    <n v="3336.3"/>
    <n v="25575.3"/>
    <n v="22.98"/>
    <n v="0.69"/>
    <n v="3311.1"/>
    <n v="25550.1"/>
    <n v="602.46"/>
    <n v="1444"/>
    <n v="107976"/>
    <n v="23"/>
    <n v="8000"/>
  </r>
  <r>
    <s v="8000_0.2_0.5_500_1.0_order_3"/>
    <x v="3"/>
    <n v="0.2"/>
    <n v="0.5"/>
    <n v="500"/>
    <n v="1"/>
    <n v="3"/>
    <x v="2"/>
    <n v="140525.6"/>
    <n v="54367.5"/>
    <n v="86158.1"/>
    <n v="2400"/>
    <n v="601.04999999999995"/>
    <n v="32244.3"/>
    <n v="48817.599999999999"/>
    <n v="81061.899999999994"/>
    <n v="22144.400000000001"/>
    <n v="2964.3"/>
    <n v="25108.7"/>
    <n v="24.45"/>
    <n v="0.54"/>
    <n v="2939.7"/>
    <n v="25084.1"/>
    <n v="601.59"/>
    <n v="1433"/>
    <n v="106146"/>
    <n v="24.47"/>
    <n v="8000"/>
  </r>
  <r>
    <s v="8000_0.2_0.5_500_1.0_order_4"/>
    <x v="3"/>
    <n v="0.2"/>
    <n v="0.5"/>
    <n v="500"/>
    <n v="1"/>
    <n v="4"/>
    <x v="2"/>
    <n v="151849.20000000001"/>
    <n v="56962.9"/>
    <n v="94886.3"/>
    <n v="2400"/>
    <n v="600.02"/>
    <n v="34327.599999999999"/>
    <n v="52238.7"/>
    <n v="86566.3"/>
    <n v="22577.4"/>
    <n v="3421"/>
    <n v="25998.400000000001"/>
    <n v="25.87"/>
    <n v="0.69"/>
    <n v="3409.1"/>
    <n v="25986.5"/>
    <n v="600.70000000000005"/>
    <n v="1548"/>
    <n v="112552.8"/>
    <n v="25.88"/>
    <n v="8000"/>
  </r>
  <r>
    <s v="8000_0.2_0.5_500_1.0_order_5"/>
    <x v="3"/>
    <n v="0.2"/>
    <n v="0.5"/>
    <n v="500"/>
    <n v="1"/>
    <n v="5"/>
    <x v="2"/>
    <n v="148628.79999999999"/>
    <n v="57255.199999999997"/>
    <n v="91373.6"/>
    <n v="2400"/>
    <n v="602.13"/>
    <n v="32939.1"/>
    <n v="50008.4"/>
    <n v="82947.5"/>
    <n v="24135.1"/>
    <n v="3552.3"/>
    <n v="27687.4"/>
    <n v="25.56"/>
    <n v="0.64"/>
    <n v="3548.7"/>
    <n v="27683.8"/>
    <n v="602.78"/>
    <n v="1555"/>
    <n v="110631.3"/>
    <n v="25.57"/>
    <n v="8000"/>
  </r>
  <r>
    <s v="8000_0.2_0.5_500_2.0_order_1"/>
    <x v="3"/>
    <n v="0.2"/>
    <n v="0.5"/>
    <n v="500"/>
    <n v="2"/>
    <n v="1"/>
    <x v="2"/>
    <n v="229302.1"/>
    <n v="94901.2"/>
    <n v="134400.9"/>
    <n v="2400"/>
    <n v="603.03"/>
    <n v="52245.7"/>
    <n v="69845.899999999994"/>
    <n v="122091.6"/>
    <n v="29341.3"/>
    <n v="4720.2"/>
    <n v="34061.5"/>
    <n v="31.9"/>
    <n v="1.33"/>
    <n v="4667.3999999999996"/>
    <n v="34008.699999999997"/>
    <n v="604.36"/>
    <n v="2252"/>
    <n v="156100.29999999999"/>
    <n v="31.92"/>
    <n v="8000"/>
  </r>
  <r>
    <s v="8000_0.2_0.5_500_2.0_order_2"/>
    <x v="3"/>
    <n v="0.2"/>
    <n v="0.5"/>
    <n v="500"/>
    <n v="2"/>
    <n v="2"/>
    <x v="2"/>
    <n v="226447.5"/>
    <n v="92815.2"/>
    <n v="133632.29999999999"/>
    <n v="2400"/>
    <n v="600"/>
    <n v="50250.2"/>
    <n v="71045.100000000006"/>
    <n v="121295.3"/>
    <n v="29341.8"/>
    <n v="4778.3999999999996"/>
    <n v="34120.199999999997"/>
    <n v="31.37"/>
    <n v="1.26"/>
    <n v="4729.8"/>
    <n v="34071.599999999999"/>
    <n v="601.26"/>
    <n v="2230"/>
    <n v="155366.9"/>
    <n v="31.39"/>
    <n v="8000"/>
  </r>
  <r>
    <s v="8000_0.2_0.5_500_2.0_order_3"/>
    <x v="3"/>
    <n v="0.2"/>
    <n v="0.5"/>
    <n v="500"/>
    <n v="2"/>
    <n v="3"/>
    <x v="2"/>
    <n v="222263.2"/>
    <n v="93658.5"/>
    <n v="128604.7"/>
    <n v="2400"/>
    <n v="602.41999999999996"/>
    <n v="52966.3"/>
    <n v="71421.100000000006"/>
    <n v="124387.4"/>
    <n v="27565.3"/>
    <n v="4158.2"/>
    <n v="31723.5"/>
    <n v="29.76"/>
    <n v="1.1399999999999999"/>
    <n v="4108.1000000000004"/>
    <n v="31673.4"/>
    <n v="603.55999999999995"/>
    <n v="2042"/>
    <n v="156060.79999999999"/>
    <n v="29.79"/>
    <n v="8000"/>
  </r>
  <r>
    <s v="8000_0.2_0.5_500_2.0_order_4"/>
    <x v="3"/>
    <n v="0.2"/>
    <n v="0.5"/>
    <n v="500"/>
    <n v="2"/>
    <n v="4"/>
    <x v="2"/>
    <n v="229297.3"/>
    <n v="84967.3"/>
    <n v="144330"/>
    <n v="2400"/>
    <n v="602.76"/>
    <n v="48532.9"/>
    <n v="77399.600000000006"/>
    <n v="125932.5"/>
    <n v="28664.400000000001"/>
    <n v="3970.7"/>
    <n v="32635.1"/>
    <n v="30.85"/>
    <n v="0.93"/>
    <n v="3943.6"/>
    <n v="32608"/>
    <n v="603.69000000000005"/>
    <n v="2120"/>
    <n v="158540.5"/>
    <n v="30.86"/>
    <n v="8000"/>
  </r>
  <r>
    <s v="8000_0.2_0.5_500_2.0_order_5"/>
    <x v="3"/>
    <n v="0.2"/>
    <n v="0.5"/>
    <n v="500"/>
    <n v="2"/>
    <n v="5"/>
    <x v="2"/>
    <n v="224542.5"/>
    <n v="82787.3"/>
    <n v="141755.20000000001"/>
    <n v="2400"/>
    <n v="600"/>
    <n v="46875.6"/>
    <n v="76718.399999999994"/>
    <n v="123594"/>
    <n v="29110.400000000001"/>
    <n v="4488.1000000000004"/>
    <n v="33598.5"/>
    <n v="29.99"/>
    <n v="1.36"/>
    <n v="4454.5"/>
    <n v="33564.9"/>
    <n v="601.36"/>
    <n v="2210"/>
    <n v="157158.9"/>
    <n v="30.01"/>
    <n v="8000"/>
  </r>
  <r>
    <s v="8000_0.2_0.5_500_3.0_order_1"/>
    <x v="3"/>
    <n v="0.2"/>
    <n v="0.5"/>
    <n v="500"/>
    <n v="3"/>
    <n v="1"/>
    <x v="2"/>
    <n v="292420.09999999998"/>
    <n v="108941.2"/>
    <n v="183478.9"/>
    <n v="2400"/>
    <n v="603.96"/>
    <n v="60348.3"/>
    <n v="97382.9"/>
    <n v="157731.20000000001"/>
    <n v="32602"/>
    <n v="5792.8"/>
    <n v="38394.800000000003"/>
    <n v="32.93"/>
    <n v="1.53"/>
    <n v="5710.7"/>
    <n v="38312.699999999997"/>
    <n v="605.49"/>
    <n v="2396"/>
    <n v="196043.9"/>
    <n v="32.96"/>
    <n v="8000"/>
  </r>
  <r>
    <s v="8000_0.2_0.5_500_3.0_order_2"/>
    <x v="3"/>
    <n v="0.2"/>
    <n v="0.5"/>
    <n v="500"/>
    <n v="3"/>
    <n v="2"/>
    <x v="2"/>
    <n v="282153.40000000002"/>
    <n v="107647.8"/>
    <n v="174505.60000000001"/>
    <n v="2400"/>
    <n v="603.59"/>
    <n v="60701.2"/>
    <n v="94008.1"/>
    <n v="154709.29999999999"/>
    <n v="31923.4"/>
    <n v="5204.8"/>
    <n v="37128.199999999997"/>
    <n v="32.01"/>
    <n v="1.31"/>
    <n v="5159.5"/>
    <n v="37082.9"/>
    <n v="604.9"/>
    <n v="2398"/>
    <n v="191792.2"/>
    <n v="32.03"/>
    <n v="8000"/>
  </r>
  <r>
    <s v="8000_0.2_0.5_500_3.0_order_3"/>
    <x v="3"/>
    <n v="0.2"/>
    <n v="0.5"/>
    <n v="500"/>
    <n v="3"/>
    <n v="3"/>
    <x v="2"/>
    <n v="286274.09999999998"/>
    <n v="110452.9"/>
    <n v="175821.2"/>
    <n v="2400"/>
    <n v="600.01"/>
    <n v="61185.7"/>
    <n v="94910.1"/>
    <n v="156095.79999999999"/>
    <n v="31381.9"/>
    <n v="5176.2"/>
    <n v="36558.1"/>
    <n v="32.700000000000003"/>
    <n v="1.3"/>
    <n v="5090.5"/>
    <n v="36472.400000000001"/>
    <n v="601.30999999999995"/>
    <n v="2389"/>
    <n v="192568.2"/>
    <n v="32.729999999999997"/>
    <n v="8000"/>
  </r>
  <r>
    <s v="8000_0.2_0.5_500_3.0_order_4"/>
    <x v="3"/>
    <n v="0.2"/>
    <n v="0.5"/>
    <n v="500"/>
    <n v="3"/>
    <n v="4"/>
    <x v="2"/>
    <n v="295932.79999999999"/>
    <n v="120245.7"/>
    <n v="175687.1"/>
    <n v="2400"/>
    <n v="602.69000000000005"/>
    <n v="65961.8"/>
    <n v="94600.2"/>
    <n v="160562"/>
    <n v="32887.800000000003"/>
    <n v="5598.6"/>
    <n v="38486.400000000001"/>
    <n v="32.74"/>
    <n v="1.32"/>
    <n v="5568.4"/>
    <n v="38456.199999999997"/>
    <n v="604.01"/>
    <n v="2400"/>
    <n v="199018.2"/>
    <n v="32.75"/>
    <n v="8000"/>
  </r>
  <r>
    <s v="8000_0.2_0.5_500_3.0_order_5"/>
    <x v="3"/>
    <n v="0.2"/>
    <n v="0.5"/>
    <n v="500"/>
    <n v="3"/>
    <n v="5"/>
    <x v="2"/>
    <n v="298989.2"/>
    <n v="113792.5"/>
    <n v="185196.7"/>
    <n v="2400"/>
    <n v="603.77"/>
    <n v="62861.599999999999"/>
    <n v="102420"/>
    <n v="165281.60000000001"/>
    <n v="31764"/>
    <n v="5498.2"/>
    <n v="37262.199999999997"/>
    <n v="32.26"/>
    <n v="1.1100000000000001"/>
    <n v="5468.1"/>
    <n v="37232.1"/>
    <n v="604.88"/>
    <n v="2396"/>
    <n v="202513.7"/>
    <n v="32.270000000000003"/>
    <n v="8000"/>
  </r>
  <r>
    <s v="8000_0.3_0.5_1000_1.0_order_1"/>
    <x v="3"/>
    <n v="0.3"/>
    <n v="0.5"/>
    <n v="1000"/>
    <n v="1"/>
    <n v="1"/>
    <x v="2"/>
    <n v="286040.5"/>
    <n v="110201.1"/>
    <n v="175839.4"/>
    <n v="2400"/>
    <n v="602.04"/>
    <n v="63679.199999999997"/>
    <n v="93671.3"/>
    <n v="157350.5"/>
    <n v="40864.300000000003"/>
    <n v="9030.4"/>
    <n v="49894.7"/>
    <n v="27.55"/>
    <n v="2.0099999999999998"/>
    <n v="8970.5"/>
    <n v="49834.8"/>
    <n v="604.04999999999995"/>
    <n v="2337"/>
    <n v="207185.3"/>
    <n v="27.57"/>
    <n v="8000"/>
  </r>
  <r>
    <s v="8000_0.3_0.5_1000_1.0_order_2"/>
    <x v="3"/>
    <n v="0.3"/>
    <n v="0.5"/>
    <n v="1000"/>
    <n v="1"/>
    <n v="2"/>
    <x v="2"/>
    <n v="292003.40000000002"/>
    <n v="110554.4"/>
    <n v="181449"/>
    <n v="2400"/>
    <n v="603.26"/>
    <n v="61800.9"/>
    <n v="98580.9"/>
    <n v="160381.79999999999"/>
    <n v="41061.800000000003"/>
    <n v="8702.7999999999993"/>
    <n v="49764.6"/>
    <n v="28.03"/>
    <n v="1.78"/>
    <n v="8650.7000000000007"/>
    <n v="49712.5"/>
    <n v="605.04"/>
    <n v="2229"/>
    <n v="210094.3"/>
    <n v="28.05"/>
    <n v="8000"/>
  </r>
  <r>
    <s v="8000_0.3_0.5_1000_1.0_order_3"/>
    <x v="3"/>
    <n v="0.3"/>
    <n v="0.5"/>
    <n v="1000"/>
    <n v="1"/>
    <n v="3"/>
    <x v="2"/>
    <n v="292940.79999999999"/>
    <n v="116162.1"/>
    <n v="176778.7"/>
    <n v="2400"/>
    <n v="603.16"/>
    <n v="66555.5"/>
    <n v="93589"/>
    <n v="160144.5"/>
    <n v="40961.9"/>
    <n v="8638.2000000000007"/>
    <n v="49600.1"/>
    <n v="28.4"/>
    <n v="1.77"/>
    <n v="8613.7999999999993"/>
    <n v="49575.7"/>
    <n v="604.92999999999995"/>
    <n v="2336"/>
    <n v="209720.2"/>
    <n v="28.41"/>
    <n v="8000"/>
  </r>
  <r>
    <s v="8000_0.3_0.5_1000_1.0_order_4"/>
    <x v="3"/>
    <n v="0.3"/>
    <n v="0.5"/>
    <n v="1000"/>
    <n v="1"/>
    <n v="4"/>
    <x v="2"/>
    <n v="280335.2"/>
    <n v="111676"/>
    <n v="168659.20000000001"/>
    <n v="2400"/>
    <n v="600.72"/>
    <n v="64796"/>
    <n v="91109.9"/>
    <n v="155905.9"/>
    <n v="40382.699999999997"/>
    <n v="8729.9"/>
    <n v="49112.6"/>
    <n v="26.87"/>
    <n v="1.59"/>
    <n v="8696.9"/>
    <n v="49079.6"/>
    <n v="602.30999999999995"/>
    <n v="2292"/>
    <n v="204985.5"/>
    <n v="26.88"/>
    <n v="8000"/>
  </r>
  <r>
    <s v="8000_0.3_0.5_1000_1.0_order_5"/>
    <x v="3"/>
    <n v="0.3"/>
    <n v="0.5"/>
    <n v="1000"/>
    <n v="1"/>
    <n v="5"/>
    <x v="2"/>
    <n v="286002.59999999998"/>
    <n v="115303.6"/>
    <n v="170699"/>
    <n v="2400"/>
    <n v="600"/>
    <n v="68203.199999999997"/>
    <n v="91220"/>
    <n v="159423.20000000001"/>
    <n v="40184.1"/>
    <n v="8506.1"/>
    <n v="48690.2"/>
    <n v="27.23"/>
    <n v="1.7"/>
    <n v="8461.7999999999993"/>
    <n v="48645.9"/>
    <n v="601.71"/>
    <n v="2343"/>
    <n v="208069.1"/>
    <n v="27.25"/>
    <n v="8000"/>
  </r>
  <r>
    <s v="8000_0.3_0.5_1000_2.0_order_1"/>
    <x v="3"/>
    <n v="0.3"/>
    <n v="0.5"/>
    <n v="1000"/>
    <n v="2"/>
    <n v="1"/>
    <x v="2"/>
    <n v="450971.9"/>
    <n v="169991.9"/>
    <n v="280980"/>
    <n v="2400"/>
    <n v="604.17999999999995"/>
    <n v="95392.8"/>
    <n v="147275.6"/>
    <n v="242668.4"/>
    <n v="44995.4"/>
    <n v="10951.6"/>
    <n v="55947"/>
    <n v="33.78"/>
    <n v="1.31"/>
    <n v="10917.1"/>
    <n v="55912.5"/>
    <n v="605.49"/>
    <n v="2387"/>
    <n v="298580.90000000002"/>
    <n v="33.79"/>
    <n v="8000"/>
  </r>
  <r>
    <s v="8000_0.3_0.5_1000_2.0_order_2"/>
    <x v="3"/>
    <n v="0.3"/>
    <n v="0.5"/>
    <n v="1000"/>
    <n v="2"/>
    <n v="2"/>
    <x v="2"/>
    <n v="447112"/>
    <n v="171904"/>
    <n v="275208"/>
    <n v="2400"/>
    <n v="603.79999999999995"/>
    <n v="96730.7"/>
    <n v="143579.79999999999"/>
    <n v="240310.5"/>
    <n v="44764.800000000003"/>
    <n v="11426.7"/>
    <n v="56191.5"/>
    <n v="33.69"/>
    <n v="1.49"/>
    <n v="11361.6"/>
    <n v="56126.400000000001"/>
    <n v="605.29"/>
    <n v="2399"/>
    <n v="296436.90000000002"/>
    <n v="33.700000000000003"/>
    <n v="8000"/>
  </r>
  <r>
    <s v="8000_0.3_0.5_1000_2.0_order_3"/>
    <x v="3"/>
    <n v="0.3"/>
    <n v="0.5"/>
    <n v="1000"/>
    <n v="2"/>
    <n v="3"/>
    <x v="2"/>
    <n v="447008.9"/>
    <n v="167665.79999999999"/>
    <n v="279343.09999999998"/>
    <n v="2400"/>
    <n v="603.66999999999996"/>
    <n v="94741"/>
    <n v="145615.9"/>
    <n v="240356.9"/>
    <n v="45656"/>
    <n v="10772.4"/>
    <n v="56428.4"/>
    <n v="33.61"/>
    <n v="1.49"/>
    <n v="10684.2"/>
    <n v="56340.2"/>
    <n v="605.16"/>
    <n v="2397"/>
    <n v="296697.09999999998"/>
    <n v="33.630000000000003"/>
    <n v="8000"/>
  </r>
  <r>
    <s v="8000_0.3_0.5_1000_2.0_order_4"/>
    <x v="3"/>
    <n v="0.3"/>
    <n v="0.5"/>
    <n v="1000"/>
    <n v="2"/>
    <n v="4"/>
    <x v="2"/>
    <n v="441673.7"/>
    <n v="172616.6"/>
    <n v="269057.09999999998"/>
    <n v="2400"/>
    <n v="603.04"/>
    <n v="94594"/>
    <n v="136003.29999999999"/>
    <n v="230597.3"/>
    <n v="46146.8"/>
    <n v="11710.2"/>
    <n v="57857"/>
    <n v="34.69"/>
    <n v="1.47"/>
    <n v="11661"/>
    <n v="57807.8"/>
    <n v="604.51"/>
    <n v="2390"/>
    <n v="288405.09999999998"/>
    <n v="34.700000000000003"/>
    <n v="8000"/>
  </r>
  <r>
    <s v="8000_0.3_0.5_1000_2.0_order_5"/>
    <x v="3"/>
    <n v="0.3"/>
    <n v="0.5"/>
    <n v="1000"/>
    <n v="2"/>
    <n v="5"/>
    <x v="2"/>
    <n v="441622.8"/>
    <n v="175651.8"/>
    <n v="265971"/>
    <n v="2400"/>
    <n v="603.34"/>
    <n v="98949.4"/>
    <n v="140320.4"/>
    <n v="239269.8"/>
    <n v="44313.1"/>
    <n v="10926.3"/>
    <n v="55239.4"/>
    <n v="33.31"/>
    <n v="1.6"/>
    <n v="10891.3"/>
    <n v="55204.4"/>
    <n v="604.94000000000005"/>
    <n v="2322"/>
    <n v="294474.2"/>
    <n v="33.32"/>
    <n v="8000"/>
  </r>
  <r>
    <s v="8000_0.3_0.5_1000_3.0_order_1"/>
    <x v="3"/>
    <n v="0.3"/>
    <n v="0.5"/>
    <n v="1000"/>
    <n v="3"/>
    <n v="1"/>
    <x v="2"/>
    <n v="601966.4"/>
    <n v="222890"/>
    <n v="379076.4"/>
    <n v="2400"/>
    <n v="601"/>
    <n v="121103.6"/>
    <n v="198339.8"/>
    <n v="319443.40000000002"/>
    <n v="48113.8"/>
    <n v="16737.400000000001"/>
    <n v="64851.199999999997"/>
    <n v="36.159999999999997"/>
    <n v="1.42"/>
    <n v="16547.400000000001"/>
    <n v="64661.2"/>
    <n v="602.41999999999996"/>
    <n v="2326"/>
    <n v="384104.6"/>
    <n v="36.19"/>
    <n v="8000"/>
  </r>
  <r>
    <s v="8000_0.3_0.5_1000_3.0_order_2"/>
    <x v="3"/>
    <n v="0.3"/>
    <n v="0.5"/>
    <n v="1000"/>
    <n v="3"/>
    <n v="2"/>
    <x v="2"/>
    <n v="565282.6"/>
    <n v="215214.2"/>
    <n v="350068.4"/>
    <n v="2400"/>
    <n v="603.20000000000005"/>
    <n v="116767.6"/>
    <n v="182113.4"/>
    <n v="298881"/>
    <n v="49423.9"/>
    <n v="15377.3"/>
    <n v="64801.2"/>
    <n v="35.659999999999997"/>
    <n v="1.47"/>
    <n v="15315.2"/>
    <n v="64739.1"/>
    <n v="604.66999999999996"/>
    <n v="2400"/>
    <n v="363620.1"/>
    <n v="35.67"/>
    <n v="8000"/>
  </r>
  <r>
    <s v="8000_0.3_0.5_1000_3.0_order_3"/>
    <x v="3"/>
    <n v="0.3"/>
    <n v="0.5"/>
    <n v="1000"/>
    <n v="3"/>
    <n v="3"/>
    <x v="2"/>
    <n v="586619.6"/>
    <n v="224384.6"/>
    <n v="362235"/>
    <n v="2400"/>
    <n v="602.67999999999995"/>
    <n v="120828.5"/>
    <n v="185551.9"/>
    <n v="306380.40000000002"/>
    <n v="50053.3"/>
    <n v="15144.4"/>
    <n v="65197.7"/>
    <n v="36.659999999999997"/>
    <n v="1.64"/>
    <n v="15047.3"/>
    <n v="65100.6"/>
    <n v="604.32000000000005"/>
    <n v="2398"/>
    <n v="371481"/>
    <n v="36.67"/>
    <n v="8000"/>
  </r>
  <r>
    <s v="8000_0.3_0.5_1000_3.0_order_4"/>
    <x v="3"/>
    <n v="0.3"/>
    <n v="0.5"/>
    <n v="1000"/>
    <n v="3"/>
    <n v="4"/>
    <x v="2"/>
    <n v="588648.9"/>
    <n v="222740.3"/>
    <n v="365908.6"/>
    <n v="2400"/>
    <n v="600.34"/>
    <n v="119445.7"/>
    <n v="193338"/>
    <n v="312783.7"/>
    <n v="49532.6"/>
    <n v="16024.8"/>
    <n v="65557.399999999994"/>
    <n v="35.729999999999997"/>
    <n v="1.62"/>
    <n v="15933.4"/>
    <n v="65466"/>
    <n v="601.96"/>
    <n v="2395"/>
    <n v="378249.7"/>
    <n v="35.74"/>
    <n v="8000"/>
  </r>
  <r>
    <s v="8000_0.3_0.5_1000_3.0_order_5"/>
    <x v="3"/>
    <n v="0.3"/>
    <n v="0.5"/>
    <n v="1000"/>
    <n v="3"/>
    <n v="5"/>
    <x v="2"/>
    <n v="594008.5"/>
    <n v="227482.3"/>
    <n v="366526.2"/>
    <n v="2400"/>
    <n v="600.07000000000005"/>
    <n v="123459.8"/>
    <n v="189378.1"/>
    <n v="312837.90000000002"/>
    <n v="50467.7"/>
    <n v="15903.8"/>
    <n v="66371.5"/>
    <n v="36.159999999999997"/>
    <n v="1.38"/>
    <n v="15835"/>
    <n v="66302.7"/>
    <n v="601.44000000000005"/>
    <n v="2392"/>
    <n v="379140.6"/>
    <n v="36.17"/>
    <n v="8000"/>
  </r>
  <r>
    <s v="8000_0.3_0.5_2000_1.0_order_1"/>
    <x v="3"/>
    <n v="0.3"/>
    <n v="0.5"/>
    <n v="2000"/>
    <n v="1"/>
    <n v="1"/>
    <x v="2"/>
    <n v="568393.69999999995"/>
    <n v="226327.4"/>
    <n v="342066.3"/>
    <n v="2400"/>
    <n v="601.98"/>
    <n v="131438.70000000001"/>
    <n v="185167.6"/>
    <n v="316606.3"/>
    <n v="61554.6"/>
    <n v="17773.599999999999"/>
    <n v="79328.2"/>
    <n v="30.34"/>
    <n v="1.18"/>
    <n v="17618.3"/>
    <n v="79172.899999999994"/>
    <n v="603.16"/>
    <n v="2396"/>
    <n v="395779.2"/>
    <n v="30.37"/>
    <n v="8000"/>
  </r>
  <r>
    <s v="8000_0.3_0.5_2000_1.0_order_2"/>
    <x v="3"/>
    <n v="0.3"/>
    <n v="0.5"/>
    <n v="2000"/>
    <n v="1"/>
    <n v="2"/>
    <x v="2"/>
    <n v="563271"/>
    <n v="221108.7"/>
    <n v="342162.3"/>
    <n v="2400"/>
    <n v="602.71"/>
    <n v="125942.39999999999"/>
    <n v="181645.1"/>
    <n v="307587.5"/>
    <n v="63270.400000000001"/>
    <n v="18287.8"/>
    <n v="81558.2"/>
    <n v="30.91"/>
    <n v="1.43"/>
    <n v="18185.5"/>
    <n v="81455.899999999994"/>
    <n v="604.14"/>
    <n v="2385"/>
    <n v="389043.4"/>
    <n v="30.93"/>
    <n v="8000"/>
  </r>
  <r>
    <s v="8000_0.3_0.5_2000_1.0_order_3"/>
    <x v="3"/>
    <n v="0.3"/>
    <n v="0.5"/>
    <n v="2000"/>
    <n v="1"/>
    <n v="3"/>
    <x v="2"/>
    <n v="563771"/>
    <n v="216097"/>
    <n v="347674"/>
    <n v="2400"/>
    <n v="600.02"/>
    <n v="127162.4"/>
    <n v="186009"/>
    <n v="313171.40000000002"/>
    <n v="61838.8"/>
    <n v="17710.5"/>
    <n v="79549.3"/>
    <n v="30.34"/>
    <n v="1.25"/>
    <n v="17578.3"/>
    <n v="79417.100000000006"/>
    <n v="601.27"/>
    <n v="2387"/>
    <n v="392588.5"/>
    <n v="30.36"/>
    <n v="8000"/>
  </r>
  <r>
    <s v="8000_0.3_0.5_2000_1.0_order_4"/>
    <x v="3"/>
    <n v="0.3"/>
    <n v="0.5"/>
    <n v="2000"/>
    <n v="1"/>
    <n v="4"/>
    <x v="2"/>
    <n v="563641.4"/>
    <n v="223729.6"/>
    <n v="339911.8"/>
    <n v="2400"/>
    <n v="603.39"/>
    <n v="127398.1"/>
    <n v="179738.6"/>
    <n v="307136.7"/>
    <n v="61981.5"/>
    <n v="17969.900000000001"/>
    <n v="79951.399999999994"/>
    <n v="31.32"/>
    <n v="1.1100000000000001"/>
    <n v="17880.2"/>
    <n v="79861.7"/>
    <n v="604.5"/>
    <n v="2385"/>
    <n v="386998.4"/>
    <n v="31.34"/>
    <n v="8000"/>
  </r>
  <r>
    <s v="8000_0.3_0.5_2000_1.0_order_5"/>
    <x v="3"/>
    <n v="0.3"/>
    <n v="0.5"/>
    <n v="2000"/>
    <n v="1"/>
    <n v="5"/>
    <x v="2"/>
    <n v="569884.69999999995"/>
    <n v="222990.1"/>
    <n v="346894.6"/>
    <n v="2400"/>
    <n v="603.30999999999995"/>
    <n v="125799.2"/>
    <n v="182928.5"/>
    <n v="308727.7"/>
    <n v="62435.8"/>
    <n v="17339.900000000001"/>
    <n v="79775.7"/>
    <n v="31.83"/>
    <n v="1.0900000000000001"/>
    <n v="17221.7"/>
    <n v="79657.5"/>
    <n v="604.4"/>
    <n v="2397"/>
    <n v="388385.2"/>
    <n v="31.85"/>
    <n v="8000"/>
  </r>
  <r>
    <s v="8000_0.3_0.5_2000_2.0_order_1"/>
    <x v="3"/>
    <n v="0.3"/>
    <n v="0.5"/>
    <n v="2000"/>
    <n v="2"/>
    <n v="1"/>
    <x v="2"/>
    <n v="889423.3"/>
    <n v="336772"/>
    <n v="552651.30000000005"/>
    <n v="2400"/>
    <n v="603.34"/>
    <n v="193393.9"/>
    <n v="293808.59999999998"/>
    <n v="487202.5"/>
    <n v="62358.5"/>
    <n v="21680.400000000001"/>
    <n v="84038.9"/>
    <n v="35.770000000000003"/>
    <n v="1.54"/>
    <n v="21594.3"/>
    <n v="83952.8"/>
    <n v="604.87"/>
    <n v="2319"/>
    <n v="571155.30000000005"/>
    <n v="35.78"/>
    <n v="8000"/>
  </r>
  <r>
    <s v="8000_0.3_0.5_2000_2.0_order_2"/>
    <x v="3"/>
    <n v="0.3"/>
    <n v="0.5"/>
    <n v="2000"/>
    <n v="2"/>
    <n v="2"/>
    <x v="2"/>
    <n v="876499.4"/>
    <n v="335114.40000000002"/>
    <n v="541385"/>
    <n v="2400"/>
    <n v="603.42999999999995"/>
    <n v="191930"/>
    <n v="289808.5"/>
    <n v="481738.5"/>
    <n v="62041.599999999999"/>
    <n v="22144.2"/>
    <n v="84185.8"/>
    <n v="35.43"/>
    <n v="1.39"/>
    <n v="21881.8"/>
    <n v="83923.4"/>
    <n v="604.82000000000005"/>
    <n v="2297"/>
    <n v="565661.9"/>
    <n v="35.46"/>
    <n v="8000"/>
  </r>
  <r>
    <s v="8000_0.3_0.5_2000_2.0_order_3"/>
    <x v="3"/>
    <n v="0.3"/>
    <n v="0.5"/>
    <n v="2000"/>
    <n v="2"/>
    <n v="3"/>
    <x v="2"/>
    <n v="929101.5"/>
    <n v="344356.1"/>
    <n v="584745.4"/>
    <n v="2400"/>
    <n v="602.72"/>
    <n v="195719.6"/>
    <n v="306112.09999999998"/>
    <n v="501831.7"/>
    <n v="63465.7"/>
    <n v="22617.4"/>
    <n v="86083.1"/>
    <n v="36.72"/>
    <n v="1.6"/>
    <n v="22489.5"/>
    <n v="85955.199999999997"/>
    <n v="604.32000000000005"/>
    <n v="2397"/>
    <n v="587786.9"/>
    <n v="36.74"/>
    <n v="8000"/>
  </r>
  <r>
    <s v="8000_0.3_0.5_2000_2.0_order_4"/>
    <x v="3"/>
    <n v="0.3"/>
    <n v="0.5"/>
    <n v="2000"/>
    <n v="2"/>
    <n v="4"/>
    <x v="2"/>
    <n v="919221.2"/>
    <n v="344486.5"/>
    <n v="574734.69999999995"/>
    <n v="2400"/>
    <n v="603.16999999999996"/>
    <n v="199058.6"/>
    <n v="308356.3"/>
    <n v="507414.9"/>
    <n v="61089.599999999999"/>
    <n v="21682.6"/>
    <n v="82772.2"/>
    <n v="35.79"/>
    <n v="2.04"/>
    <n v="21493.5"/>
    <n v="82583.100000000006"/>
    <n v="605.20000000000005"/>
    <n v="2335"/>
    <n v="589998"/>
    <n v="35.82"/>
    <n v="8000"/>
  </r>
  <r>
    <s v="8000_0.3_0.5_2000_2.0_order_5"/>
    <x v="3"/>
    <n v="0.3"/>
    <n v="0.5"/>
    <n v="2000"/>
    <n v="2"/>
    <n v="5"/>
    <x v="2"/>
    <n v="908955"/>
    <n v="343497.3"/>
    <n v="565457.69999999995"/>
    <n v="2400"/>
    <n v="602.73"/>
    <n v="197157.7"/>
    <n v="299667.90000000002"/>
    <n v="496825.59999999998"/>
    <n v="62849.1"/>
    <n v="22037"/>
    <n v="84886.1"/>
    <n v="36"/>
    <n v="1.35"/>
    <n v="21905.5"/>
    <n v="84754.6"/>
    <n v="604.08000000000004"/>
    <n v="2386"/>
    <n v="581580.19999999995"/>
    <n v="36.020000000000003"/>
    <n v="8000"/>
  </r>
  <r>
    <s v="8000_0.3_0.5_2000_3.0_order_1"/>
    <x v="3"/>
    <n v="0.3"/>
    <n v="0.5"/>
    <n v="2000"/>
    <n v="3"/>
    <n v="1"/>
    <x v="2"/>
    <n v="1143126.3999999999"/>
    <n v="438006.9"/>
    <n v="705119.5"/>
    <n v="2400"/>
    <n v="600"/>
    <n v="256526.7"/>
    <n v="397645.9"/>
    <n v="654172.6"/>
    <n v="60977.3"/>
    <n v="23138"/>
    <n v="84115.3"/>
    <n v="35.42"/>
    <n v="1.1299999999999999"/>
    <n v="23125.8"/>
    <n v="84103.1"/>
    <n v="601.13"/>
    <n v="2087"/>
    <n v="738275.7"/>
    <n v="35.42"/>
    <n v="8000"/>
  </r>
  <r>
    <s v="8000_0.3_0.5_2000_3.0_order_2"/>
    <x v="3"/>
    <n v="0.3"/>
    <n v="0.5"/>
    <n v="2000"/>
    <n v="3"/>
    <n v="2"/>
    <x v="2"/>
    <n v="1172864.3999999999"/>
    <n v="437807.1"/>
    <n v="735057.3"/>
    <n v="2400"/>
    <n v="602.77"/>
    <n v="251063.9"/>
    <n v="414035.9"/>
    <n v="665099.80000000005"/>
    <n v="62503.6"/>
    <n v="22796.3"/>
    <n v="85299.9"/>
    <n v="36.020000000000003"/>
    <n v="1.06"/>
    <n v="22766.1"/>
    <n v="85269.7"/>
    <n v="603.83000000000004"/>
    <n v="2192"/>
    <n v="750369.5"/>
    <n v="36.020000000000003"/>
    <n v="8000"/>
  </r>
  <r>
    <s v="8000_0.3_0.5_2000_3.0_order_3"/>
    <x v="3"/>
    <n v="0.3"/>
    <n v="0.5"/>
    <n v="2000"/>
    <n v="3"/>
    <n v="3"/>
    <x v="2"/>
    <n v="1164182"/>
    <n v="438255.1"/>
    <n v="725926.9"/>
    <n v="2400"/>
    <n v="602.08000000000004"/>
    <n v="253463.8"/>
    <n v="412934.1"/>
    <n v="666397.9"/>
    <n v="60570"/>
    <n v="23738.400000000001"/>
    <n v="84308.4"/>
    <n v="35.520000000000003"/>
    <n v="1.32"/>
    <n v="23726.2"/>
    <n v="84296.2"/>
    <n v="603.4"/>
    <n v="2041"/>
    <n v="750694.1"/>
    <n v="35.520000000000003"/>
    <n v="8000"/>
  </r>
  <r>
    <s v="8000_0.3_0.5_2000_3.0_order_4"/>
    <x v="3"/>
    <n v="0.3"/>
    <n v="0.5"/>
    <n v="2000"/>
    <n v="3"/>
    <n v="4"/>
    <x v="2"/>
    <n v="1185376.8"/>
    <n v="453914.9"/>
    <n v="731461.9"/>
    <n v="2400"/>
    <n v="602.26"/>
    <n v="259797.2"/>
    <n v="415088.6"/>
    <n v="674885.8"/>
    <n v="62477.8"/>
    <n v="23671.7"/>
    <n v="86149.5"/>
    <n v="35.799999999999997"/>
    <n v="1.51"/>
    <n v="23445"/>
    <n v="85922.8"/>
    <n v="603.77"/>
    <n v="2210"/>
    <n v="760808.6"/>
    <n v="35.82"/>
    <n v="8000"/>
  </r>
  <r>
    <s v="8000_0.3_0.5_2000_3.0_order_5"/>
    <x v="3"/>
    <n v="0.3"/>
    <n v="0.5"/>
    <n v="2000"/>
    <n v="3"/>
    <n v="5"/>
    <x v="2"/>
    <n v="1186138"/>
    <n v="453406.1"/>
    <n v="732731.9"/>
    <n v="2400"/>
    <n v="602.9"/>
    <n v="265301.8"/>
    <n v="419151.1"/>
    <n v="684452.9"/>
    <n v="59501.599999999999"/>
    <n v="23585.7"/>
    <n v="83087.3"/>
    <n v="35.29"/>
    <n v="1.3"/>
    <n v="23580.7"/>
    <n v="83082.3"/>
    <n v="604.20000000000005"/>
    <n v="2036"/>
    <n v="767535.2"/>
    <n v="35.29"/>
    <n v="8000"/>
  </r>
  <r>
    <s v="8000_0.3_0.5_500_1.0_order_1"/>
    <x v="3"/>
    <n v="0.3"/>
    <n v="0.5"/>
    <n v="500"/>
    <n v="1"/>
    <n v="1"/>
    <x v="2"/>
    <n v="144108.1"/>
    <n v="59553.1"/>
    <n v="84555"/>
    <n v="2400"/>
    <n v="600.04"/>
    <n v="35560.5"/>
    <n v="47881.8"/>
    <n v="83442.3"/>
    <n v="21947.1"/>
    <n v="3668.5"/>
    <n v="25615.599999999999"/>
    <n v="24.32"/>
    <n v="0.61"/>
    <n v="3665.7"/>
    <n v="25612.799999999999"/>
    <n v="600.64"/>
    <n v="1381"/>
    <n v="109055.1"/>
    <n v="24.32"/>
    <n v="8000"/>
  </r>
  <r>
    <s v="8000_0.3_0.5_500_1.0_order_2"/>
    <x v="3"/>
    <n v="0.3"/>
    <n v="0.5"/>
    <n v="500"/>
    <n v="1"/>
    <n v="2"/>
    <x v="2"/>
    <n v="148634.9"/>
    <n v="56161.1"/>
    <n v="92473.8"/>
    <n v="2400"/>
    <n v="602.51"/>
    <n v="32201.3"/>
    <n v="50471.8"/>
    <n v="82673.100000000006"/>
    <n v="23846.1"/>
    <n v="4265.8999999999996"/>
    <n v="28112"/>
    <n v="25.46"/>
    <n v="0.9"/>
    <n v="4260.3"/>
    <n v="28106.400000000001"/>
    <n v="603.4"/>
    <n v="1474"/>
    <n v="110779.5"/>
    <n v="25.47"/>
    <n v="8000"/>
  </r>
  <r>
    <s v="8000_0.3_0.5_500_1.0_order_3"/>
    <x v="3"/>
    <n v="0.3"/>
    <n v="0.5"/>
    <n v="500"/>
    <n v="1"/>
    <n v="3"/>
    <x v="2"/>
    <n v="144262.39999999999"/>
    <n v="58086.3"/>
    <n v="86176.1"/>
    <n v="2400"/>
    <n v="600.03"/>
    <n v="35295.800000000003"/>
    <n v="48242.8"/>
    <n v="83538.600000000006"/>
    <n v="21638.2"/>
    <n v="3512.9"/>
    <n v="25151.1"/>
    <n v="24.66"/>
    <n v="0.56999999999999995"/>
    <n v="3498.1"/>
    <n v="25136.3"/>
    <n v="600.6"/>
    <n v="1340"/>
    <n v="108674.9"/>
    <n v="24.67"/>
    <n v="8000"/>
  </r>
  <r>
    <s v="8000_0.3_0.5_500_1.0_order_4"/>
    <x v="3"/>
    <n v="0.3"/>
    <n v="0.5"/>
    <n v="500"/>
    <n v="1"/>
    <n v="4"/>
    <x v="2"/>
    <n v="148149.79999999999"/>
    <n v="57952.5"/>
    <n v="90197.3"/>
    <n v="2400"/>
    <n v="601.62"/>
    <n v="34062.400000000001"/>
    <n v="49447.7"/>
    <n v="83510.100000000006"/>
    <n v="23264.2"/>
    <n v="3761.6"/>
    <n v="27025.8"/>
    <n v="25.39"/>
    <n v="0.66"/>
    <n v="3754.6"/>
    <n v="27018.799999999999"/>
    <n v="602.28"/>
    <n v="1441"/>
    <n v="110528.9"/>
    <n v="25.39"/>
    <n v="8000"/>
  </r>
  <r>
    <s v="8000_0.3_0.5_500_1.0_order_5"/>
    <x v="3"/>
    <n v="0.3"/>
    <n v="0.5"/>
    <n v="500"/>
    <n v="1"/>
    <n v="5"/>
    <x v="2"/>
    <n v="141610.70000000001"/>
    <n v="56169.4"/>
    <n v="85441.3"/>
    <n v="2400"/>
    <n v="601.46"/>
    <n v="32991.199999999997"/>
    <n v="48657"/>
    <n v="81648.2"/>
    <n v="20437.599999999999"/>
    <n v="3321.5"/>
    <n v="23759.1"/>
    <n v="25.57"/>
    <n v="0.52"/>
    <n v="3314.6"/>
    <n v="23752.2"/>
    <n v="601.98"/>
    <n v="1330"/>
    <n v="105400.4"/>
    <n v="25.57"/>
    <n v="8000"/>
  </r>
  <r>
    <s v="8000_0.3_0.5_500_2.0_order_1"/>
    <x v="3"/>
    <n v="0.3"/>
    <n v="0.5"/>
    <n v="500"/>
    <n v="2"/>
    <n v="1"/>
    <x v="2"/>
    <n v="221975.5"/>
    <n v="84387.4"/>
    <n v="137588.1"/>
    <n v="2400"/>
    <n v="602.83000000000004"/>
    <n v="47854.3"/>
    <n v="72499"/>
    <n v="120353.3"/>
    <n v="27355.200000000001"/>
    <n v="4900"/>
    <n v="32255.200000000001"/>
    <n v="31.25"/>
    <n v="1.19"/>
    <n v="4858.3999999999996"/>
    <n v="32213.599999999999"/>
    <n v="604.02"/>
    <n v="1911"/>
    <n v="152566.9"/>
    <n v="31.27"/>
    <n v="8000"/>
  </r>
  <r>
    <s v="8000_0.3_0.5_500_2.0_order_2"/>
    <x v="3"/>
    <n v="0.3"/>
    <n v="0.5"/>
    <n v="500"/>
    <n v="2"/>
    <n v="2"/>
    <x v="2"/>
    <n v="226878.6"/>
    <n v="84179.7"/>
    <n v="142698.9"/>
    <n v="2400"/>
    <n v="602.96"/>
    <n v="49389.2"/>
    <n v="78366.2"/>
    <n v="127755.4"/>
    <n v="25661.1"/>
    <n v="4527.1000000000004"/>
    <n v="30188.2"/>
    <n v="30.38"/>
    <n v="0.85"/>
    <n v="4492.1000000000004"/>
    <n v="30153.200000000001"/>
    <n v="603.80999999999995"/>
    <n v="1771"/>
    <n v="157908.6"/>
    <n v="30.4"/>
    <n v="8000"/>
  </r>
  <r>
    <s v="8000_0.3_0.5_500_2.0_order_3"/>
    <x v="3"/>
    <n v="0.3"/>
    <n v="0.5"/>
    <n v="500"/>
    <n v="2"/>
    <n v="3"/>
    <x v="2"/>
    <n v="225127.8"/>
    <n v="86872.8"/>
    <n v="138255"/>
    <n v="2400"/>
    <n v="603.55999999999995"/>
    <n v="48388.6"/>
    <n v="70805.8"/>
    <n v="119194.4"/>
    <n v="27613.4"/>
    <n v="5406.5"/>
    <n v="33019.9"/>
    <n v="32.39"/>
    <n v="1.2"/>
    <n v="5377.8"/>
    <n v="32991.199999999997"/>
    <n v="604.76"/>
    <n v="2072"/>
    <n v="152185.60000000001"/>
    <n v="32.4"/>
    <n v="8000"/>
  </r>
  <r>
    <s v="8000_0.3_0.5_500_2.0_order_4"/>
    <x v="3"/>
    <n v="0.3"/>
    <n v="0.5"/>
    <n v="500"/>
    <n v="2"/>
    <n v="4"/>
    <x v="2"/>
    <n v="219934.7"/>
    <n v="80894.3"/>
    <n v="139040.4"/>
    <n v="2400"/>
    <n v="600.01"/>
    <n v="46690.6"/>
    <n v="75850.399999999994"/>
    <n v="122541"/>
    <n v="25388.5"/>
    <n v="4796.5"/>
    <n v="30185"/>
    <n v="30.56"/>
    <n v="0.98"/>
    <n v="4775"/>
    <n v="30163.5"/>
    <n v="600.99"/>
    <n v="1657"/>
    <n v="152704.5"/>
    <n v="30.57"/>
    <n v="8000"/>
  </r>
  <r>
    <s v="8000_0.3_0.5_500_2.0_order_5"/>
    <x v="3"/>
    <n v="0.3"/>
    <n v="0.5"/>
    <n v="500"/>
    <n v="2"/>
    <n v="5"/>
    <x v="2"/>
    <n v="232193.7"/>
    <n v="89018.4"/>
    <n v="143175.29999999999"/>
    <n v="2400"/>
    <n v="600.01"/>
    <n v="49063.6"/>
    <n v="74657.5"/>
    <n v="123721.1"/>
    <n v="28007.7"/>
    <n v="5178.6000000000004"/>
    <n v="33186.300000000003"/>
    <n v="32.42"/>
    <n v="1.21"/>
    <n v="5158.2"/>
    <n v="33165.9"/>
    <n v="601.22"/>
    <n v="2007"/>
    <n v="156887"/>
    <n v="32.43"/>
    <n v="8000"/>
  </r>
  <r>
    <s v="8000_0.3_0.5_500_3.0_order_1"/>
    <x v="3"/>
    <n v="0.3"/>
    <n v="0.5"/>
    <n v="500"/>
    <n v="3"/>
    <n v="1"/>
    <x v="2"/>
    <n v="286207.8"/>
    <n v="103330.3"/>
    <n v="182877.5"/>
    <n v="2400"/>
    <n v="603.04"/>
    <n v="57350.5"/>
    <n v="98500"/>
    <n v="155850.5"/>
    <n v="29889.599999999999"/>
    <n v="6744"/>
    <n v="36633.599999999999"/>
    <n v="32.75"/>
    <n v="1.32"/>
    <n v="6646.6"/>
    <n v="36536.199999999997"/>
    <n v="604.36"/>
    <n v="2087"/>
    <n v="192386.7"/>
    <n v="32.78"/>
    <n v="8000"/>
  </r>
  <r>
    <s v="8000_0.3_0.5_500_3.0_order_2"/>
    <x v="3"/>
    <n v="0.3"/>
    <n v="0.5"/>
    <n v="500"/>
    <n v="3"/>
    <n v="2"/>
    <x v="2"/>
    <n v="292783.7"/>
    <n v="109648.3"/>
    <n v="183135.4"/>
    <n v="2400"/>
    <n v="603.41"/>
    <n v="60091.7"/>
    <n v="100381.5"/>
    <n v="160473.20000000001"/>
    <n v="30209.7"/>
    <n v="6961.5"/>
    <n v="37171.199999999997"/>
    <n v="32.49"/>
    <n v="1.25"/>
    <n v="6852.5"/>
    <n v="37062.199999999997"/>
    <n v="604.65"/>
    <n v="2115"/>
    <n v="197535.4"/>
    <n v="32.53"/>
    <n v="8000"/>
  </r>
  <r>
    <s v="8000_0.3_0.5_500_3.0_order_3"/>
    <x v="3"/>
    <n v="0.3"/>
    <n v="0.5"/>
    <n v="500"/>
    <n v="3"/>
    <n v="3"/>
    <x v="2"/>
    <n v="279304.09999999998"/>
    <n v="97293.7"/>
    <n v="182010.4"/>
    <n v="2400"/>
    <n v="602.54999999999995"/>
    <n v="53293.599999999999"/>
    <n v="95503.3"/>
    <n v="148796.9"/>
    <n v="31620.2"/>
    <n v="5961.4"/>
    <n v="37581.599999999999"/>
    <n v="33.270000000000003"/>
    <n v="1.44"/>
    <n v="5923.5"/>
    <n v="37543.699999999997"/>
    <n v="604"/>
    <n v="2329"/>
    <n v="186340.6"/>
    <n v="33.28"/>
    <n v="8000"/>
  </r>
  <r>
    <s v="8000_0.3_0.5_500_3.0_order_4"/>
    <x v="3"/>
    <n v="0.3"/>
    <n v="0.5"/>
    <n v="500"/>
    <n v="3"/>
    <n v="4"/>
    <x v="2"/>
    <n v="288972.40000000002"/>
    <n v="109882.8"/>
    <n v="179089.6"/>
    <n v="2400"/>
    <n v="604.13"/>
    <n v="58488.2"/>
    <n v="92697"/>
    <n v="151185.20000000001"/>
    <n v="32500.400000000001"/>
    <n v="6984.4"/>
    <n v="39484.800000000003"/>
    <n v="34.020000000000003"/>
    <n v="1.59"/>
    <n v="6947.9"/>
    <n v="39448.300000000003"/>
    <n v="605.71"/>
    <n v="2287"/>
    <n v="190633.5"/>
    <n v="34.03"/>
    <n v="8000"/>
  </r>
  <r>
    <s v="8000_0.3_0.5_500_3.0_order_5"/>
    <x v="3"/>
    <n v="0.3"/>
    <n v="0.5"/>
    <n v="500"/>
    <n v="3"/>
    <n v="5"/>
    <x v="2"/>
    <n v="289757"/>
    <n v="106708"/>
    <n v="183049"/>
    <n v="2400"/>
    <n v="601.91"/>
    <n v="58446.400000000001"/>
    <n v="97607.3"/>
    <n v="156053.70000000001"/>
    <n v="31138.9"/>
    <n v="6703.4"/>
    <n v="37842.300000000003"/>
    <n v="33.08"/>
    <n v="1.51"/>
    <n v="6653.4"/>
    <n v="37792.300000000003"/>
    <n v="603.41999999999996"/>
    <n v="2177"/>
    <n v="193846"/>
    <n v="33.1"/>
    <n v="8000"/>
  </r>
  <r>
    <s v="8000_0.4_0.5_1000_1.0_order_1"/>
    <x v="3"/>
    <n v="0.4"/>
    <n v="0.5"/>
    <n v="1000"/>
    <n v="1"/>
    <n v="1"/>
    <x v="2"/>
    <n v="278509.5"/>
    <n v="112049.60000000001"/>
    <n v="166459.9"/>
    <n v="2400"/>
    <n v="602.57000000000005"/>
    <n v="61694.1"/>
    <n v="87711.7"/>
    <n v="149405.79999999999"/>
    <n v="38900.6"/>
    <n v="10077.700000000001"/>
    <n v="48978.3"/>
    <n v="28.77"/>
    <n v="1.4"/>
    <n v="10051.9"/>
    <n v="48952.5"/>
    <n v="603.97"/>
    <n v="2062"/>
    <n v="198358.3"/>
    <n v="28.78"/>
    <n v="8000"/>
  </r>
  <r>
    <s v="8000_0.4_0.5_1000_1.0_order_2"/>
    <x v="3"/>
    <n v="0.4"/>
    <n v="0.5"/>
    <n v="1000"/>
    <n v="1"/>
    <n v="2"/>
    <x v="2"/>
    <n v="283492.90000000002"/>
    <n v="109140.8"/>
    <n v="174352.1"/>
    <n v="2400"/>
    <n v="600"/>
    <n v="60501.4"/>
    <n v="91520.3"/>
    <n v="152021.70000000001"/>
    <n v="39784.300000000003"/>
    <n v="10048.1"/>
    <n v="49832.4"/>
    <n v="28.8"/>
    <n v="1.59"/>
    <n v="10031.5"/>
    <n v="49815.8"/>
    <n v="601.6"/>
    <n v="2102"/>
    <n v="201837.5"/>
    <n v="28.8"/>
    <n v="8000"/>
  </r>
  <r>
    <s v="8000_0.4_0.5_1000_1.0_order_3"/>
    <x v="3"/>
    <n v="0.4"/>
    <n v="0.5"/>
    <n v="1000"/>
    <n v="1"/>
    <n v="3"/>
    <x v="2"/>
    <n v="288322.90000000002"/>
    <n v="112088.6"/>
    <n v="176234.3"/>
    <n v="2400"/>
    <n v="603.17999999999995"/>
    <n v="62673"/>
    <n v="90679"/>
    <n v="153352"/>
    <n v="39470.5"/>
    <n v="10686.9"/>
    <n v="50157.4"/>
    <n v="29.42"/>
    <n v="1.89"/>
    <n v="10660.5"/>
    <n v="50131"/>
    <n v="605.05999999999995"/>
    <n v="2080"/>
    <n v="203483"/>
    <n v="29.43"/>
    <n v="8000"/>
  </r>
  <r>
    <s v="8000_0.4_0.5_1000_1.0_order_4"/>
    <x v="3"/>
    <n v="0.4"/>
    <n v="0.5"/>
    <n v="1000"/>
    <n v="1"/>
    <n v="4"/>
    <x v="2"/>
    <n v="273858.09999999998"/>
    <n v="109017.3"/>
    <n v="164840.79999999999"/>
    <n v="2400"/>
    <n v="602.69000000000005"/>
    <n v="61598.2"/>
    <n v="86854.7"/>
    <n v="148452.9"/>
    <n v="39299.199999999997"/>
    <n v="10629.5"/>
    <n v="49928.7"/>
    <n v="27.56"/>
    <n v="1.43"/>
    <n v="10611.7"/>
    <n v="49910.9"/>
    <n v="604.13"/>
    <n v="2118"/>
    <n v="198363.8"/>
    <n v="27.57"/>
    <n v="8000"/>
  </r>
  <r>
    <s v="8000_0.4_0.5_1000_1.0_order_5"/>
    <x v="3"/>
    <n v="0.4"/>
    <n v="0.5"/>
    <n v="1000"/>
    <n v="1"/>
    <n v="5"/>
    <x v="2"/>
    <n v="283949.09999999998"/>
    <n v="113617.60000000001"/>
    <n v="170331.5"/>
    <n v="2400"/>
    <n v="602.48"/>
    <n v="64057.2"/>
    <n v="90491.3"/>
    <n v="154548.5"/>
    <n v="38093.9"/>
    <n v="10156.4"/>
    <n v="48250.3"/>
    <n v="28.58"/>
    <n v="1.22"/>
    <n v="10117.9"/>
    <n v="48211.8"/>
    <n v="603.70000000000005"/>
    <n v="1978"/>
    <n v="202760.3"/>
    <n v="28.59"/>
    <n v="8000"/>
  </r>
  <r>
    <s v="8000_0.4_0.5_1000_2.0_order_1"/>
    <x v="3"/>
    <n v="0.4"/>
    <n v="0.5"/>
    <n v="1000"/>
    <n v="2"/>
    <n v="1"/>
    <x v="2"/>
    <n v="435805.3"/>
    <n v="168093.4"/>
    <n v="267711.90000000002"/>
    <n v="2400"/>
    <n v="604.76"/>
    <n v="90414.399999999994"/>
    <n v="130781.9"/>
    <n v="221196.3"/>
    <n v="44024.4"/>
    <n v="14408.4"/>
    <n v="58432.800000000003"/>
    <n v="35.840000000000003"/>
    <n v="2.5099999999999998"/>
    <n v="14349.3"/>
    <n v="58373.7"/>
    <n v="607.28"/>
    <n v="2344"/>
    <n v="279570"/>
    <n v="35.85"/>
    <n v="8000"/>
  </r>
  <r>
    <s v="8000_0.4_0.5_1000_2.0_order_2"/>
    <x v="3"/>
    <n v="0.4"/>
    <n v="0.5"/>
    <n v="1000"/>
    <n v="2"/>
    <n v="2"/>
    <x v="2"/>
    <n v="442496.5"/>
    <n v="166733.79999999999"/>
    <n v="275762.7"/>
    <n v="2400"/>
    <n v="603.42999999999995"/>
    <n v="91126.7"/>
    <n v="137188.5"/>
    <n v="228315.2"/>
    <n v="42651"/>
    <n v="14286.4"/>
    <n v="56937.4"/>
    <n v="35.54"/>
    <n v="2.21"/>
    <n v="14229.5"/>
    <n v="56880.5"/>
    <n v="605.63"/>
    <n v="2148"/>
    <n v="285195.7"/>
    <n v="35.549999999999997"/>
    <n v="8000"/>
  </r>
  <r>
    <s v="8000_0.4_0.5_1000_2.0_order_3"/>
    <x v="3"/>
    <n v="0.4"/>
    <n v="0.5"/>
    <n v="1000"/>
    <n v="2"/>
    <n v="3"/>
    <x v="2"/>
    <n v="452037.4"/>
    <n v="182112.7"/>
    <n v="269924.7"/>
    <n v="2400"/>
    <n v="600.02"/>
    <n v="98099.199999999997"/>
    <n v="131984.9"/>
    <n v="230084.1"/>
    <n v="43497.1"/>
    <n v="14877.2"/>
    <n v="58374.3"/>
    <n v="36.19"/>
    <n v="1.63"/>
    <n v="14841.3"/>
    <n v="58338.400000000001"/>
    <n v="601.65"/>
    <n v="2103"/>
    <n v="288422.5"/>
    <n v="36.19"/>
    <n v="8000"/>
  </r>
  <r>
    <s v="8000_0.4_0.5_1000_2.0_order_4"/>
    <x v="3"/>
    <n v="0.4"/>
    <n v="0.5"/>
    <n v="1000"/>
    <n v="2"/>
    <n v="4"/>
    <x v="2"/>
    <n v="441614.5"/>
    <n v="169950.8"/>
    <n v="271663.7"/>
    <n v="2400"/>
    <n v="600.03"/>
    <n v="92558.6"/>
    <n v="136032.29999999999"/>
    <n v="228590.9"/>
    <n v="41720.300000000003"/>
    <n v="14157"/>
    <n v="55877.3"/>
    <n v="35.58"/>
    <n v="1.76"/>
    <n v="14061.6"/>
    <n v="55781.9"/>
    <n v="601.79"/>
    <n v="2106"/>
    <n v="284372.8"/>
    <n v="35.61"/>
    <n v="8000"/>
  </r>
  <r>
    <s v="8000_0.4_0.5_1000_2.0_order_5"/>
    <x v="3"/>
    <n v="0.4"/>
    <n v="0.5"/>
    <n v="1000"/>
    <n v="2"/>
    <n v="5"/>
    <x v="2"/>
    <n v="456297.9"/>
    <n v="162777.9"/>
    <n v="293520"/>
    <n v="2400"/>
    <n v="600.02"/>
    <n v="88358.5"/>
    <n v="143130.1"/>
    <n v="231488.6"/>
    <n v="44329.4"/>
    <n v="15534.8"/>
    <n v="59864.2"/>
    <n v="36.15"/>
    <n v="2.72"/>
    <n v="15492.1"/>
    <n v="59821.5"/>
    <n v="602.74"/>
    <n v="2355"/>
    <n v="291310.09999999998"/>
    <n v="36.159999999999997"/>
    <n v="8000"/>
  </r>
  <r>
    <s v="8000_0.4_0.5_1000_3.0_order_1"/>
    <x v="3"/>
    <n v="0.4"/>
    <n v="0.5"/>
    <n v="1000"/>
    <n v="3"/>
    <n v="1"/>
    <x v="2"/>
    <n v="557435.6"/>
    <n v="222718.9"/>
    <n v="334716.7"/>
    <n v="2400"/>
    <n v="600.01"/>
    <n v="114381.4"/>
    <n v="166491.79999999999"/>
    <n v="280873.2"/>
    <n v="46225.1"/>
    <n v="18467.8"/>
    <n v="64692.9"/>
    <n v="38.01"/>
    <n v="2.29"/>
    <n v="18396.8"/>
    <n v="64621.9"/>
    <n v="602.29999999999995"/>
    <n v="2220"/>
    <n v="345495.1"/>
    <n v="38.020000000000003"/>
    <n v="8000"/>
  </r>
  <r>
    <s v="8000_0.4_0.5_1000_3.0_order_2"/>
    <x v="3"/>
    <n v="0.4"/>
    <n v="0.5"/>
    <n v="1000"/>
    <n v="3"/>
    <n v="2"/>
    <x v="2"/>
    <n v="581757.6"/>
    <n v="227255.3"/>
    <n v="354502.3"/>
    <n v="2400"/>
    <n v="604.17999999999995"/>
    <n v="117551.6"/>
    <n v="173527.7"/>
    <n v="291079.3"/>
    <n v="44999.4"/>
    <n v="18892.7"/>
    <n v="63892.1"/>
    <n v="38.979999999999997"/>
    <n v="2.11"/>
    <n v="18752"/>
    <n v="63751.4"/>
    <n v="606.29"/>
    <n v="2190"/>
    <n v="354830.7"/>
    <n v="39.01"/>
    <n v="8000"/>
  </r>
  <r>
    <s v="8000_0.4_0.5_1000_3.0_order_3"/>
    <x v="3"/>
    <n v="0.4"/>
    <n v="0.5"/>
    <n v="1000"/>
    <n v="3"/>
    <n v="3"/>
    <x v="2"/>
    <n v="567769.5"/>
    <n v="226650.8"/>
    <n v="341118.7"/>
    <n v="2400"/>
    <n v="604.58000000000004"/>
    <n v="116420.7"/>
    <n v="169086.4"/>
    <n v="285507.09999999998"/>
    <n v="46174.1"/>
    <n v="18406.599999999999"/>
    <n v="64580.7"/>
    <n v="38.340000000000003"/>
    <n v="1.76"/>
    <n v="18352.099999999999"/>
    <n v="64526.2"/>
    <n v="606.34"/>
    <n v="2171"/>
    <n v="350033.3"/>
    <n v="38.35"/>
    <n v="8000"/>
  </r>
  <r>
    <s v="8000_0.4_0.5_1000_3.0_order_4"/>
    <x v="3"/>
    <n v="0.4"/>
    <n v="0.5"/>
    <n v="1000"/>
    <n v="3"/>
    <n v="4"/>
    <x v="2"/>
    <n v="578695.1"/>
    <n v="220248.4"/>
    <n v="358446.7"/>
    <n v="2400"/>
    <n v="604.32000000000005"/>
    <n v="113937"/>
    <n v="176476.3"/>
    <n v="290413.3"/>
    <n v="48213.2"/>
    <n v="19085.099999999999"/>
    <n v="67298.3"/>
    <n v="38.19"/>
    <n v="2.64"/>
    <n v="18974.3"/>
    <n v="67187.5"/>
    <n v="606.96"/>
    <n v="2397"/>
    <n v="357600.8"/>
    <n v="38.21"/>
    <n v="8000"/>
  </r>
  <r>
    <s v="8000_0.4_0.5_1000_3.0_order_5"/>
    <x v="3"/>
    <n v="0.4"/>
    <n v="0.5"/>
    <n v="1000"/>
    <n v="3"/>
    <n v="5"/>
    <x v="2"/>
    <n v="590660.69999999995"/>
    <n v="215654.3"/>
    <n v="375006.4"/>
    <n v="2400"/>
    <n v="600.04999999999995"/>
    <n v="112829.2"/>
    <n v="182320.8"/>
    <n v="295150"/>
    <n v="48659.4"/>
    <n v="20179.3"/>
    <n v="68838.7"/>
    <n v="38.380000000000003"/>
    <n v="2.75"/>
    <n v="20134.8"/>
    <n v="68794.2"/>
    <n v="602.79999999999995"/>
    <n v="2308"/>
    <n v="363944.2"/>
    <n v="38.380000000000003"/>
    <n v="8000"/>
  </r>
  <r>
    <s v="8000_0.4_0.5_2000_1.0_order_1"/>
    <x v="3"/>
    <n v="0.4"/>
    <n v="0.5"/>
    <n v="2000"/>
    <n v="1"/>
    <n v="1"/>
    <x v="2"/>
    <n v="557823.1"/>
    <n v="221562.4"/>
    <n v="336260.7"/>
    <n v="2400"/>
    <n v="602.29999999999995"/>
    <n v="123802.4"/>
    <n v="167928.8"/>
    <n v="291731.20000000001"/>
    <n v="60057.8"/>
    <n v="23914.9"/>
    <n v="83972.7"/>
    <n v="32.65"/>
    <n v="1.95"/>
    <n v="23865.7"/>
    <n v="83923.5"/>
    <n v="604.25"/>
    <n v="2396"/>
    <n v="375654.7"/>
    <n v="32.659999999999997"/>
    <n v="8000"/>
  </r>
  <r>
    <s v="8000_0.4_0.5_2000_1.0_order_2"/>
    <x v="3"/>
    <n v="0.4"/>
    <n v="0.5"/>
    <n v="2000"/>
    <n v="1"/>
    <n v="2"/>
    <x v="2"/>
    <n v="574477.4"/>
    <n v="217902.4"/>
    <n v="356575"/>
    <n v="2400"/>
    <n v="600.01"/>
    <n v="121406.7"/>
    <n v="177343.4"/>
    <n v="298750.09999999998"/>
    <n v="60334.3"/>
    <n v="24308.3"/>
    <n v="84642.6"/>
    <n v="33.26"/>
    <n v="1.98"/>
    <n v="24243.8"/>
    <n v="84578.1"/>
    <n v="601.99"/>
    <n v="2398"/>
    <n v="383328.2"/>
    <n v="33.270000000000003"/>
    <n v="8000"/>
  </r>
  <r>
    <s v="8000_0.4_0.5_2000_1.0_order_3"/>
    <x v="3"/>
    <n v="0.4"/>
    <n v="0.5"/>
    <n v="2000"/>
    <n v="1"/>
    <n v="3"/>
    <x v="2"/>
    <n v="568049.30000000005"/>
    <n v="222300.5"/>
    <n v="345748.8"/>
    <n v="2400"/>
    <n v="602.5"/>
    <n v="123153.7"/>
    <n v="176007.9"/>
    <n v="299161.59999999998"/>
    <n v="60074.3"/>
    <n v="23412.2"/>
    <n v="83486.5"/>
    <n v="32.64"/>
    <n v="2.1"/>
    <n v="23325.3"/>
    <n v="83399.600000000006"/>
    <n v="604.6"/>
    <n v="2305"/>
    <n v="382561.2"/>
    <n v="32.65"/>
    <n v="8000"/>
  </r>
  <r>
    <s v="8000_0.4_0.5_2000_1.0_order_4"/>
    <x v="3"/>
    <n v="0.4"/>
    <n v="0.5"/>
    <n v="2000"/>
    <n v="1"/>
    <n v="4"/>
    <x v="2"/>
    <n v="581912.6"/>
    <n v="225923.8"/>
    <n v="355988.8"/>
    <n v="2400"/>
    <n v="601.45000000000005"/>
    <n v="123910.2"/>
    <n v="178322.2"/>
    <n v="302232.40000000002"/>
    <n v="60613.5"/>
    <n v="23141.200000000001"/>
    <n v="83754.7"/>
    <n v="33.67"/>
    <n v="1.94"/>
    <n v="23009.3"/>
    <n v="83622.8"/>
    <n v="603.39"/>
    <n v="2397"/>
    <n v="385855.2"/>
    <n v="33.69"/>
    <n v="8000"/>
  </r>
  <r>
    <s v="8000_0.4_0.5_2000_1.0_order_5"/>
    <x v="3"/>
    <n v="0.4"/>
    <n v="0.5"/>
    <n v="2000"/>
    <n v="1"/>
    <n v="5"/>
    <x v="2"/>
    <n v="572459.9"/>
    <n v="219618.8"/>
    <n v="352841.1"/>
    <n v="2400"/>
    <n v="604.04"/>
    <n v="119849.3"/>
    <n v="177156.3"/>
    <n v="297005.59999999998"/>
    <n v="60620.3"/>
    <n v="22849"/>
    <n v="83469.3"/>
    <n v="33.54"/>
    <n v="2.02"/>
    <n v="22758.799999999999"/>
    <n v="83379.100000000006"/>
    <n v="606.04999999999995"/>
    <n v="2398"/>
    <n v="380384.7"/>
    <n v="33.549999999999997"/>
    <n v="8000"/>
  </r>
  <r>
    <s v="8000_0.4_0.5_2000_2.0_order_1"/>
    <x v="3"/>
    <n v="0.4"/>
    <n v="0.5"/>
    <n v="2000"/>
    <n v="2"/>
    <n v="1"/>
    <x v="2"/>
    <n v="879041"/>
    <n v="331624.40000000002"/>
    <n v="547416.6"/>
    <n v="2400"/>
    <n v="602.76"/>
    <n v="185924"/>
    <n v="281154.2"/>
    <n v="467078.2"/>
    <n v="57279.5"/>
    <n v="26450.400000000001"/>
    <n v="83729.899999999994"/>
    <n v="37.340000000000003"/>
    <n v="1.57"/>
    <n v="26412.7"/>
    <n v="83692.2"/>
    <n v="604.33000000000004"/>
    <n v="2098"/>
    <n v="550770.4"/>
    <n v="37.340000000000003"/>
    <n v="8000"/>
  </r>
  <r>
    <s v="8000_0.4_0.5_2000_2.0_order_2"/>
    <x v="3"/>
    <n v="0.4"/>
    <n v="0.5"/>
    <n v="2000"/>
    <n v="2"/>
    <n v="2"/>
    <x v="2"/>
    <n v="895929.2"/>
    <n v="335858.2"/>
    <n v="560071"/>
    <n v="2400"/>
    <n v="602.41"/>
    <n v="188280"/>
    <n v="293422.3"/>
    <n v="481702.3"/>
    <n v="56653.9"/>
    <n v="25534.7"/>
    <n v="82188.600000000006"/>
    <n v="37.06"/>
    <n v="1.5"/>
    <n v="25510.3"/>
    <n v="82164.2"/>
    <n v="603.91"/>
    <n v="1922"/>
    <n v="563866.5"/>
    <n v="37.06"/>
    <n v="8000"/>
  </r>
  <r>
    <s v="8000_0.4_0.5_2000_2.0_order_3"/>
    <x v="3"/>
    <n v="0.4"/>
    <n v="0.5"/>
    <n v="2000"/>
    <n v="2"/>
    <n v="3"/>
    <x v="2"/>
    <n v="882760.1"/>
    <n v="328520.5"/>
    <n v="554239.6"/>
    <n v="2400"/>
    <n v="600.01"/>
    <n v="180504.2"/>
    <n v="276597"/>
    <n v="457101.2"/>
    <n v="61310.6"/>
    <n v="26916.799999999999"/>
    <n v="88227.4"/>
    <n v="38.22"/>
    <n v="2.57"/>
    <n v="26728.400000000001"/>
    <n v="88039"/>
    <n v="602.57000000000005"/>
    <n v="2350"/>
    <n v="545140.19999999995"/>
    <n v="38.25"/>
    <n v="8000"/>
  </r>
  <r>
    <s v="8000_0.4_0.5_2000_2.0_order_4"/>
    <x v="3"/>
    <n v="0.4"/>
    <n v="0.5"/>
    <n v="2000"/>
    <n v="2"/>
    <n v="4"/>
    <x v="2"/>
    <n v="890793.9"/>
    <n v="333769.09999999998"/>
    <n v="557024.80000000005"/>
    <n v="2400"/>
    <n v="602.65"/>
    <n v="185872"/>
    <n v="280160.40000000002"/>
    <n v="466032.4"/>
    <n v="56085"/>
    <n v="25113.9"/>
    <n v="81198.899999999994"/>
    <n v="38.57"/>
    <n v="1.62"/>
    <n v="25061.1"/>
    <n v="81146.100000000006"/>
    <n v="604.27"/>
    <n v="1979"/>
    <n v="547178.5"/>
    <n v="38.57"/>
    <n v="8000"/>
  </r>
  <r>
    <s v="8000_0.4_0.5_2000_2.0_order_5"/>
    <x v="3"/>
    <n v="0.4"/>
    <n v="0.5"/>
    <n v="2000"/>
    <n v="2"/>
    <n v="5"/>
    <x v="2"/>
    <n v="911648.3"/>
    <n v="355200.1"/>
    <n v="556448.19999999995"/>
    <n v="2400"/>
    <n v="603.70000000000005"/>
    <n v="194836.8"/>
    <n v="282979.90000000002"/>
    <n v="477816.7"/>
    <n v="58194"/>
    <n v="25487.3"/>
    <n v="83681.3"/>
    <n v="38.409999999999997"/>
    <n v="2.27"/>
    <n v="25422.1"/>
    <n v="83616.100000000006"/>
    <n v="605.96"/>
    <n v="2189"/>
    <n v="561432.80000000005"/>
    <n v="38.42"/>
    <n v="8000"/>
  </r>
  <r>
    <s v="8000_0.4_0.5_2000_3.0_order_1"/>
    <x v="3"/>
    <n v="0.4"/>
    <n v="0.5"/>
    <n v="2000"/>
    <n v="3"/>
    <n v="1"/>
    <x v="2"/>
    <n v="1144134.7"/>
    <n v="435526.8"/>
    <n v="708607.9"/>
    <n v="2400"/>
    <n v="602.72"/>
    <n v="240100.5"/>
    <n v="376191.6"/>
    <n v="616292.1"/>
    <n v="58393.9"/>
    <n v="26776.400000000001"/>
    <n v="85170.3"/>
    <n v="38.69"/>
    <n v="1.65"/>
    <n v="26770"/>
    <n v="85163.9"/>
    <n v="604.37"/>
    <n v="1993"/>
    <n v="701456"/>
    <n v="38.69"/>
    <n v="8000"/>
  </r>
  <r>
    <s v="8000_0.4_0.5_2000_3.0_order_2"/>
    <x v="3"/>
    <n v="0.4"/>
    <n v="0.5"/>
    <n v="2000"/>
    <n v="3"/>
    <n v="2"/>
    <x v="2"/>
    <n v="1169628.8"/>
    <n v="444905.8"/>
    <n v="724723"/>
    <n v="2400"/>
    <n v="600.16"/>
    <n v="247633.6"/>
    <n v="385630.5"/>
    <n v="633264.1"/>
    <n v="56821.7"/>
    <n v="26026.2"/>
    <n v="82847.899999999994"/>
    <n v="38.770000000000003"/>
    <n v="1.98"/>
    <n v="26018"/>
    <n v="82839.7"/>
    <n v="602.13"/>
    <n v="1992"/>
    <n v="716103.8"/>
    <n v="38.78"/>
    <n v="8000"/>
  </r>
  <r>
    <s v="8000_0.4_0.5_2000_3.0_order_3"/>
    <x v="3"/>
    <n v="0.4"/>
    <n v="0.5"/>
    <n v="2000"/>
    <n v="3"/>
    <n v="3"/>
    <x v="2"/>
    <n v="1163270.8"/>
    <n v="449150.5"/>
    <n v="714120.3"/>
    <n v="2400"/>
    <n v="600.04999999999995"/>
    <n v="249335"/>
    <n v="381985.3"/>
    <n v="631320.30000000005"/>
    <n v="55801"/>
    <n v="26389.9"/>
    <n v="82190.899999999994"/>
    <n v="38.659999999999997"/>
    <n v="1.66"/>
    <n v="26380.400000000001"/>
    <n v="82181.399999999994"/>
    <n v="601.71"/>
    <n v="1885"/>
    <n v="713501.7"/>
    <n v="38.659999999999997"/>
    <n v="8000"/>
  </r>
  <r>
    <s v="8000_0.4_0.5_2000_3.0_order_4"/>
    <x v="3"/>
    <n v="0.4"/>
    <n v="0.5"/>
    <n v="2000"/>
    <n v="3"/>
    <n v="4"/>
    <x v="2"/>
    <n v="1180601.1000000001"/>
    <n v="442385.1"/>
    <n v="738216"/>
    <n v="2400"/>
    <n v="602.63"/>
    <n v="241526.8"/>
    <n v="388993.8"/>
    <n v="630520.6"/>
    <n v="59061.2"/>
    <n v="28073.7"/>
    <n v="87134.9"/>
    <n v="39.21"/>
    <n v="1.76"/>
    <n v="28073.7"/>
    <n v="87134.9"/>
    <n v="604.38"/>
    <n v="2041"/>
    <n v="717655.5"/>
    <n v="39.21"/>
    <n v="8000"/>
  </r>
  <r>
    <s v="8000_0.4_0.5_2000_3.0_order_5"/>
    <x v="3"/>
    <n v="0.4"/>
    <n v="0.5"/>
    <n v="2000"/>
    <n v="3"/>
    <n v="5"/>
    <x v="2"/>
    <n v="1164364.2"/>
    <n v="446342.3"/>
    <n v="718021.9"/>
    <n v="2400"/>
    <n v="602.6"/>
    <n v="250247.8"/>
    <n v="383975.3"/>
    <n v="634223.1"/>
    <n v="56961.4"/>
    <n v="28270.400000000001"/>
    <n v="85231.8"/>
    <n v="38.21"/>
    <n v="1.99"/>
    <n v="28269"/>
    <n v="85230.399999999994"/>
    <n v="604.58000000000004"/>
    <n v="1944"/>
    <n v="719453.5"/>
    <n v="38.21"/>
    <n v="8000"/>
  </r>
  <r>
    <s v="8000_0.4_0.5_500_1.0_order_1"/>
    <x v="3"/>
    <n v="0.4"/>
    <n v="0.5"/>
    <n v="500"/>
    <n v="1"/>
    <n v="1"/>
    <x v="2"/>
    <n v="137948.4"/>
    <n v="56686"/>
    <n v="81262.399999999994"/>
    <n v="2400"/>
    <n v="602.23"/>
    <n v="33426.300000000003"/>
    <n v="45650.1"/>
    <n v="79076.399999999994"/>
    <n v="21479.8"/>
    <n v="4271.5"/>
    <n v="25751.3"/>
    <n v="24.01"/>
    <n v="0.87"/>
    <n v="4270.1000000000004"/>
    <n v="25749.9"/>
    <n v="603.09"/>
    <n v="1362"/>
    <n v="104826.3"/>
    <n v="24.01"/>
    <n v="8000"/>
  </r>
  <r>
    <s v="8000_0.4_0.5_500_1.0_order_2"/>
    <x v="3"/>
    <n v="0.4"/>
    <n v="0.5"/>
    <n v="500"/>
    <n v="1"/>
    <n v="2"/>
    <x v="2"/>
    <n v="145133.4"/>
    <n v="57078.2"/>
    <n v="88055.2"/>
    <n v="2400"/>
    <n v="600.01"/>
    <n v="31932.6"/>
    <n v="47848.1"/>
    <n v="79780.7"/>
    <n v="22718.9"/>
    <n v="4267.2"/>
    <n v="26986.1"/>
    <n v="26.44"/>
    <n v="0.56999999999999995"/>
    <n v="4256.6000000000004"/>
    <n v="26975.5"/>
    <n v="600.58000000000004"/>
    <n v="1356"/>
    <n v="106756.2"/>
    <n v="26.44"/>
    <n v="8000"/>
  </r>
  <r>
    <s v="8000_0.4_0.5_500_1.0_order_3"/>
    <x v="3"/>
    <n v="0.4"/>
    <n v="0.5"/>
    <n v="500"/>
    <n v="1"/>
    <n v="3"/>
    <x v="2"/>
    <n v="148208.79999999999"/>
    <n v="57969.9"/>
    <n v="90238.9"/>
    <n v="2400"/>
    <n v="602.1"/>
    <n v="33536.6"/>
    <n v="50069.9"/>
    <n v="83606.5"/>
    <n v="21353.7"/>
    <n v="4442.6000000000004"/>
    <n v="25796.3"/>
    <n v="26.18"/>
    <n v="0.83"/>
    <n v="4437.2"/>
    <n v="25790.9"/>
    <n v="602.91999999999996"/>
    <n v="1370"/>
    <n v="109397.4"/>
    <n v="26.19"/>
    <n v="8000"/>
  </r>
  <r>
    <s v="8000_0.4_0.5_500_1.0_order_4"/>
    <x v="3"/>
    <n v="0.4"/>
    <n v="0.5"/>
    <n v="500"/>
    <n v="1"/>
    <n v="4"/>
    <x v="2"/>
    <n v="140471.79999999999"/>
    <n v="55659.4"/>
    <n v="84812.4"/>
    <n v="2400"/>
    <n v="601.62"/>
    <n v="30323.7"/>
    <n v="47404.4"/>
    <n v="77728.100000000006"/>
    <n v="21522.7"/>
    <n v="4561.5"/>
    <n v="26084.2"/>
    <n v="26.1"/>
    <n v="0.69"/>
    <n v="4558.7"/>
    <n v="26081.4"/>
    <n v="602.32000000000005"/>
    <n v="1313"/>
    <n v="103809.5"/>
    <n v="26.1"/>
    <n v="8000"/>
  </r>
  <r>
    <s v="8000_0.4_0.5_500_1.0_order_5"/>
    <x v="3"/>
    <n v="0.4"/>
    <n v="0.5"/>
    <n v="500"/>
    <n v="1"/>
    <n v="5"/>
    <x v="2"/>
    <n v="143922.29999999999"/>
    <n v="56113.3"/>
    <n v="87809"/>
    <n v="2400"/>
    <n v="600.02"/>
    <n v="32522.1"/>
    <n v="46659.1"/>
    <n v="79181.2"/>
    <n v="21574"/>
    <n v="4408.2"/>
    <n v="25982.2"/>
    <n v="26.93"/>
    <n v="0.91"/>
    <n v="4404.2"/>
    <n v="25978.2"/>
    <n v="600.92999999999995"/>
    <n v="1409"/>
    <n v="105159.4"/>
    <n v="26.93"/>
    <n v="8000"/>
  </r>
  <r>
    <s v="8000_0.4_0.5_500_2.0_order_1"/>
    <x v="3"/>
    <n v="0.4"/>
    <n v="0.5"/>
    <n v="500"/>
    <n v="2"/>
    <n v="1"/>
    <x v="2"/>
    <n v="229282.4"/>
    <n v="85888.4"/>
    <n v="143394"/>
    <n v="2400"/>
    <n v="600.02"/>
    <n v="47641.599999999999"/>
    <n v="74543.8"/>
    <n v="122185.4"/>
    <n v="26378.799999999999"/>
    <n v="6217.8"/>
    <n v="32596.6"/>
    <n v="32.49"/>
    <n v="1.67"/>
    <n v="6204.2"/>
    <n v="32583"/>
    <n v="601.69000000000005"/>
    <n v="1947"/>
    <n v="154768.4"/>
    <n v="32.5"/>
    <n v="8000"/>
  </r>
  <r>
    <s v="8000_0.4_0.5_500_2.0_order_2"/>
    <x v="3"/>
    <n v="0.4"/>
    <n v="0.5"/>
    <n v="500"/>
    <n v="2"/>
    <n v="2"/>
    <x v="2"/>
    <n v="219348.1"/>
    <n v="82554.600000000006"/>
    <n v="136793.5"/>
    <n v="2400"/>
    <n v="602.92999999999995"/>
    <n v="48421"/>
    <n v="70679.100000000006"/>
    <n v="119100.1"/>
    <n v="24411.1"/>
    <n v="5682.2"/>
    <n v="30093.3"/>
    <n v="31.98"/>
    <n v="1.02"/>
    <n v="5665.2"/>
    <n v="30076.3"/>
    <n v="603.95000000000005"/>
    <n v="1558"/>
    <n v="149176.4"/>
    <n v="31.99"/>
    <n v="8000"/>
  </r>
  <r>
    <s v="8000_0.4_0.5_500_2.0_order_3"/>
    <x v="3"/>
    <n v="0.4"/>
    <n v="0.5"/>
    <n v="500"/>
    <n v="2"/>
    <n v="3"/>
    <x v="2"/>
    <n v="220193.1"/>
    <n v="86632.4"/>
    <n v="133560.70000000001"/>
    <n v="2400"/>
    <n v="600.02"/>
    <n v="47968.800000000003"/>
    <n v="67233.100000000006"/>
    <n v="115201.9"/>
    <n v="26688.799999999999"/>
    <n v="6104.8"/>
    <n v="32793.599999999999"/>
    <n v="32.79"/>
    <n v="1.48"/>
    <n v="6080.2"/>
    <n v="32769"/>
    <n v="601.5"/>
    <n v="1910"/>
    <n v="147970.9"/>
    <n v="32.799999999999997"/>
    <n v="8000"/>
  </r>
  <r>
    <s v="8000_0.4_0.5_500_2.0_order_4"/>
    <x v="3"/>
    <n v="0.4"/>
    <n v="0.5"/>
    <n v="500"/>
    <n v="2"/>
    <n v="4"/>
    <x v="2"/>
    <n v="204104.4"/>
    <n v="78709.2"/>
    <n v="125395.2"/>
    <n v="2400"/>
    <n v="600.74"/>
    <n v="44003.199999999997"/>
    <n v="64498.6"/>
    <n v="108501.8"/>
    <n v="23938.7"/>
    <n v="6187.7"/>
    <n v="30126.400000000001"/>
    <n v="32.08"/>
    <n v="1.6"/>
    <n v="6168.1"/>
    <n v="30106.799999999999"/>
    <n v="602.34"/>
    <n v="1666"/>
    <n v="138608.6"/>
    <n v="32.090000000000003"/>
    <n v="8000"/>
  </r>
  <r>
    <s v="8000_0.4_0.5_500_2.0_order_5"/>
    <x v="3"/>
    <n v="0.4"/>
    <n v="0.5"/>
    <n v="500"/>
    <n v="2"/>
    <n v="5"/>
    <x v="2"/>
    <n v="232301.2"/>
    <n v="86860"/>
    <n v="145441.20000000001"/>
    <n v="2400"/>
    <n v="603.03"/>
    <n v="46733.7"/>
    <n v="73415.600000000006"/>
    <n v="120149.3"/>
    <n v="26877.7"/>
    <n v="6442.1"/>
    <n v="33319.800000000003"/>
    <n v="33.94"/>
    <n v="1.77"/>
    <n v="6424.1"/>
    <n v="33301.800000000003"/>
    <n v="604.79999999999995"/>
    <n v="1901"/>
    <n v="153451.1"/>
    <n v="33.94"/>
    <n v="8000"/>
  </r>
  <r>
    <s v="8000_0.4_0.5_500_3.0_order_1"/>
    <x v="3"/>
    <n v="0.4"/>
    <n v="0.5"/>
    <n v="500"/>
    <n v="3"/>
    <n v="1"/>
    <x v="2"/>
    <n v="296222.40000000002"/>
    <n v="117972.9"/>
    <n v="178249.5"/>
    <n v="2400"/>
    <n v="604.87"/>
    <n v="60454.9"/>
    <n v="89973.6"/>
    <n v="150428.5"/>
    <n v="31456.9"/>
    <n v="8656.7999999999993"/>
    <n v="40113.699999999997"/>
    <n v="35.68"/>
    <n v="2.42"/>
    <n v="8642.9"/>
    <n v="40099.800000000003"/>
    <n v="607.28"/>
    <n v="2166"/>
    <n v="190528.3"/>
    <n v="35.68"/>
    <n v="8000"/>
  </r>
  <r>
    <s v="8000_0.4_0.5_500_3.0_order_2"/>
    <x v="3"/>
    <n v="0.4"/>
    <n v="0.5"/>
    <n v="500"/>
    <n v="3"/>
    <n v="2"/>
    <x v="2"/>
    <n v="292071.5"/>
    <n v="117693.5"/>
    <n v="174378"/>
    <n v="2400"/>
    <n v="603.67999999999995"/>
    <n v="60042.2"/>
    <n v="86849.600000000006"/>
    <n v="146891.79999999999"/>
    <n v="31577.8"/>
    <n v="8538"/>
    <n v="40115.800000000003"/>
    <n v="35.97"/>
    <n v="1.76"/>
    <n v="8518.9"/>
    <n v="40096.699999999997"/>
    <n v="605.44000000000005"/>
    <n v="2066"/>
    <n v="186988.5"/>
    <n v="35.979999999999997"/>
    <n v="8000"/>
  </r>
  <r>
    <s v="8000_0.4_0.5_500_3.0_order_3"/>
    <x v="3"/>
    <n v="0.4"/>
    <n v="0.5"/>
    <n v="500"/>
    <n v="3"/>
    <n v="3"/>
    <x v="2"/>
    <n v="284594.5"/>
    <n v="104800.7"/>
    <n v="179793.8"/>
    <n v="2400"/>
    <n v="603.76"/>
    <n v="54985.5"/>
    <n v="91436.800000000003"/>
    <n v="146422.29999999999"/>
    <n v="29340.6"/>
    <n v="7990.5"/>
    <n v="37331.1"/>
    <n v="35.43"/>
    <n v="1.87"/>
    <n v="7956.8"/>
    <n v="37297.4"/>
    <n v="605.63"/>
    <n v="1995"/>
    <n v="183719.7"/>
    <n v="35.450000000000003"/>
    <n v="8000"/>
  </r>
  <r>
    <s v="8000_0.4_0.5_500_3.0_order_4"/>
    <x v="3"/>
    <n v="0.4"/>
    <n v="0.5"/>
    <n v="500"/>
    <n v="3"/>
    <n v="4"/>
    <x v="2"/>
    <n v="291141.09999999998"/>
    <n v="116731.8"/>
    <n v="174409.3"/>
    <n v="2400"/>
    <n v="600"/>
    <n v="62329.4"/>
    <n v="88703.2"/>
    <n v="151032.6"/>
    <n v="29484.799999999999"/>
    <n v="8033.8"/>
    <n v="37518.6"/>
    <n v="35.24"/>
    <n v="2.04"/>
    <n v="8011.9"/>
    <n v="37496.699999999997"/>
    <n v="602.04"/>
    <n v="2082"/>
    <n v="188529.3"/>
    <n v="35.24"/>
    <n v="8000"/>
  </r>
  <r>
    <s v="8000_0.4_0.5_500_3.0_order_5"/>
    <x v="3"/>
    <n v="0.4"/>
    <n v="0.5"/>
    <n v="500"/>
    <n v="3"/>
    <n v="5"/>
    <x v="2"/>
    <n v="298157.2"/>
    <n v="109464.7"/>
    <n v="188692.5"/>
    <n v="2400"/>
    <n v="600.01"/>
    <n v="57326.9"/>
    <n v="95226.7"/>
    <n v="152553.60000000001"/>
    <n v="31169.599999999999"/>
    <n v="8781.9"/>
    <n v="39951.5"/>
    <n v="35.44"/>
    <n v="2.06"/>
    <n v="8751.1"/>
    <n v="39920.699999999997"/>
    <n v="602.07000000000005"/>
    <n v="2067"/>
    <n v="192474.3"/>
    <n v="35.450000000000003"/>
    <n v="8000"/>
  </r>
  <r>
    <m/>
    <x v="4"/>
    <m/>
    <m/>
    <m/>
    <m/>
    <m/>
    <x v="3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93B8B-CEE2-44F0-8086-9CBF0BBB0CD9}" name="数据透视表1" cacheId="3" applyNumberFormats="0" applyBorderFormats="0" applyFontFormats="0" applyPatternFormats="0" applyAlignmentFormats="0" applyWidthHeightFormats="1" dataCaption="值" updatedVersion="7" minRefreshableVersion="3" showDrill="0" useAutoFormatting="1" itemPrintTitles="1" createdVersion="7" indent="0" outline="1" outlineData="1" multipleFieldFilters="0">
  <location ref="A3:I14" firstHeaderRow="0" firstDataRow="1" firstDataCol="1"/>
  <pivotFields count="27">
    <pivotField showAll="0" defaultSubtotal="0"/>
    <pivotField axis="axisRow" showAll="0" defaultSubtotal="0">
      <items count="4">
        <item x="0"/>
        <item x="1"/>
        <item h="1" x="2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5">
        <item x="0"/>
        <item x="3"/>
        <item x="2"/>
        <item x="1"/>
        <item x="4"/>
      </items>
    </pivotField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</pivotFields>
  <rowFields count="2">
    <field x="1"/>
    <field x="7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平均值项:pickDist0" fld="8" subtotal="average" baseField="0" baseItem="0"/>
    <dataField name="平均值项:totalDist" fld="25" subtotal="average" baseField="0" baseItem="0"/>
    <dataField name="平均值项:pickDist" fld="15" subtotal="average" baseField="0" baseItem="0"/>
    <dataField name="平均值项:relocDist2" fld="22" subtotal="average" baseField="0" baseItem="0" numFmtId="2"/>
    <dataField name="平均值项:improve1(%)" fld="19" subtotal="average" baseField="0" baseItem="0" numFmtId="2"/>
    <dataField name="平均值项:improve(%)" fld="26" subtotal="average" baseField="0" baseItem="0" numFmtId="2"/>
    <dataField name="平均值项:timeCost1" fld="12" subtotal="average" baseField="0" baseItem="0" numFmtId="2"/>
    <dataField name="平均值项:timeCost" fld="23" subtotal="average" baseField="0" baseItem="0" numFmtId="2"/>
  </dataFields>
  <formats count="8">
    <format dxfId="37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4" selected="0">
            <x v="3"/>
            <x v="4"/>
            <x v="5"/>
            <x v="7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3"/>
          </reference>
          <reference field="1" count="1">
            <x v="1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1"/>
          </reference>
          <reference field="7" count="4">
            <x v="0"/>
            <x v="1"/>
            <x v="2"/>
            <x v="3"/>
          </reference>
        </references>
      </pivotArea>
    </format>
    <format dxfId="29">
      <pivotArea field="1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1B889-E28C-47ED-B169-0CC33438BC9F}" name="数据透视表2" cacheId="2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J20" firstHeaderRow="0" firstDataRow="1" firstDataCol="1"/>
  <pivotFields count="28">
    <pivotField dataField="1" showAll="0" defaultSubtotal="0"/>
    <pivotField axis="axisRow" multipleItemSelectionAllowed="1" showAll="0" defaultSubtotal="0">
      <items count="5">
        <item x="2"/>
        <item x="0"/>
        <item x="1"/>
        <item x="3"/>
        <item h="1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x="2"/>
        <item x="3"/>
        <item m="1" x="6"/>
        <item m="1" x="8"/>
        <item m="1" x="7"/>
        <item m="1" x="4"/>
        <item m="1" x="5"/>
        <item x="0"/>
        <item x="1"/>
      </items>
    </pivotField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ubtotalTop="0" showAll="0" defaultSubtotal="0"/>
    <pivotField subtotalTop="0" showAll="0" defaultSubtotal="0"/>
  </pivotFields>
  <rowFields count="2">
    <field x="1"/>
    <field x="7"/>
  </rowFields>
  <rowItems count="17">
    <i>
      <x/>
    </i>
    <i r="1">
      <x/>
    </i>
    <i r="1">
      <x v="7"/>
    </i>
    <i r="1">
      <x v="8"/>
    </i>
    <i>
      <x v="1"/>
    </i>
    <i r="1">
      <x/>
    </i>
    <i r="1">
      <x v="7"/>
    </i>
    <i r="1">
      <x v="8"/>
    </i>
    <i>
      <x v="2"/>
    </i>
    <i r="1">
      <x/>
    </i>
    <i r="1">
      <x v="7"/>
    </i>
    <i r="1">
      <x v="8"/>
    </i>
    <i>
      <x v="3"/>
    </i>
    <i r="1">
      <x/>
    </i>
    <i r="1">
      <x v="7"/>
    </i>
    <i r="1">
      <x v="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计数项:inst" fld="0" subtotal="count" baseField="0" baseItem="0"/>
    <dataField name="平均值项:pickDist0" fld="8" subtotal="average" baseField="0" baseItem="0" numFmtId="1"/>
    <dataField name="平均值项:totalDist" fld="25" subtotal="average" baseField="0" baseItem="0" numFmtId="1"/>
    <dataField name="平均值项:pickDist" fld="15" subtotal="average" baseField="0" baseItem="0" numFmtId="1"/>
    <dataField name="平均值项:relocDist2" fld="22" subtotal="average" baseField="0" baseItem="0" numFmtId="1"/>
    <dataField name="平均值项:improve1(%)" fld="19" subtotal="average" baseField="0" baseItem="0"/>
    <dataField name="平均值项:improve(%)" fld="26" subtotal="average" baseField="0" baseItem="0" numFmtId="2"/>
    <dataField name="平均值项:timeCost1" fld="12" subtotal="average" baseField="0" baseItem="0"/>
    <dataField name="平均值项:timeCost" fld="23" subtotal="average" baseField="0" baseItem="0"/>
  </dataFields>
  <formats count="5">
    <format dxfId="35">
      <pivotArea dataOnly="0" outline="0" fieldPosition="0">
        <references count="1">
          <reference field="4294967294" count="7">
            <x v="1"/>
            <x v="2"/>
            <x v="3"/>
            <x v="4"/>
            <x v="5"/>
            <x v="7"/>
            <x v="8"/>
          </reference>
        </references>
      </pivotArea>
    </format>
    <format dxfId="34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33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5CE2-F1A1-4A39-BA8D-FCCA8ED5D4D0}">
  <dimension ref="A1:P36"/>
  <sheetViews>
    <sheetView tabSelected="1" workbookViewId="0">
      <selection activeCell="I7" sqref="I7"/>
    </sheetView>
  </sheetViews>
  <sheetFormatPr defaultRowHeight="14.6" x14ac:dyDescent="0.4"/>
  <cols>
    <col min="2" max="2" width="27.53515625" customWidth="1"/>
    <col min="3" max="3" width="9.3828125" style="3" bestFit="1" customWidth="1"/>
    <col min="4" max="4" width="15.84375" style="3" customWidth="1"/>
    <col min="5" max="7" width="12.23046875" style="3" customWidth="1"/>
    <col min="8" max="8" width="16.3828125" style="3" customWidth="1"/>
    <col min="9" max="9" width="14.61328125" style="3" customWidth="1"/>
    <col min="10" max="10" width="13" style="3" customWidth="1"/>
    <col min="11" max="11" width="11.61328125" style="3" customWidth="1"/>
    <col min="13" max="13" width="9.23046875" customWidth="1"/>
  </cols>
  <sheetData>
    <row r="1" spans="1:16" x14ac:dyDescent="0.4">
      <c r="A1" s="3"/>
      <c r="B1" s="3"/>
      <c r="L1" s="3"/>
    </row>
    <row r="2" spans="1:16" x14ac:dyDescent="0.4">
      <c r="A2" s="11" t="s">
        <v>568</v>
      </c>
      <c r="B2" s="11" t="s">
        <v>6</v>
      </c>
      <c r="C2" s="10" t="s">
        <v>558</v>
      </c>
      <c r="D2" s="12" t="s">
        <v>569</v>
      </c>
      <c r="E2" s="12" t="s">
        <v>12</v>
      </c>
      <c r="F2" s="12" t="s">
        <v>563</v>
      </c>
      <c r="G2" s="12" t="s">
        <v>599</v>
      </c>
      <c r="H2" s="12" t="s">
        <v>564</v>
      </c>
      <c r="I2" s="12" t="s">
        <v>565</v>
      </c>
      <c r="J2" s="12" t="s">
        <v>566</v>
      </c>
      <c r="K2" s="12" t="s">
        <v>567</v>
      </c>
      <c r="L2" s="3"/>
      <c r="M2" s="36" t="s">
        <v>609</v>
      </c>
    </row>
    <row r="3" spans="1:16" x14ac:dyDescent="0.4">
      <c r="A3" s="25">
        <v>2000</v>
      </c>
      <c r="B3" s="5" t="s">
        <v>559</v>
      </c>
      <c r="C3" s="18">
        <v>45</v>
      </c>
      <c r="D3" s="14">
        <v>217565.04888888882</v>
      </c>
      <c r="E3" s="14">
        <v>149291.0155555555</v>
      </c>
      <c r="F3" s="14">
        <v>134400.82888888891</v>
      </c>
      <c r="G3" s="14">
        <v>14890.186666666666</v>
      </c>
      <c r="H3" s="4">
        <v>31.31422222222222</v>
      </c>
      <c r="I3" s="4">
        <v>31.317999999999998</v>
      </c>
      <c r="J3" s="4">
        <v>600.57888888888886</v>
      </c>
      <c r="K3" s="4">
        <v>600.70177777777792</v>
      </c>
      <c r="L3" s="3"/>
      <c r="M3" s="2"/>
    </row>
    <row r="4" spans="1:16" x14ac:dyDescent="0.4">
      <c r="A4" s="25"/>
      <c r="B4" s="5" t="s">
        <v>560</v>
      </c>
      <c r="C4" s="18">
        <v>45</v>
      </c>
      <c r="D4" s="14">
        <v>217565.04888888882</v>
      </c>
      <c r="E4" s="14">
        <v>149841.11555555556</v>
      </c>
      <c r="F4" s="14">
        <v>134868.4577777778</v>
      </c>
      <c r="G4" s="14">
        <v>14972.657777777773</v>
      </c>
      <c r="H4" s="4">
        <v>30.996444444444446</v>
      </c>
      <c r="I4" s="4">
        <v>31.032888888888895</v>
      </c>
      <c r="J4" s="4">
        <v>600.44311111111119</v>
      </c>
      <c r="K4" s="4">
        <v>600.57133333333343</v>
      </c>
      <c r="L4" s="3"/>
      <c r="M4" s="2">
        <f>$I$3-I4</f>
        <v>0.2851111111111031</v>
      </c>
      <c r="N4" s="35"/>
      <c r="P4" s="35"/>
    </row>
    <row r="5" spans="1:16" x14ac:dyDescent="0.4">
      <c r="A5" s="25"/>
      <c r="B5" s="5" t="s">
        <v>561</v>
      </c>
      <c r="C5" s="18">
        <v>45</v>
      </c>
      <c r="D5" s="14">
        <v>217565.04888888882</v>
      </c>
      <c r="E5" s="14">
        <v>150519.79111111109</v>
      </c>
      <c r="F5" s="14">
        <v>135459.32222222217</v>
      </c>
      <c r="G5" s="14">
        <v>15060.468888888885</v>
      </c>
      <c r="H5" s="4">
        <v>30.633333333333329</v>
      </c>
      <c r="I5" s="4">
        <v>30.691999999999997</v>
      </c>
      <c r="J5" s="4">
        <v>600.47333333333336</v>
      </c>
      <c r="K5" s="4">
        <v>600.72755555555557</v>
      </c>
      <c r="L5" s="3"/>
      <c r="M5" s="2">
        <f t="shared" ref="M5:M6" si="0">$I$3-I5</f>
        <v>0.62600000000000122</v>
      </c>
      <c r="N5" s="35"/>
    </row>
    <row r="6" spans="1:16" x14ac:dyDescent="0.4">
      <c r="A6" s="25"/>
      <c r="B6" s="5" t="s">
        <v>562</v>
      </c>
      <c r="C6" s="18">
        <v>45</v>
      </c>
      <c r="D6" s="14">
        <v>217565.04888888882</v>
      </c>
      <c r="E6" s="14">
        <v>151801.7977777778</v>
      </c>
      <c r="F6" s="14">
        <v>136338.94222222225</v>
      </c>
      <c r="G6" s="14">
        <v>15462.855555555558</v>
      </c>
      <c r="H6" s="4">
        <v>30.206888888888894</v>
      </c>
      <c r="I6" s="4">
        <v>30.241777777777781</v>
      </c>
      <c r="J6" s="4">
        <v>600.00533333333306</v>
      </c>
      <c r="K6" s="4">
        <v>600.16955555555558</v>
      </c>
      <c r="L6" s="3"/>
      <c r="M6" s="2">
        <f t="shared" si="0"/>
        <v>1.0762222222222171</v>
      </c>
      <c r="N6" s="35"/>
    </row>
    <row r="7" spans="1:16" x14ac:dyDescent="0.4">
      <c r="A7" s="5"/>
      <c r="B7" s="5"/>
      <c r="C7" s="18"/>
      <c r="D7" s="13"/>
      <c r="E7" s="13"/>
      <c r="F7" s="13"/>
      <c r="G7" s="13"/>
      <c r="H7" s="7"/>
      <c r="I7" s="7"/>
      <c r="J7" s="7"/>
      <c r="K7" s="7"/>
      <c r="L7" s="3"/>
      <c r="N7" s="35"/>
    </row>
    <row r="8" spans="1:16" x14ac:dyDescent="0.4">
      <c r="A8" s="25">
        <v>4000</v>
      </c>
      <c r="B8" s="5" t="s">
        <v>559</v>
      </c>
      <c r="C8" s="18">
        <v>45</v>
      </c>
      <c r="D8" s="13">
        <v>265058.75555555557</v>
      </c>
      <c r="E8" s="13">
        <v>186795.24222222224</v>
      </c>
      <c r="F8" s="14">
        <v>158997.03111111111</v>
      </c>
      <c r="G8" s="14">
        <v>27798.211111111123</v>
      </c>
      <c r="H8" s="4">
        <v>28.895333333333337</v>
      </c>
      <c r="I8" s="7">
        <v>28.907777777777781</v>
      </c>
      <c r="J8" s="4">
        <v>601.10044444444441</v>
      </c>
      <c r="K8" s="7">
        <v>601.56311111111108</v>
      </c>
      <c r="L8" s="3"/>
      <c r="N8" s="35"/>
    </row>
    <row r="9" spans="1:16" x14ac:dyDescent="0.4">
      <c r="A9" s="25"/>
      <c r="B9" s="5" t="s">
        <v>560</v>
      </c>
      <c r="C9" s="18">
        <v>45</v>
      </c>
      <c r="D9" s="13">
        <v>265058.75555555557</v>
      </c>
      <c r="E9" s="13">
        <v>188670.26000000004</v>
      </c>
      <c r="F9" s="14">
        <v>160519.17555555559</v>
      </c>
      <c r="G9" s="14">
        <v>28151.084444444452</v>
      </c>
      <c r="H9" s="4">
        <v>28.155555555555551</v>
      </c>
      <c r="I9" s="7">
        <v>28.222444444444445</v>
      </c>
      <c r="J9" s="4">
        <v>600.42311111111076</v>
      </c>
      <c r="K9" s="7">
        <v>600.7746666666668</v>
      </c>
      <c r="L9" s="3"/>
      <c r="M9" s="2">
        <f>$I$8-I9</f>
        <v>0.68533333333333601</v>
      </c>
      <c r="N9" s="35"/>
    </row>
    <row r="10" spans="1:16" x14ac:dyDescent="0.4">
      <c r="A10" s="25"/>
      <c r="B10" s="5" t="s">
        <v>561</v>
      </c>
      <c r="C10" s="18">
        <v>45</v>
      </c>
      <c r="D10" s="13">
        <v>265058.75555555557</v>
      </c>
      <c r="E10" s="13">
        <v>190067.85555555555</v>
      </c>
      <c r="F10" s="14">
        <v>162829.15999999997</v>
      </c>
      <c r="G10" s="14">
        <v>27238.695555555558</v>
      </c>
      <c r="H10" s="4">
        <v>27.489555555555555</v>
      </c>
      <c r="I10" s="7">
        <v>27.65644444444445</v>
      </c>
      <c r="J10" s="4">
        <v>600.3544444444442</v>
      </c>
      <c r="K10" s="7">
        <v>601.94577777777783</v>
      </c>
      <c r="L10" s="3"/>
      <c r="M10" s="2">
        <f t="shared" ref="M10:M11" si="1">$I$8-I10</f>
        <v>1.2513333333333314</v>
      </c>
      <c r="N10" s="35"/>
    </row>
    <row r="11" spans="1:16" x14ac:dyDescent="0.4">
      <c r="A11" s="26"/>
      <c r="B11" s="8" t="s">
        <v>562</v>
      </c>
      <c r="C11" s="19">
        <v>45</v>
      </c>
      <c r="D11" s="15">
        <v>265058.75555555557</v>
      </c>
      <c r="E11" s="15">
        <v>191133.93333333332</v>
      </c>
      <c r="F11" s="15">
        <v>162321.72444444444</v>
      </c>
      <c r="G11" s="15">
        <v>28812.208888888887</v>
      </c>
      <c r="H11" s="9">
        <v>27.321111111111108</v>
      </c>
      <c r="I11" s="9">
        <v>27.403333333333329</v>
      </c>
      <c r="J11" s="9">
        <v>600.01088888888864</v>
      </c>
      <c r="K11" s="9">
        <v>600.49044444444451</v>
      </c>
      <c r="L11" s="3"/>
      <c r="M11" s="2">
        <f t="shared" si="1"/>
        <v>1.5044444444444522</v>
      </c>
      <c r="N11" s="35"/>
    </row>
    <row r="12" spans="1:16" x14ac:dyDescent="0.4">
      <c r="A12" s="3"/>
      <c r="B12" s="3"/>
      <c r="L12" s="3"/>
      <c r="N12" s="35"/>
    </row>
    <row r="13" spans="1:16" x14ac:dyDescent="0.4">
      <c r="A13" s="3"/>
      <c r="B13" s="3"/>
      <c r="N13" s="35"/>
    </row>
    <row r="14" spans="1:16" x14ac:dyDescent="0.4">
      <c r="N14" s="35"/>
    </row>
    <row r="15" spans="1:16" x14ac:dyDescent="0.4">
      <c r="N15" s="35"/>
    </row>
    <row r="16" spans="1:16" x14ac:dyDescent="0.4">
      <c r="A16" s="11" t="s">
        <v>568</v>
      </c>
      <c r="B16" s="11" t="s">
        <v>6</v>
      </c>
      <c r="C16" s="10" t="s">
        <v>558</v>
      </c>
      <c r="D16" s="12" t="s">
        <v>569</v>
      </c>
      <c r="E16" s="12" t="s">
        <v>12</v>
      </c>
      <c r="F16" s="12" t="s">
        <v>563</v>
      </c>
      <c r="G16" s="12" t="s">
        <v>599</v>
      </c>
      <c r="H16" s="12" t="s">
        <v>572</v>
      </c>
      <c r="I16" s="12" t="s">
        <v>573</v>
      </c>
      <c r="J16" s="12" t="s">
        <v>566</v>
      </c>
      <c r="K16" s="12" t="s">
        <v>567</v>
      </c>
      <c r="L16" s="3"/>
      <c r="M16" s="36" t="s">
        <v>609</v>
      </c>
      <c r="N16" s="35"/>
    </row>
    <row r="17" spans="1:14" x14ac:dyDescent="0.4">
      <c r="A17" s="25">
        <v>800</v>
      </c>
      <c r="B17" s="5" t="s">
        <v>559</v>
      </c>
      <c r="C17" s="6">
        <v>135</v>
      </c>
      <c r="D17" s="13">
        <v>141663.19925925933</v>
      </c>
      <c r="E17" s="13">
        <v>105064.70148148146</v>
      </c>
      <c r="F17" s="13">
        <v>100884.77629629632</v>
      </c>
      <c r="G17" s="13">
        <v>4179.9251851851841</v>
      </c>
      <c r="H17" s="7">
        <v>25.380444444444443</v>
      </c>
      <c r="I17" s="7">
        <v>25.383629629629624</v>
      </c>
      <c r="J17" s="7">
        <v>600.4513333333332</v>
      </c>
      <c r="K17" s="7">
        <v>600.48103703703725</v>
      </c>
      <c r="L17" s="4"/>
      <c r="N17" s="35"/>
    </row>
    <row r="18" spans="1:14" x14ac:dyDescent="0.4">
      <c r="A18" s="25"/>
      <c r="B18" s="5" t="s">
        <v>570</v>
      </c>
      <c r="C18" s="6">
        <v>135</v>
      </c>
      <c r="D18" s="13">
        <v>141663.19925925933</v>
      </c>
      <c r="E18" s="13">
        <v>106712.34740740739</v>
      </c>
      <c r="F18" s="13">
        <v>102070.26666666668</v>
      </c>
      <c r="G18" s="13">
        <v>4642.0807407407392</v>
      </c>
      <c r="H18" s="7">
        <v>24.149925925925931</v>
      </c>
      <c r="I18" s="7">
        <v>24.172666666666675</v>
      </c>
      <c r="J18" s="7">
        <v>600.00651851851819</v>
      </c>
      <c r="K18" s="7">
        <v>600.0427407407409</v>
      </c>
      <c r="L18" s="4"/>
      <c r="M18" s="2">
        <f>$I$17-I18</f>
        <v>1.2109629629629488</v>
      </c>
      <c r="N18" s="35"/>
    </row>
    <row r="19" spans="1:14" x14ac:dyDescent="0.4">
      <c r="A19" s="25"/>
      <c r="B19" s="5" t="s">
        <v>571</v>
      </c>
      <c r="C19" s="6">
        <v>135</v>
      </c>
      <c r="D19" s="13">
        <v>141663.19925925933</v>
      </c>
      <c r="E19" s="13">
        <v>123256.32962962965</v>
      </c>
      <c r="F19" s="13">
        <v>119159.9385185186</v>
      </c>
      <c r="G19" s="13">
        <v>4096.391111111112</v>
      </c>
      <c r="H19" s="7">
        <v>12.358888888888892</v>
      </c>
      <c r="I19" s="7">
        <v>12.450740740740734</v>
      </c>
      <c r="J19" s="7">
        <v>0.18799999999999994</v>
      </c>
      <c r="K19" s="7">
        <v>0.21096296296296302</v>
      </c>
      <c r="L19" s="4"/>
      <c r="M19" s="2">
        <f>$I$17-I19</f>
        <v>12.93288888888889</v>
      </c>
      <c r="N19" s="35"/>
    </row>
    <row r="20" spans="1:14" x14ac:dyDescent="0.4">
      <c r="A20" s="5"/>
      <c r="B20" s="5"/>
      <c r="C20" s="6"/>
      <c r="D20" s="13"/>
      <c r="E20" s="13"/>
      <c r="F20" s="13"/>
      <c r="G20" s="13"/>
      <c r="H20" s="7"/>
      <c r="I20" s="7"/>
      <c r="J20" s="7"/>
      <c r="K20" s="7"/>
      <c r="L20" s="4"/>
      <c r="N20" s="35"/>
    </row>
    <row r="21" spans="1:14" x14ac:dyDescent="0.4">
      <c r="A21" s="25">
        <v>2000</v>
      </c>
      <c r="B21" s="5" t="s">
        <v>559</v>
      </c>
      <c r="C21" s="6">
        <v>135</v>
      </c>
      <c r="D21" s="13">
        <v>253802.07333333333</v>
      </c>
      <c r="E21" s="13">
        <v>173236.39259259257</v>
      </c>
      <c r="F21" s="13">
        <v>158571.40740740742</v>
      </c>
      <c r="G21" s="13">
        <v>14664.985185185189</v>
      </c>
      <c r="H21" s="7">
        <v>31.20703703703705</v>
      </c>
      <c r="I21" s="7">
        <v>31.211629629629627</v>
      </c>
      <c r="J21" s="7">
        <v>600.60918518518531</v>
      </c>
      <c r="K21" s="7">
        <v>600.74148148148151</v>
      </c>
      <c r="L21" s="4"/>
      <c r="N21" s="35"/>
    </row>
    <row r="22" spans="1:14" x14ac:dyDescent="0.4">
      <c r="A22" s="25"/>
      <c r="B22" s="5" t="s">
        <v>570</v>
      </c>
      <c r="C22" s="6">
        <v>135</v>
      </c>
      <c r="D22" s="13">
        <v>253802.07333333333</v>
      </c>
      <c r="E22" s="13">
        <v>178128.40222222224</v>
      </c>
      <c r="F22" s="13">
        <v>159560.21925925929</v>
      </c>
      <c r="G22" s="13">
        <v>18568.182962962961</v>
      </c>
      <c r="H22" s="7">
        <v>28.816888888888901</v>
      </c>
      <c r="I22" s="7">
        <v>28.896148148148139</v>
      </c>
      <c r="J22" s="7">
        <v>600.00748148148125</v>
      </c>
      <c r="K22" s="7">
        <v>600.15385185185187</v>
      </c>
      <c r="L22" s="4"/>
      <c r="M22" s="2">
        <f>$I$21-I22</f>
        <v>2.3154814814814877</v>
      </c>
      <c r="N22" s="35"/>
    </row>
    <row r="23" spans="1:14" x14ac:dyDescent="0.4">
      <c r="A23" s="25"/>
      <c r="B23" s="5" t="s">
        <v>571</v>
      </c>
      <c r="C23" s="6">
        <v>135</v>
      </c>
      <c r="D23" s="13">
        <v>253802.07333333333</v>
      </c>
      <c r="E23" s="13">
        <v>211678.77777777778</v>
      </c>
      <c r="F23" s="13">
        <v>194356.08074074076</v>
      </c>
      <c r="G23" s="13">
        <v>17322.697037037029</v>
      </c>
      <c r="H23" s="7">
        <v>15.008296296296306</v>
      </c>
      <c r="I23" s="7">
        <v>15.12096296296296</v>
      </c>
      <c r="J23" s="7">
        <v>0.44096296296296278</v>
      </c>
      <c r="K23" s="7">
        <v>0.52118518518518475</v>
      </c>
      <c r="L23" s="4"/>
      <c r="M23" s="2">
        <f>$I$21-I23</f>
        <v>16.090666666666667</v>
      </c>
      <c r="N23" s="35"/>
    </row>
    <row r="24" spans="1:14" x14ac:dyDescent="0.4">
      <c r="A24" s="5"/>
      <c r="B24" s="5"/>
      <c r="C24" s="6"/>
      <c r="D24" s="13"/>
      <c r="E24" s="13"/>
      <c r="F24" s="13"/>
      <c r="G24" s="13"/>
      <c r="H24" s="7"/>
      <c r="I24" s="7"/>
      <c r="J24" s="7"/>
      <c r="K24" s="7"/>
      <c r="L24" s="4"/>
      <c r="N24" s="35"/>
    </row>
    <row r="25" spans="1:14" x14ac:dyDescent="0.4">
      <c r="A25" s="25">
        <v>4000</v>
      </c>
      <c r="B25" s="5" t="s">
        <v>559</v>
      </c>
      <c r="C25" s="6">
        <v>135</v>
      </c>
      <c r="D25" s="13">
        <v>308344.68222222209</v>
      </c>
      <c r="E25" s="13">
        <v>216297.49333333349</v>
      </c>
      <c r="F25" s="13">
        <v>189014.20074074069</v>
      </c>
      <c r="G25" s="13">
        <v>27283.292592592603</v>
      </c>
      <c r="H25" s="7">
        <v>28.535629629629629</v>
      </c>
      <c r="I25" s="7">
        <v>28.549555555555553</v>
      </c>
      <c r="J25" s="7">
        <v>601.16311111111099</v>
      </c>
      <c r="K25" s="7">
        <v>601.63925925925935</v>
      </c>
      <c r="L25" s="4"/>
      <c r="N25" s="35"/>
    </row>
    <row r="26" spans="1:14" x14ac:dyDescent="0.4">
      <c r="A26" s="25"/>
      <c r="B26" s="5" t="s">
        <v>570</v>
      </c>
      <c r="C26" s="6">
        <v>135</v>
      </c>
      <c r="D26" s="13">
        <v>308344.68222222209</v>
      </c>
      <c r="E26" s="13">
        <v>227295.16074074074</v>
      </c>
      <c r="F26" s="13">
        <v>187551.59629629634</v>
      </c>
      <c r="G26" s="13">
        <v>39743.56444444447</v>
      </c>
      <c r="H26" s="7">
        <v>23.758962962962961</v>
      </c>
      <c r="I26" s="7">
        <v>23.966074074074072</v>
      </c>
      <c r="J26" s="7">
        <v>600.01437037036999</v>
      </c>
      <c r="K26" s="7">
        <v>600.40148148148137</v>
      </c>
      <c r="L26" s="4"/>
      <c r="M26" s="2">
        <f>$I$25-I26</f>
        <v>4.5834814814814813</v>
      </c>
      <c r="N26" s="35"/>
    </row>
    <row r="27" spans="1:14" x14ac:dyDescent="0.4">
      <c r="A27" s="25"/>
      <c r="B27" s="5" t="s">
        <v>571</v>
      </c>
      <c r="C27" s="6">
        <v>135</v>
      </c>
      <c r="D27" s="13">
        <v>308344.68222222209</v>
      </c>
      <c r="E27" s="13">
        <v>272425.41851851851</v>
      </c>
      <c r="F27" s="13">
        <v>243213.49481481471</v>
      </c>
      <c r="G27" s="13">
        <v>29211.923703703731</v>
      </c>
      <c r="H27" s="7">
        <v>9.4488888888888862</v>
      </c>
      <c r="I27" s="7">
        <v>9.6200000000000028</v>
      </c>
      <c r="J27" s="7">
        <v>1.4635555555555559</v>
      </c>
      <c r="K27" s="7">
        <v>1.6412592592592596</v>
      </c>
      <c r="L27" s="4"/>
      <c r="M27" s="2">
        <f>$I$25-I27</f>
        <v>18.929555555555552</v>
      </c>
      <c r="N27" s="35"/>
    </row>
    <row r="28" spans="1:14" x14ac:dyDescent="0.4">
      <c r="A28" s="5"/>
      <c r="B28" s="5"/>
      <c r="C28" s="6"/>
      <c r="D28" s="13"/>
      <c r="E28" s="13"/>
      <c r="F28" s="13"/>
      <c r="G28" s="13"/>
      <c r="H28" s="7"/>
      <c r="I28" s="7"/>
      <c r="J28" s="7"/>
      <c r="K28" s="7"/>
      <c r="L28" s="4"/>
      <c r="N28" s="35"/>
    </row>
    <row r="29" spans="1:14" x14ac:dyDescent="0.4">
      <c r="A29" s="25">
        <v>8000</v>
      </c>
      <c r="B29" s="5" t="s">
        <v>559</v>
      </c>
      <c r="C29" s="6">
        <v>135</v>
      </c>
      <c r="D29" s="13">
        <v>512900.50962962961</v>
      </c>
      <c r="E29" s="13">
        <v>338632.45555555559</v>
      </c>
      <c r="F29" s="13">
        <v>281622.07259259257</v>
      </c>
      <c r="G29" s="13">
        <v>57010.382962962998</v>
      </c>
      <c r="H29" s="7">
        <v>32.40585185185185</v>
      </c>
      <c r="I29" s="7">
        <v>32.419703703703725</v>
      </c>
      <c r="J29" s="7">
        <v>602.09325925925907</v>
      </c>
      <c r="K29" s="7">
        <v>603.44866666666678</v>
      </c>
      <c r="L29" s="4"/>
      <c r="N29" s="35"/>
    </row>
    <row r="30" spans="1:14" x14ac:dyDescent="0.4">
      <c r="A30" s="25"/>
      <c r="B30" s="5" t="s">
        <v>570</v>
      </c>
      <c r="C30" s="6">
        <v>135</v>
      </c>
      <c r="D30" s="13">
        <v>512900.50962962961</v>
      </c>
      <c r="E30" s="13">
        <v>367074.57333333342</v>
      </c>
      <c r="F30" s="13">
        <v>257544.49925925914</v>
      </c>
      <c r="G30" s="13">
        <v>109530.07407407404</v>
      </c>
      <c r="H30" s="7">
        <v>23.085111111111107</v>
      </c>
      <c r="I30" s="7">
        <v>23.680074074074074</v>
      </c>
      <c r="J30" s="7">
        <v>600.02088888888829</v>
      </c>
      <c r="K30" s="7">
        <v>601.15207407407388</v>
      </c>
      <c r="L30" s="4"/>
      <c r="M30" s="2">
        <f>$I$29-I30</f>
        <v>8.7396296296296505</v>
      </c>
      <c r="N30" s="35"/>
    </row>
    <row r="31" spans="1:14" x14ac:dyDescent="0.4">
      <c r="A31" s="25"/>
      <c r="B31" s="5" t="s">
        <v>571</v>
      </c>
      <c r="C31" s="6">
        <v>135</v>
      </c>
      <c r="D31" s="13">
        <v>512900.50962962961</v>
      </c>
      <c r="E31" s="13">
        <v>458443.70444444427</v>
      </c>
      <c r="F31" s="13">
        <v>383792.21703703701</v>
      </c>
      <c r="G31" s="13">
        <v>74651.487407407389</v>
      </c>
      <c r="H31" s="7">
        <v>7.806814814814814</v>
      </c>
      <c r="I31" s="7">
        <v>8.0177777777777806</v>
      </c>
      <c r="J31" s="7">
        <v>5.0917777777777751</v>
      </c>
      <c r="K31" s="7">
        <v>5.5623703703703695</v>
      </c>
      <c r="L31" s="4"/>
      <c r="M31" s="2">
        <f>$I$29-I31</f>
        <v>24.401925925925944</v>
      </c>
      <c r="N31" s="35"/>
    </row>
    <row r="32" spans="1:14" x14ac:dyDescent="0.4">
      <c r="A32" s="5"/>
      <c r="B32" s="5"/>
      <c r="C32" s="6"/>
      <c r="D32" s="13"/>
      <c r="E32" s="13"/>
      <c r="F32" s="13"/>
      <c r="G32" s="13"/>
      <c r="H32" s="7"/>
      <c r="I32" s="7"/>
      <c r="J32" s="7"/>
      <c r="K32" s="7"/>
      <c r="L32" s="4"/>
      <c r="N32" s="35"/>
    </row>
    <row r="33" spans="1:14" x14ac:dyDescent="0.4">
      <c r="A33" s="25" t="s">
        <v>557</v>
      </c>
      <c r="B33" s="5" t="s">
        <v>559</v>
      </c>
      <c r="C33" s="16">
        <v>540</v>
      </c>
      <c r="D33" s="13">
        <v>304177.61611111107</v>
      </c>
      <c r="E33" s="13">
        <v>208307.76074074066</v>
      </c>
      <c r="F33" s="13">
        <v>182523.11425925925</v>
      </c>
      <c r="G33" s="13">
        <v>25784.646481481479</v>
      </c>
      <c r="H33" s="7">
        <v>29.38224074074073</v>
      </c>
      <c r="I33" s="7">
        <v>29.391129629629631</v>
      </c>
      <c r="J33" s="7">
        <v>601.07922222222305</v>
      </c>
      <c r="K33" s="7">
        <v>601.57761111111165</v>
      </c>
      <c r="N33" s="35"/>
    </row>
    <row r="34" spans="1:14" x14ac:dyDescent="0.4">
      <c r="A34" s="25"/>
      <c r="B34" s="5" t="s">
        <v>570</v>
      </c>
      <c r="C34" s="16">
        <v>540</v>
      </c>
      <c r="D34" s="13">
        <v>304177.61611111107</v>
      </c>
      <c r="E34" s="13">
        <v>219802.62092592582</v>
      </c>
      <c r="F34" s="13">
        <v>176681.64537037048</v>
      </c>
      <c r="G34" s="13">
        <v>43120.975555555553</v>
      </c>
      <c r="H34" s="7">
        <v>24.95272222222221</v>
      </c>
      <c r="I34" s="7">
        <v>25.178740740740686</v>
      </c>
      <c r="J34" s="7">
        <v>600.01231481481705</v>
      </c>
      <c r="K34" s="7">
        <v>600.4375370370368</v>
      </c>
      <c r="M34" s="2">
        <f>$I$33-I34</f>
        <v>4.2123888888889454</v>
      </c>
      <c r="N34" s="35"/>
    </row>
    <row r="35" spans="1:14" x14ac:dyDescent="0.4">
      <c r="A35" s="26"/>
      <c r="B35" s="8" t="s">
        <v>571</v>
      </c>
      <c r="C35" s="17">
        <v>540</v>
      </c>
      <c r="D35" s="15">
        <v>304177.61611111107</v>
      </c>
      <c r="E35" s="15">
        <v>266451.05759259261</v>
      </c>
      <c r="F35" s="15">
        <v>235130.43277777772</v>
      </c>
      <c r="G35" s="15">
        <v>31320.624814814804</v>
      </c>
      <c r="H35" s="9">
        <v>11.155722222222227</v>
      </c>
      <c r="I35" s="9">
        <v>11.30237037037036</v>
      </c>
      <c r="J35" s="9">
        <v>1.796074074074073</v>
      </c>
      <c r="K35" s="9">
        <v>1.9839444444444452</v>
      </c>
      <c r="M35" s="2">
        <f>$I$33-I35</f>
        <v>18.08875925925927</v>
      </c>
      <c r="N35" s="35"/>
    </row>
    <row r="36" spans="1:14" x14ac:dyDescent="0.4">
      <c r="N36" s="35"/>
    </row>
  </sheetData>
  <mergeCells count="7">
    <mergeCell ref="A29:A31"/>
    <mergeCell ref="A33:A35"/>
    <mergeCell ref="A3:A6"/>
    <mergeCell ref="A8:A11"/>
    <mergeCell ref="A17:A19"/>
    <mergeCell ref="A21:A23"/>
    <mergeCell ref="A25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1"/>
  <sheetViews>
    <sheetView zoomScale="115" zoomScaleNormal="115" workbookViewId="0">
      <selection sqref="A1:XFD1"/>
    </sheetView>
  </sheetViews>
  <sheetFormatPr defaultRowHeight="14.6" x14ac:dyDescent="0.4"/>
  <cols>
    <col min="1" max="1" width="28.3046875" bestFit="1" customWidth="1"/>
    <col min="2" max="2" width="5.4609375" bestFit="1" customWidth="1"/>
    <col min="3" max="3" width="13.61328125" bestFit="1" customWidth="1"/>
    <col min="4" max="4" width="13.4609375" bestFit="1" customWidth="1"/>
    <col min="5" max="5" width="7.4609375" bestFit="1" customWidth="1"/>
    <col min="6" max="6" width="9.53515625" bestFit="1" customWidth="1"/>
    <col min="7" max="7" width="5.4609375" bestFit="1" customWidth="1"/>
    <col min="8" max="8" width="9.07421875" bestFit="1" customWidth="1"/>
    <col min="9" max="9" width="8.84375" bestFit="1" customWidth="1"/>
    <col min="10" max="10" width="11.53515625" bestFit="1" customWidth="1"/>
    <col min="11" max="11" width="12.61328125" bestFit="1" customWidth="1"/>
    <col min="12" max="12" width="12.69140625" bestFit="1" customWidth="1"/>
    <col min="13" max="13" width="9.23046875" bestFit="1" customWidth="1"/>
    <col min="14" max="14" width="10.53515625" bestFit="1" customWidth="1"/>
    <col min="15" max="15" width="11.61328125" bestFit="1" customWidth="1"/>
    <col min="16" max="16" width="8.84375" bestFit="1" customWidth="1"/>
    <col min="17" max="17" width="11.3828125" bestFit="1" customWidth="1"/>
    <col min="18" max="18" width="12.4609375" bestFit="1" customWidth="1"/>
    <col min="19" max="19" width="9.07421875" bestFit="1" customWidth="1"/>
    <col min="20" max="20" width="11.3828125" bestFit="1" customWidth="1"/>
    <col min="21" max="21" width="9.23046875" bestFit="1" customWidth="1"/>
    <col min="22" max="22" width="12.4609375" bestFit="1" customWidth="1"/>
    <col min="23" max="23" width="9.07421875" bestFit="1" customWidth="1"/>
    <col min="24" max="24" width="8.23046875" bestFit="1" customWidth="1"/>
    <col min="25" max="25" width="8.921875" bestFit="1" customWidth="1"/>
    <col min="26" max="26" width="8.84375" bestFit="1" customWidth="1"/>
    <col min="27" max="27" width="10.3828125" bestFit="1" customWidth="1"/>
  </cols>
  <sheetData>
    <row r="1" spans="1:27" s="30" customFormat="1" ht="15.9" customHeight="1" x14ac:dyDescent="0.4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584</v>
      </c>
      <c r="G1" s="28" t="s">
        <v>5</v>
      </c>
      <c r="H1" s="28" t="s">
        <v>6</v>
      </c>
      <c r="I1" s="29" t="s">
        <v>585</v>
      </c>
      <c r="J1" s="29" t="s">
        <v>150</v>
      </c>
      <c r="K1" s="29" t="s">
        <v>7</v>
      </c>
      <c r="L1" s="28" t="s">
        <v>582</v>
      </c>
      <c r="M1" s="28" t="s">
        <v>8</v>
      </c>
      <c r="N1" s="28" t="s">
        <v>151</v>
      </c>
      <c r="O1" s="28" t="s">
        <v>9</v>
      </c>
      <c r="P1" s="28" t="s">
        <v>586</v>
      </c>
      <c r="Q1" s="28" t="s">
        <v>587</v>
      </c>
      <c r="R1" s="28" t="s">
        <v>588</v>
      </c>
      <c r="S1" s="28" t="s">
        <v>589</v>
      </c>
      <c r="T1" s="28" t="s">
        <v>572</v>
      </c>
      <c r="U1" s="29" t="s">
        <v>10</v>
      </c>
      <c r="V1" s="29" t="s">
        <v>590</v>
      </c>
      <c r="W1" s="29" t="s">
        <v>591</v>
      </c>
      <c r="X1" s="28" t="s">
        <v>11</v>
      </c>
      <c r="Y1" s="28" t="s">
        <v>581</v>
      </c>
      <c r="Z1" s="28" t="s">
        <v>12</v>
      </c>
      <c r="AA1" s="28" t="s">
        <v>573</v>
      </c>
    </row>
    <row r="2" spans="1:27" x14ac:dyDescent="0.4">
      <c r="A2" s="1" t="s">
        <v>13</v>
      </c>
      <c r="B2" s="1">
        <v>2000</v>
      </c>
      <c r="C2" s="1">
        <v>0.2</v>
      </c>
      <c r="D2" s="1">
        <v>0.5</v>
      </c>
      <c r="E2" s="1">
        <v>1000</v>
      </c>
      <c r="F2" s="1">
        <v>1</v>
      </c>
      <c r="G2" s="1">
        <v>1</v>
      </c>
      <c r="H2" s="1" t="s">
        <v>592</v>
      </c>
      <c r="I2" s="1">
        <v>143148.20000000001</v>
      </c>
      <c r="J2" s="1">
        <v>59273.2</v>
      </c>
      <c r="K2" s="1">
        <v>83875</v>
      </c>
      <c r="L2" s="1">
        <v>600</v>
      </c>
      <c r="M2" s="1">
        <v>600.44000000000005</v>
      </c>
      <c r="N2" s="1">
        <v>37444</v>
      </c>
      <c r="O2" s="1">
        <v>53188.7</v>
      </c>
      <c r="P2" s="1">
        <v>90632.7</v>
      </c>
      <c r="Q2" s="1">
        <v>10873.9</v>
      </c>
      <c r="R2" s="1">
        <v>2909.6</v>
      </c>
      <c r="S2" s="1">
        <v>13783.5</v>
      </c>
      <c r="T2" s="1">
        <v>27.06</v>
      </c>
      <c r="U2" s="1">
        <v>0.05</v>
      </c>
      <c r="V2" s="1">
        <v>2906.9</v>
      </c>
      <c r="W2" s="1">
        <v>13780.8</v>
      </c>
      <c r="X2" s="1">
        <v>600.49</v>
      </c>
      <c r="Y2" s="1">
        <v>600</v>
      </c>
      <c r="Z2" s="1">
        <v>104413.5</v>
      </c>
      <c r="AA2" s="1">
        <v>27.06</v>
      </c>
    </row>
    <row r="3" spans="1:27" x14ac:dyDescent="0.4">
      <c r="A3" s="1" t="s">
        <v>13</v>
      </c>
      <c r="B3" s="1">
        <v>2000</v>
      </c>
      <c r="C3" s="1">
        <v>0.2</v>
      </c>
      <c r="D3" s="1">
        <v>0.5</v>
      </c>
      <c r="E3" s="1">
        <v>1000</v>
      </c>
      <c r="F3" s="1">
        <v>1</v>
      </c>
      <c r="G3" s="1">
        <v>1</v>
      </c>
      <c r="H3" s="1" t="s">
        <v>14</v>
      </c>
      <c r="I3" s="1">
        <v>143148.20000000001</v>
      </c>
      <c r="J3" s="1">
        <v>59273.2</v>
      </c>
      <c r="K3" s="1">
        <v>83875</v>
      </c>
      <c r="L3" s="1">
        <v>600</v>
      </c>
      <c r="M3" s="1">
        <v>600</v>
      </c>
      <c r="N3" s="1">
        <v>37950.800000000003</v>
      </c>
      <c r="O3" s="1">
        <v>53127.5</v>
      </c>
      <c r="P3" s="1">
        <v>91078.3</v>
      </c>
      <c r="Q3" s="1">
        <v>11243.6</v>
      </c>
      <c r="R3" s="1">
        <v>3564</v>
      </c>
      <c r="S3" s="1">
        <v>14807.6</v>
      </c>
      <c r="T3" s="1">
        <v>26.03</v>
      </c>
      <c r="U3" s="1">
        <v>0.05</v>
      </c>
      <c r="V3" s="1">
        <v>3469.4</v>
      </c>
      <c r="W3" s="1">
        <v>14713</v>
      </c>
      <c r="X3" s="1">
        <v>600.04999999999995</v>
      </c>
      <c r="Y3" s="1">
        <v>600</v>
      </c>
      <c r="Z3" s="1">
        <v>105791.3</v>
      </c>
      <c r="AA3" s="1">
        <v>26.1</v>
      </c>
    </row>
    <row r="4" spans="1:27" x14ac:dyDescent="0.4">
      <c r="A4" s="1" t="s">
        <v>13</v>
      </c>
      <c r="B4" s="1">
        <v>2000</v>
      </c>
      <c r="C4" s="1">
        <v>0.2</v>
      </c>
      <c r="D4" s="1">
        <v>0.5</v>
      </c>
      <c r="E4" s="1">
        <v>1000</v>
      </c>
      <c r="F4" s="1">
        <v>1</v>
      </c>
      <c r="G4" s="1">
        <v>1</v>
      </c>
      <c r="H4" s="1" t="s">
        <v>580</v>
      </c>
      <c r="I4" s="1">
        <v>143148.20000000001</v>
      </c>
      <c r="J4" s="1">
        <v>59273.2</v>
      </c>
      <c r="K4" s="1">
        <v>83875</v>
      </c>
      <c r="L4" s="1">
        <v>600</v>
      </c>
      <c r="M4" s="1">
        <v>600.45000000000005</v>
      </c>
      <c r="N4" s="1">
        <v>38413.5</v>
      </c>
      <c r="O4" s="1">
        <v>53512.9</v>
      </c>
      <c r="P4" s="1">
        <v>91926.399999999994</v>
      </c>
      <c r="Q4" s="1">
        <v>9845.5</v>
      </c>
      <c r="R4" s="1">
        <v>4186.5</v>
      </c>
      <c r="S4" s="1">
        <v>14032</v>
      </c>
      <c r="T4" s="1">
        <v>25.98</v>
      </c>
      <c r="U4" s="1">
        <v>0.14000000000000001</v>
      </c>
      <c r="V4" s="1">
        <v>4079.7</v>
      </c>
      <c r="W4" s="1">
        <v>13925.2</v>
      </c>
      <c r="X4" s="1">
        <v>600.59</v>
      </c>
      <c r="Y4" s="1">
        <v>600</v>
      </c>
      <c r="Z4" s="1">
        <v>105851.6</v>
      </c>
      <c r="AA4" s="1">
        <v>26.05</v>
      </c>
    </row>
    <row r="5" spans="1:27" x14ac:dyDescent="0.4">
      <c r="A5" s="1" t="s">
        <v>13</v>
      </c>
      <c r="B5" s="1">
        <v>2000</v>
      </c>
      <c r="C5" s="1">
        <v>0.2</v>
      </c>
      <c r="D5" s="1">
        <v>0.5</v>
      </c>
      <c r="E5" s="1">
        <v>1000</v>
      </c>
      <c r="F5" s="1">
        <v>1</v>
      </c>
      <c r="G5" s="1">
        <v>1</v>
      </c>
      <c r="H5" s="1" t="s">
        <v>15</v>
      </c>
      <c r="I5" s="1">
        <v>143148.20000000001</v>
      </c>
      <c r="J5" s="1">
        <v>59273.2</v>
      </c>
      <c r="K5" s="1">
        <v>83875</v>
      </c>
      <c r="L5" s="1">
        <v>600</v>
      </c>
      <c r="M5" s="1">
        <v>600.74</v>
      </c>
      <c r="N5" s="1">
        <v>38054</v>
      </c>
      <c r="O5" s="1">
        <v>52748.9</v>
      </c>
      <c r="P5" s="1">
        <v>90802.9</v>
      </c>
      <c r="Q5" s="1">
        <v>10925.7</v>
      </c>
      <c r="R5" s="1">
        <v>2887.4</v>
      </c>
      <c r="S5" s="1">
        <v>13813.1</v>
      </c>
      <c r="T5" s="1">
        <v>26.92</v>
      </c>
      <c r="U5" s="1">
        <v>0.03</v>
      </c>
      <c r="V5" s="1">
        <v>2857.8</v>
      </c>
      <c r="W5" s="1">
        <v>13783.5</v>
      </c>
      <c r="X5" s="1">
        <v>600.77</v>
      </c>
      <c r="Y5" s="1">
        <v>600</v>
      </c>
      <c r="Z5" s="1">
        <v>104586.4</v>
      </c>
      <c r="AA5" s="1">
        <v>26.94</v>
      </c>
    </row>
    <row r="6" spans="1:27" x14ac:dyDescent="0.4">
      <c r="A6" s="1" t="s">
        <v>16</v>
      </c>
      <c r="B6" s="1">
        <v>2000</v>
      </c>
      <c r="C6" s="1">
        <v>0.2</v>
      </c>
      <c r="D6" s="1">
        <v>0.5</v>
      </c>
      <c r="E6" s="1">
        <v>1000</v>
      </c>
      <c r="F6" s="1">
        <v>1</v>
      </c>
      <c r="G6" s="1">
        <v>2</v>
      </c>
      <c r="H6" s="1" t="s">
        <v>592</v>
      </c>
      <c r="I6" s="1">
        <v>146066.9</v>
      </c>
      <c r="J6" s="1">
        <v>58967.199999999997</v>
      </c>
      <c r="K6" s="1">
        <v>87099.7</v>
      </c>
      <c r="L6" s="1">
        <v>600</v>
      </c>
      <c r="M6" s="1">
        <v>600.34</v>
      </c>
      <c r="N6" s="1">
        <v>38533.599999999999</v>
      </c>
      <c r="O6" s="1">
        <v>55017.3</v>
      </c>
      <c r="P6" s="1">
        <v>93550.9</v>
      </c>
      <c r="Q6" s="1">
        <v>10956.2</v>
      </c>
      <c r="R6" s="1">
        <v>3102.8</v>
      </c>
      <c r="S6" s="1">
        <v>14059</v>
      </c>
      <c r="T6" s="1">
        <v>26.33</v>
      </c>
      <c r="U6" s="1">
        <v>0.03</v>
      </c>
      <c r="V6" s="1">
        <v>3090</v>
      </c>
      <c r="W6" s="1">
        <v>14046.2</v>
      </c>
      <c r="X6" s="1">
        <v>600.38</v>
      </c>
      <c r="Y6" s="1">
        <v>600</v>
      </c>
      <c r="Z6" s="1">
        <v>107597.1</v>
      </c>
      <c r="AA6" s="1">
        <v>26.34</v>
      </c>
    </row>
    <row r="7" spans="1:27" x14ac:dyDescent="0.4">
      <c r="A7" s="1" t="s">
        <v>16</v>
      </c>
      <c r="B7" s="1">
        <v>2000</v>
      </c>
      <c r="C7" s="1">
        <v>0.2</v>
      </c>
      <c r="D7" s="1">
        <v>0.5</v>
      </c>
      <c r="E7" s="1">
        <v>1000</v>
      </c>
      <c r="F7" s="1">
        <v>1</v>
      </c>
      <c r="G7" s="1">
        <v>2</v>
      </c>
      <c r="H7" s="1" t="s">
        <v>14</v>
      </c>
      <c r="I7" s="1">
        <v>146066.9</v>
      </c>
      <c r="J7" s="1">
        <v>58967.199999999997</v>
      </c>
      <c r="K7" s="1">
        <v>87099.7</v>
      </c>
      <c r="L7" s="1">
        <v>600</v>
      </c>
      <c r="M7" s="1">
        <v>600.01</v>
      </c>
      <c r="N7" s="1">
        <v>38315.199999999997</v>
      </c>
      <c r="O7" s="1">
        <v>55323.3</v>
      </c>
      <c r="P7" s="1">
        <v>93638.5</v>
      </c>
      <c r="Q7" s="1">
        <v>11499.4</v>
      </c>
      <c r="R7" s="1">
        <v>3638.5</v>
      </c>
      <c r="S7" s="1">
        <v>15137.9</v>
      </c>
      <c r="T7" s="1">
        <v>25.53</v>
      </c>
      <c r="U7" s="1">
        <v>7.0000000000000007E-2</v>
      </c>
      <c r="V7" s="1">
        <v>3605.4</v>
      </c>
      <c r="W7" s="1">
        <v>15104.8</v>
      </c>
      <c r="X7" s="1">
        <v>600.08000000000004</v>
      </c>
      <c r="Y7" s="1">
        <v>600</v>
      </c>
      <c r="Z7" s="1">
        <v>108743.3</v>
      </c>
      <c r="AA7" s="1">
        <v>25.55</v>
      </c>
    </row>
    <row r="8" spans="1:27" x14ac:dyDescent="0.4">
      <c r="A8" s="1" t="s">
        <v>16</v>
      </c>
      <c r="B8" s="1">
        <v>2000</v>
      </c>
      <c r="C8" s="1">
        <v>0.2</v>
      </c>
      <c r="D8" s="1">
        <v>0.5</v>
      </c>
      <c r="E8" s="1">
        <v>1000</v>
      </c>
      <c r="F8" s="1">
        <v>1</v>
      </c>
      <c r="G8" s="1">
        <v>2</v>
      </c>
      <c r="H8" s="1" t="s">
        <v>580</v>
      </c>
      <c r="I8" s="1">
        <v>146066.9</v>
      </c>
      <c r="J8" s="1">
        <v>58967.199999999997</v>
      </c>
      <c r="K8" s="1">
        <v>87099.7</v>
      </c>
      <c r="L8" s="1">
        <v>600</v>
      </c>
      <c r="M8" s="1">
        <v>600.09</v>
      </c>
      <c r="N8" s="1">
        <v>38675.1</v>
      </c>
      <c r="O8" s="1">
        <v>55726.8</v>
      </c>
      <c r="P8" s="1">
        <v>94401.9</v>
      </c>
      <c r="Q8" s="1">
        <v>10382.200000000001</v>
      </c>
      <c r="R8" s="1">
        <v>4128.7</v>
      </c>
      <c r="S8" s="1">
        <v>14510.9</v>
      </c>
      <c r="T8" s="1">
        <v>25.44</v>
      </c>
      <c r="U8" s="1">
        <v>0.18</v>
      </c>
      <c r="V8" s="1">
        <v>4015.8</v>
      </c>
      <c r="W8" s="1">
        <v>14398</v>
      </c>
      <c r="X8" s="1">
        <v>600.28</v>
      </c>
      <c r="Y8" s="1">
        <v>600</v>
      </c>
      <c r="Z8" s="1">
        <v>108799.9</v>
      </c>
      <c r="AA8" s="1">
        <v>25.51</v>
      </c>
    </row>
    <row r="9" spans="1:27" x14ac:dyDescent="0.4">
      <c r="A9" s="1" t="s">
        <v>16</v>
      </c>
      <c r="B9" s="1">
        <v>2000</v>
      </c>
      <c r="C9" s="1">
        <v>0.2</v>
      </c>
      <c r="D9" s="1">
        <v>0.5</v>
      </c>
      <c r="E9" s="1">
        <v>1000</v>
      </c>
      <c r="F9" s="1">
        <v>1</v>
      </c>
      <c r="G9" s="1">
        <v>2</v>
      </c>
      <c r="H9" s="1" t="s">
        <v>15</v>
      </c>
      <c r="I9" s="1">
        <v>146066.9</v>
      </c>
      <c r="J9" s="1">
        <v>58967.199999999997</v>
      </c>
      <c r="K9" s="1">
        <v>87099.7</v>
      </c>
      <c r="L9" s="1">
        <v>600</v>
      </c>
      <c r="M9" s="1">
        <v>600</v>
      </c>
      <c r="N9" s="1">
        <v>39086.199999999997</v>
      </c>
      <c r="O9" s="1">
        <v>55916.5</v>
      </c>
      <c r="P9" s="1">
        <v>95002.7</v>
      </c>
      <c r="Q9" s="1">
        <v>11022.1</v>
      </c>
      <c r="R9" s="1">
        <v>2923.9</v>
      </c>
      <c r="S9" s="1">
        <v>13946</v>
      </c>
      <c r="T9" s="1">
        <v>25.41</v>
      </c>
      <c r="U9" s="1">
        <v>0.03</v>
      </c>
      <c r="V9" s="1">
        <v>2886.9</v>
      </c>
      <c r="W9" s="1">
        <v>13909</v>
      </c>
      <c r="X9" s="1">
        <v>600.03</v>
      </c>
      <c r="Y9" s="1">
        <v>600</v>
      </c>
      <c r="Z9" s="1">
        <v>108911.7</v>
      </c>
      <c r="AA9" s="1">
        <v>25.44</v>
      </c>
    </row>
    <row r="10" spans="1:27" x14ac:dyDescent="0.4">
      <c r="A10" s="1" t="s">
        <v>17</v>
      </c>
      <c r="B10" s="1">
        <v>2000</v>
      </c>
      <c r="C10" s="1">
        <v>0.2</v>
      </c>
      <c r="D10" s="1">
        <v>0.5</v>
      </c>
      <c r="E10" s="1">
        <v>1000</v>
      </c>
      <c r="F10" s="1">
        <v>1</v>
      </c>
      <c r="G10" s="1">
        <v>3</v>
      </c>
      <c r="H10" s="1" t="s">
        <v>592</v>
      </c>
      <c r="I10" s="1">
        <v>149207.6</v>
      </c>
      <c r="J10" s="1">
        <v>59172.800000000003</v>
      </c>
      <c r="K10" s="1">
        <v>90034.8</v>
      </c>
      <c r="L10" s="1">
        <v>600</v>
      </c>
      <c r="M10" s="1">
        <v>600.74</v>
      </c>
      <c r="N10" s="1">
        <v>38058.9</v>
      </c>
      <c r="O10" s="1">
        <v>56240.800000000003</v>
      </c>
      <c r="P10" s="1">
        <v>94299.7</v>
      </c>
      <c r="Q10" s="1">
        <v>10854.3</v>
      </c>
      <c r="R10" s="1">
        <v>2664.2</v>
      </c>
      <c r="S10" s="1">
        <v>13518.5</v>
      </c>
      <c r="T10" s="1">
        <v>27.74</v>
      </c>
      <c r="U10" s="1">
        <v>0.03</v>
      </c>
      <c r="V10" s="1">
        <v>2664.2</v>
      </c>
      <c r="W10" s="1">
        <v>13518.5</v>
      </c>
      <c r="X10" s="1">
        <v>600.77</v>
      </c>
      <c r="Y10" s="1">
        <v>600</v>
      </c>
      <c r="Z10" s="1">
        <v>107818.2</v>
      </c>
      <c r="AA10" s="1">
        <v>27.74</v>
      </c>
    </row>
    <row r="11" spans="1:27" x14ac:dyDescent="0.4">
      <c r="A11" s="1" t="s">
        <v>17</v>
      </c>
      <c r="B11" s="1">
        <v>2000</v>
      </c>
      <c r="C11" s="1">
        <v>0.2</v>
      </c>
      <c r="D11" s="1">
        <v>0.5</v>
      </c>
      <c r="E11" s="1">
        <v>1000</v>
      </c>
      <c r="F11" s="1">
        <v>1</v>
      </c>
      <c r="G11" s="1">
        <v>3</v>
      </c>
      <c r="H11" s="1" t="s">
        <v>14</v>
      </c>
      <c r="I11" s="1">
        <v>149207.6</v>
      </c>
      <c r="J11" s="1">
        <v>59172.800000000003</v>
      </c>
      <c r="K11" s="1">
        <v>90034.8</v>
      </c>
      <c r="L11" s="1">
        <v>600</v>
      </c>
      <c r="M11" s="1">
        <v>600</v>
      </c>
      <c r="N11" s="1">
        <v>38196.300000000003</v>
      </c>
      <c r="O11" s="1">
        <v>55813.5</v>
      </c>
      <c r="P11" s="1">
        <v>94009.8</v>
      </c>
      <c r="Q11" s="1">
        <v>11278.8</v>
      </c>
      <c r="R11" s="1">
        <v>3274.2</v>
      </c>
      <c r="S11" s="1">
        <v>14553</v>
      </c>
      <c r="T11" s="1">
        <v>27.24</v>
      </c>
      <c r="U11" s="1">
        <v>0.06</v>
      </c>
      <c r="V11" s="1">
        <v>3252.6</v>
      </c>
      <c r="W11" s="1">
        <v>14531.4</v>
      </c>
      <c r="X11" s="1">
        <v>600.05999999999995</v>
      </c>
      <c r="Y11" s="1">
        <v>600</v>
      </c>
      <c r="Z11" s="1">
        <v>108541.2</v>
      </c>
      <c r="AA11" s="1">
        <v>27.25</v>
      </c>
    </row>
    <row r="12" spans="1:27" x14ac:dyDescent="0.4">
      <c r="A12" s="1" t="s">
        <v>17</v>
      </c>
      <c r="B12" s="1">
        <v>2000</v>
      </c>
      <c r="C12" s="1">
        <v>0.2</v>
      </c>
      <c r="D12" s="1">
        <v>0.5</v>
      </c>
      <c r="E12" s="1">
        <v>1000</v>
      </c>
      <c r="F12" s="1">
        <v>1</v>
      </c>
      <c r="G12" s="1">
        <v>3</v>
      </c>
      <c r="H12" s="1" t="s">
        <v>580</v>
      </c>
      <c r="I12" s="1">
        <v>149207.6</v>
      </c>
      <c r="J12" s="1">
        <v>59172.800000000003</v>
      </c>
      <c r="K12" s="1">
        <v>90034.8</v>
      </c>
      <c r="L12" s="1">
        <v>600</v>
      </c>
      <c r="M12" s="1">
        <v>600.16</v>
      </c>
      <c r="N12" s="1">
        <v>38998</v>
      </c>
      <c r="O12" s="1">
        <v>56398.8</v>
      </c>
      <c r="P12" s="1">
        <v>95396.800000000003</v>
      </c>
      <c r="Q12" s="1">
        <v>9914.7000000000007</v>
      </c>
      <c r="R12" s="1">
        <v>3860.4</v>
      </c>
      <c r="S12" s="1">
        <v>13775.1</v>
      </c>
      <c r="T12" s="1">
        <v>26.83</v>
      </c>
      <c r="U12" s="1">
        <v>0.14000000000000001</v>
      </c>
      <c r="V12" s="1">
        <v>3731.4</v>
      </c>
      <c r="W12" s="1">
        <v>13646.1</v>
      </c>
      <c r="X12" s="1">
        <v>600.29999999999995</v>
      </c>
      <c r="Y12" s="1">
        <v>599</v>
      </c>
      <c r="Z12" s="1">
        <v>109042.9</v>
      </c>
      <c r="AA12" s="1">
        <v>26.92</v>
      </c>
    </row>
    <row r="13" spans="1:27" x14ac:dyDescent="0.4">
      <c r="A13" s="1" t="s">
        <v>17</v>
      </c>
      <c r="B13" s="1">
        <v>2000</v>
      </c>
      <c r="C13" s="1">
        <v>0.2</v>
      </c>
      <c r="D13" s="1">
        <v>0.5</v>
      </c>
      <c r="E13" s="1">
        <v>1000</v>
      </c>
      <c r="F13" s="1">
        <v>1</v>
      </c>
      <c r="G13" s="1">
        <v>3</v>
      </c>
      <c r="H13" s="1" t="s">
        <v>15</v>
      </c>
      <c r="I13" s="1">
        <v>149207.6</v>
      </c>
      <c r="J13" s="1">
        <v>59172.800000000003</v>
      </c>
      <c r="K13" s="1">
        <v>90034.8</v>
      </c>
      <c r="L13" s="1">
        <v>600</v>
      </c>
      <c r="M13" s="1">
        <v>600</v>
      </c>
      <c r="N13" s="1">
        <v>38414</v>
      </c>
      <c r="O13" s="1">
        <v>55602.7</v>
      </c>
      <c r="P13" s="1">
        <v>94016.7</v>
      </c>
      <c r="Q13" s="1">
        <v>11056.8</v>
      </c>
      <c r="R13" s="1">
        <v>2980.6</v>
      </c>
      <c r="S13" s="1">
        <v>14037.4</v>
      </c>
      <c r="T13" s="1">
        <v>27.58</v>
      </c>
      <c r="U13" s="1">
        <v>0.05</v>
      </c>
      <c r="V13" s="1">
        <v>2957.3</v>
      </c>
      <c r="W13" s="1">
        <v>14014.1</v>
      </c>
      <c r="X13" s="1">
        <v>600.04999999999995</v>
      </c>
      <c r="Y13" s="1">
        <v>600</v>
      </c>
      <c r="Z13" s="1">
        <v>108030.8</v>
      </c>
      <c r="AA13" s="1">
        <v>27.6</v>
      </c>
    </row>
    <row r="14" spans="1:27" x14ac:dyDescent="0.4">
      <c r="A14" s="1" t="s">
        <v>18</v>
      </c>
      <c r="B14" s="1">
        <v>2000</v>
      </c>
      <c r="C14" s="1">
        <v>0.2</v>
      </c>
      <c r="D14" s="1">
        <v>0.5</v>
      </c>
      <c r="E14" s="1">
        <v>1000</v>
      </c>
      <c r="F14" s="1">
        <v>1</v>
      </c>
      <c r="G14" s="1">
        <v>4</v>
      </c>
      <c r="H14" s="1" t="s">
        <v>592</v>
      </c>
      <c r="I14" s="1">
        <v>153789.20000000001</v>
      </c>
      <c r="J14" s="1">
        <v>63196.800000000003</v>
      </c>
      <c r="K14" s="1">
        <v>90592.4</v>
      </c>
      <c r="L14" s="1">
        <v>600</v>
      </c>
      <c r="M14" s="1">
        <v>600.29999999999995</v>
      </c>
      <c r="N14" s="1">
        <v>40383.800000000003</v>
      </c>
      <c r="O14" s="1">
        <v>54948.9</v>
      </c>
      <c r="P14" s="1">
        <v>95332.7</v>
      </c>
      <c r="Q14" s="1">
        <v>11314.2</v>
      </c>
      <c r="R14" s="1">
        <v>2862.7</v>
      </c>
      <c r="S14" s="1">
        <v>14176.9</v>
      </c>
      <c r="T14" s="1">
        <v>28.79</v>
      </c>
      <c r="U14" s="1">
        <v>0.03</v>
      </c>
      <c r="V14" s="1">
        <v>2848.9</v>
      </c>
      <c r="W14" s="1">
        <v>14163.1</v>
      </c>
      <c r="X14" s="1">
        <v>600.33000000000004</v>
      </c>
      <c r="Y14" s="1">
        <v>600</v>
      </c>
      <c r="Z14" s="1">
        <v>109495.8</v>
      </c>
      <c r="AA14" s="1">
        <v>28.8</v>
      </c>
    </row>
    <row r="15" spans="1:27" x14ac:dyDescent="0.4">
      <c r="A15" s="1" t="s">
        <v>18</v>
      </c>
      <c r="B15" s="1">
        <v>2000</v>
      </c>
      <c r="C15" s="1">
        <v>0.2</v>
      </c>
      <c r="D15" s="1">
        <v>0.5</v>
      </c>
      <c r="E15" s="1">
        <v>1000</v>
      </c>
      <c r="F15" s="1">
        <v>1</v>
      </c>
      <c r="G15" s="1">
        <v>4</v>
      </c>
      <c r="H15" s="1" t="s">
        <v>14</v>
      </c>
      <c r="I15" s="1">
        <v>153789.20000000001</v>
      </c>
      <c r="J15" s="1">
        <v>63196.800000000003</v>
      </c>
      <c r="K15" s="1">
        <v>90592.4</v>
      </c>
      <c r="L15" s="1">
        <v>600</v>
      </c>
      <c r="M15" s="1">
        <v>600.01</v>
      </c>
      <c r="N15" s="1">
        <v>39845.9</v>
      </c>
      <c r="O15" s="1">
        <v>55488.9</v>
      </c>
      <c r="P15" s="1">
        <v>95334.8</v>
      </c>
      <c r="Q15" s="1">
        <v>11573.1</v>
      </c>
      <c r="R15" s="1">
        <v>3260.2</v>
      </c>
      <c r="S15" s="1">
        <v>14833.3</v>
      </c>
      <c r="T15" s="1">
        <v>28.36</v>
      </c>
      <c r="U15" s="1">
        <v>7.0000000000000007E-2</v>
      </c>
      <c r="V15" s="1">
        <v>3246.9</v>
      </c>
      <c r="W15" s="1">
        <v>14820</v>
      </c>
      <c r="X15" s="1">
        <v>600.07000000000005</v>
      </c>
      <c r="Y15" s="1">
        <v>600</v>
      </c>
      <c r="Z15" s="1">
        <v>110154.8</v>
      </c>
      <c r="AA15" s="1">
        <v>28.37</v>
      </c>
    </row>
    <row r="16" spans="1:27" x14ac:dyDescent="0.4">
      <c r="A16" s="1" t="s">
        <v>18</v>
      </c>
      <c r="B16" s="1">
        <v>2000</v>
      </c>
      <c r="C16" s="1">
        <v>0.2</v>
      </c>
      <c r="D16" s="1">
        <v>0.5</v>
      </c>
      <c r="E16" s="1">
        <v>1000</v>
      </c>
      <c r="F16" s="1">
        <v>1</v>
      </c>
      <c r="G16" s="1">
        <v>4</v>
      </c>
      <c r="H16" s="1" t="s">
        <v>580</v>
      </c>
      <c r="I16" s="1">
        <v>153789.20000000001</v>
      </c>
      <c r="J16" s="1">
        <v>63196.800000000003</v>
      </c>
      <c r="K16" s="1">
        <v>90592.4</v>
      </c>
      <c r="L16" s="1">
        <v>600</v>
      </c>
      <c r="M16" s="1">
        <v>600.41999999999996</v>
      </c>
      <c r="N16" s="1">
        <v>41062.9</v>
      </c>
      <c r="O16" s="1">
        <v>56152.4</v>
      </c>
      <c r="P16" s="1">
        <v>97215.3</v>
      </c>
      <c r="Q16" s="1">
        <v>10319.9</v>
      </c>
      <c r="R16" s="1">
        <v>3943.7</v>
      </c>
      <c r="S16" s="1">
        <v>14263.6</v>
      </c>
      <c r="T16" s="1">
        <v>27.51</v>
      </c>
      <c r="U16" s="1">
        <v>0.19</v>
      </c>
      <c r="V16" s="1">
        <v>3835.4</v>
      </c>
      <c r="W16" s="1">
        <v>14155.3</v>
      </c>
      <c r="X16" s="1">
        <v>600.6</v>
      </c>
      <c r="Y16" s="1">
        <v>600</v>
      </c>
      <c r="Z16" s="1">
        <v>111370.6</v>
      </c>
      <c r="AA16" s="1">
        <v>27.58</v>
      </c>
    </row>
    <row r="17" spans="1:27" x14ac:dyDescent="0.4">
      <c r="A17" s="1" t="s">
        <v>18</v>
      </c>
      <c r="B17" s="1">
        <v>2000</v>
      </c>
      <c r="C17" s="1">
        <v>0.2</v>
      </c>
      <c r="D17" s="1">
        <v>0.5</v>
      </c>
      <c r="E17" s="1">
        <v>1000</v>
      </c>
      <c r="F17" s="1">
        <v>1</v>
      </c>
      <c r="G17" s="1">
        <v>4</v>
      </c>
      <c r="H17" s="1" t="s">
        <v>15</v>
      </c>
      <c r="I17" s="1">
        <v>153789.20000000001</v>
      </c>
      <c r="J17" s="1">
        <v>63196.800000000003</v>
      </c>
      <c r="K17" s="1">
        <v>90592.4</v>
      </c>
      <c r="L17" s="1">
        <v>600</v>
      </c>
      <c r="M17" s="1">
        <v>600.85</v>
      </c>
      <c r="N17" s="1">
        <v>39469.300000000003</v>
      </c>
      <c r="O17" s="1">
        <v>55356.2</v>
      </c>
      <c r="P17" s="1">
        <v>94825.5</v>
      </c>
      <c r="Q17" s="1">
        <v>11855.8</v>
      </c>
      <c r="R17" s="1">
        <v>3001.4</v>
      </c>
      <c r="S17" s="1">
        <v>14857.2</v>
      </c>
      <c r="T17" s="1">
        <v>28.68</v>
      </c>
      <c r="U17" s="1">
        <v>0.05</v>
      </c>
      <c r="V17" s="1">
        <v>2984.5</v>
      </c>
      <c r="W17" s="1">
        <v>14840.3</v>
      </c>
      <c r="X17" s="1">
        <v>600.9</v>
      </c>
      <c r="Y17" s="1">
        <v>600</v>
      </c>
      <c r="Z17" s="1">
        <v>109665.8</v>
      </c>
      <c r="AA17" s="1">
        <v>28.69</v>
      </c>
    </row>
    <row r="18" spans="1:27" x14ac:dyDescent="0.4">
      <c r="A18" s="1" t="s">
        <v>19</v>
      </c>
      <c r="B18" s="1">
        <v>2000</v>
      </c>
      <c r="C18" s="1">
        <v>0.2</v>
      </c>
      <c r="D18" s="1">
        <v>0.5</v>
      </c>
      <c r="E18" s="1">
        <v>1000</v>
      </c>
      <c r="F18" s="1">
        <v>1</v>
      </c>
      <c r="G18" s="1">
        <v>5</v>
      </c>
      <c r="H18" s="1" t="s">
        <v>592</v>
      </c>
      <c r="I18" s="1">
        <v>148706.20000000001</v>
      </c>
      <c r="J18" s="1">
        <v>59702</v>
      </c>
      <c r="K18" s="1">
        <v>89004.2</v>
      </c>
      <c r="L18" s="1">
        <v>600</v>
      </c>
      <c r="M18" s="1">
        <v>600.57000000000005</v>
      </c>
      <c r="N18" s="1">
        <v>37896.400000000001</v>
      </c>
      <c r="O18" s="1">
        <v>55612</v>
      </c>
      <c r="P18" s="1">
        <v>93508.4</v>
      </c>
      <c r="Q18" s="1">
        <v>11492.4</v>
      </c>
      <c r="R18" s="1">
        <v>3003.5</v>
      </c>
      <c r="S18" s="1">
        <v>14495.9</v>
      </c>
      <c r="T18" s="1">
        <v>27.37</v>
      </c>
      <c r="U18" s="1">
        <v>0.03</v>
      </c>
      <c r="V18" s="1">
        <v>2969.9</v>
      </c>
      <c r="W18" s="1">
        <v>14462.3</v>
      </c>
      <c r="X18" s="1">
        <v>600.6</v>
      </c>
      <c r="Y18" s="1">
        <v>600</v>
      </c>
      <c r="Z18" s="1">
        <v>107970.7</v>
      </c>
      <c r="AA18" s="1">
        <v>27.39</v>
      </c>
    </row>
    <row r="19" spans="1:27" x14ac:dyDescent="0.4">
      <c r="A19" s="1" t="s">
        <v>19</v>
      </c>
      <c r="B19" s="1">
        <v>2000</v>
      </c>
      <c r="C19" s="1">
        <v>0.2</v>
      </c>
      <c r="D19" s="1">
        <v>0.5</v>
      </c>
      <c r="E19" s="1">
        <v>1000</v>
      </c>
      <c r="F19" s="1">
        <v>1</v>
      </c>
      <c r="G19" s="1">
        <v>5</v>
      </c>
      <c r="H19" s="1" t="s">
        <v>14</v>
      </c>
      <c r="I19" s="1">
        <v>148706.20000000001</v>
      </c>
      <c r="J19" s="1">
        <v>59702</v>
      </c>
      <c r="K19" s="1">
        <v>89004.2</v>
      </c>
      <c r="L19" s="1">
        <v>600</v>
      </c>
      <c r="M19" s="1">
        <v>600</v>
      </c>
      <c r="N19" s="1">
        <v>38320.400000000001</v>
      </c>
      <c r="O19" s="1">
        <v>55622.6</v>
      </c>
      <c r="P19" s="1">
        <v>93943</v>
      </c>
      <c r="Q19" s="1">
        <v>11454.5</v>
      </c>
      <c r="R19" s="1">
        <v>3268</v>
      </c>
      <c r="S19" s="1">
        <v>14722.5</v>
      </c>
      <c r="T19" s="1">
        <v>26.93</v>
      </c>
      <c r="U19" s="1">
        <v>0.06</v>
      </c>
      <c r="V19" s="1">
        <v>3228.1</v>
      </c>
      <c r="W19" s="1">
        <v>14682.6</v>
      </c>
      <c r="X19" s="1">
        <v>600.05999999999995</v>
      </c>
      <c r="Y19" s="1">
        <v>600</v>
      </c>
      <c r="Z19" s="1">
        <v>108625.60000000001</v>
      </c>
      <c r="AA19" s="1">
        <v>26.95</v>
      </c>
    </row>
    <row r="20" spans="1:27" x14ac:dyDescent="0.4">
      <c r="A20" s="1" t="s">
        <v>19</v>
      </c>
      <c r="B20" s="1">
        <v>2000</v>
      </c>
      <c r="C20" s="1">
        <v>0.2</v>
      </c>
      <c r="D20" s="1">
        <v>0.5</v>
      </c>
      <c r="E20" s="1">
        <v>1000</v>
      </c>
      <c r="F20" s="1">
        <v>1</v>
      </c>
      <c r="G20" s="1">
        <v>5</v>
      </c>
      <c r="H20" s="1" t="s">
        <v>580</v>
      </c>
      <c r="I20" s="1">
        <v>148706.20000000001</v>
      </c>
      <c r="J20" s="1">
        <v>59702</v>
      </c>
      <c r="K20" s="1">
        <v>89004.2</v>
      </c>
      <c r="L20" s="1">
        <v>600</v>
      </c>
      <c r="M20" s="1">
        <v>600.91</v>
      </c>
      <c r="N20" s="1">
        <v>38723</v>
      </c>
      <c r="O20" s="1">
        <v>57724.3</v>
      </c>
      <c r="P20" s="1">
        <v>96447.3</v>
      </c>
      <c r="Q20" s="1">
        <v>10002.799999999999</v>
      </c>
      <c r="R20" s="1">
        <v>4040.5</v>
      </c>
      <c r="S20" s="1">
        <v>14043.3</v>
      </c>
      <c r="T20" s="1">
        <v>25.7</v>
      </c>
      <c r="U20" s="1">
        <v>0.14000000000000001</v>
      </c>
      <c r="V20" s="1">
        <v>3938.8</v>
      </c>
      <c r="W20" s="1">
        <v>13941.6</v>
      </c>
      <c r="X20" s="1">
        <v>601.04999999999995</v>
      </c>
      <c r="Y20" s="1">
        <v>600</v>
      </c>
      <c r="Z20" s="1">
        <v>110388.9</v>
      </c>
      <c r="AA20" s="1">
        <v>25.77</v>
      </c>
    </row>
    <row r="21" spans="1:27" x14ac:dyDescent="0.4">
      <c r="A21" s="1" t="s">
        <v>19</v>
      </c>
      <c r="B21" s="1">
        <v>2000</v>
      </c>
      <c r="C21" s="1">
        <v>0.2</v>
      </c>
      <c r="D21" s="1">
        <v>0.5</v>
      </c>
      <c r="E21" s="1">
        <v>1000</v>
      </c>
      <c r="F21" s="1">
        <v>1</v>
      </c>
      <c r="G21" s="1">
        <v>5</v>
      </c>
      <c r="H21" s="1" t="s">
        <v>15</v>
      </c>
      <c r="I21" s="1">
        <v>148706.20000000001</v>
      </c>
      <c r="J21" s="1">
        <v>59702</v>
      </c>
      <c r="K21" s="1">
        <v>89004.2</v>
      </c>
      <c r="L21" s="1">
        <v>600</v>
      </c>
      <c r="M21" s="1">
        <v>600.66</v>
      </c>
      <c r="N21" s="1">
        <v>38503.800000000003</v>
      </c>
      <c r="O21" s="1">
        <v>56587.7</v>
      </c>
      <c r="P21" s="1">
        <v>95091.5</v>
      </c>
      <c r="Q21" s="1">
        <v>11496.7</v>
      </c>
      <c r="R21" s="1">
        <v>2782</v>
      </c>
      <c r="S21" s="1">
        <v>14278.7</v>
      </c>
      <c r="T21" s="1">
        <v>26.45</v>
      </c>
      <c r="U21" s="1">
        <v>7.0000000000000007E-2</v>
      </c>
      <c r="V21" s="1">
        <v>2741.1</v>
      </c>
      <c r="W21" s="1">
        <v>14237.8</v>
      </c>
      <c r="X21" s="1">
        <v>600.73</v>
      </c>
      <c r="Y21" s="1">
        <v>600</v>
      </c>
      <c r="Z21" s="1">
        <v>109329.3</v>
      </c>
      <c r="AA21" s="1">
        <v>26.48</v>
      </c>
    </row>
    <row r="22" spans="1:27" x14ac:dyDescent="0.4">
      <c r="A22" s="1" t="s">
        <v>20</v>
      </c>
      <c r="B22" s="1">
        <v>2000</v>
      </c>
      <c r="C22" s="1">
        <v>0.2</v>
      </c>
      <c r="D22" s="1">
        <v>0.5</v>
      </c>
      <c r="E22" s="1">
        <v>1000</v>
      </c>
      <c r="F22" s="1">
        <v>2</v>
      </c>
      <c r="G22" s="1">
        <v>1</v>
      </c>
      <c r="H22" s="1" t="s">
        <v>592</v>
      </c>
      <c r="I22" s="1">
        <v>224341</v>
      </c>
      <c r="J22" s="1">
        <v>90336.7</v>
      </c>
      <c r="K22" s="1">
        <v>134004.29999999999</v>
      </c>
      <c r="L22" s="1">
        <v>600</v>
      </c>
      <c r="M22" s="1">
        <v>600.54999999999995</v>
      </c>
      <c r="N22" s="1">
        <v>60010.9</v>
      </c>
      <c r="O22" s="1">
        <v>88057</v>
      </c>
      <c r="P22" s="1">
        <v>148067.9</v>
      </c>
      <c r="Q22" s="1">
        <v>10847</v>
      </c>
      <c r="R22" s="1">
        <v>3026.8</v>
      </c>
      <c r="S22" s="1">
        <v>13873.8</v>
      </c>
      <c r="T22" s="1">
        <v>27.81</v>
      </c>
      <c r="U22" s="1">
        <v>0.05</v>
      </c>
      <c r="V22" s="1">
        <v>3018.5</v>
      </c>
      <c r="W22" s="1">
        <v>13865.5</v>
      </c>
      <c r="X22" s="1">
        <v>600.6</v>
      </c>
      <c r="Y22" s="1">
        <v>600</v>
      </c>
      <c r="Z22" s="1">
        <v>161933.4</v>
      </c>
      <c r="AA22" s="1">
        <v>27.82</v>
      </c>
    </row>
    <row r="23" spans="1:27" x14ac:dyDescent="0.4">
      <c r="A23" s="1" t="s">
        <v>20</v>
      </c>
      <c r="B23" s="1">
        <v>2000</v>
      </c>
      <c r="C23" s="1">
        <v>0.2</v>
      </c>
      <c r="D23" s="1">
        <v>0.5</v>
      </c>
      <c r="E23" s="1">
        <v>1000</v>
      </c>
      <c r="F23" s="1">
        <v>2</v>
      </c>
      <c r="G23" s="1">
        <v>1</v>
      </c>
      <c r="H23" s="1" t="s">
        <v>14</v>
      </c>
      <c r="I23" s="1">
        <v>224341</v>
      </c>
      <c r="J23" s="1">
        <v>90336.7</v>
      </c>
      <c r="K23" s="1">
        <v>134004.29999999999</v>
      </c>
      <c r="L23" s="1">
        <v>600</v>
      </c>
      <c r="M23" s="1">
        <v>600.01</v>
      </c>
      <c r="N23" s="1">
        <v>61202</v>
      </c>
      <c r="O23" s="1">
        <v>89309.2</v>
      </c>
      <c r="P23" s="1">
        <v>150511.20000000001</v>
      </c>
      <c r="Q23" s="1">
        <v>10970.5</v>
      </c>
      <c r="R23" s="1">
        <v>3347.6</v>
      </c>
      <c r="S23" s="1">
        <v>14318.1</v>
      </c>
      <c r="T23" s="1">
        <v>26.53</v>
      </c>
      <c r="U23" s="1">
        <v>7.0000000000000007E-2</v>
      </c>
      <c r="V23" s="1">
        <v>3285.4</v>
      </c>
      <c r="W23" s="1">
        <v>14255.9</v>
      </c>
      <c r="X23" s="1">
        <v>600.08000000000004</v>
      </c>
      <c r="Y23" s="1">
        <v>600</v>
      </c>
      <c r="Z23" s="1">
        <v>164767.1</v>
      </c>
      <c r="AA23" s="1">
        <v>26.56</v>
      </c>
    </row>
    <row r="24" spans="1:27" x14ac:dyDescent="0.4">
      <c r="A24" s="1" t="s">
        <v>20</v>
      </c>
      <c r="B24" s="1">
        <v>2000</v>
      </c>
      <c r="C24" s="1">
        <v>0.2</v>
      </c>
      <c r="D24" s="1">
        <v>0.5</v>
      </c>
      <c r="E24" s="1">
        <v>1000</v>
      </c>
      <c r="F24" s="1">
        <v>2</v>
      </c>
      <c r="G24" s="1">
        <v>1</v>
      </c>
      <c r="H24" s="1" t="s">
        <v>580</v>
      </c>
      <c r="I24" s="1">
        <v>224341</v>
      </c>
      <c r="J24" s="1">
        <v>90336.7</v>
      </c>
      <c r="K24" s="1">
        <v>134004.29999999999</v>
      </c>
      <c r="L24" s="1">
        <v>600</v>
      </c>
      <c r="M24" s="1">
        <v>600.97</v>
      </c>
      <c r="N24" s="1">
        <v>61512.7</v>
      </c>
      <c r="O24" s="1">
        <v>89583.5</v>
      </c>
      <c r="P24" s="1">
        <v>151096.20000000001</v>
      </c>
      <c r="Q24" s="1">
        <v>9858.6</v>
      </c>
      <c r="R24" s="1">
        <v>3749.7</v>
      </c>
      <c r="S24" s="1">
        <v>13608.3</v>
      </c>
      <c r="T24" s="1">
        <v>26.58</v>
      </c>
      <c r="U24" s="1">
        <v>0.26</v>
      </c>
      <c r="V24" s="1">
        <v>3519.6</v>
      </c>
      <c r="W24" s="1">
        <v>13378.2</v>
      </c>
      <c r="X24" s="1">
        <v>601.23</v>
      </c>
      <c r="Y24" s="1">
        <v>600</v>
      </c>
      <c r="Z24" s="1">
        <v>164474.4</v>
      </c>
      <c r="AA24" s="1">
        <v>26.69</v>
      </c>
    </row>
    <row r="25" spans="1:27" x14ac:dyDescent="0.4">
      <c r="A25" s="1" t="s">
        <v>20</v>
      </c>
      <c r="B25" s="1">
        <v>2000</v>
      </c>
      <c r="C25" s="1">
        <v>0.2</v>
      </c>
      <c r="D25" s="1">
        <v>0.5</v>
      </c>
      <c r="E25" s="1">
        <v>1000</v>
      </c>
      <c r="F25" s="1">
        <v>2</v>
      </c>
      <c r="G25" s="1">
        <v>1</v>
      </c>
      <c r="H25" s="1" t="s">
        <v>15</v>
      </c>
      <c r="I25" s="1">
        <v>224341</v>
      </c>
      <c r="J25" s="1">
        <v>90336.7</v>
      </c>
      <c r="K25" s="1">
        <v>134004.29999999999</v>
      </c>
      <c r="L25" s="1">
        <v>600</v>
      </c>
      <c r="M25" s="1">
        <v>600.01</v>
      </c>
      <c r="N25" s="1">
        <v>59916.3</v>
      </c>
      <c r="O25" s="1">
        <v>87535.8</v>
      </c>
      <c r="P25" s="1">
        <v>147452.1</v>
      </c>
      <c r="Q25" s="1">
        <v>11252.5</v>
      </c>
      <c r="R25" s="1">
        <v>3059.3</v>
      </c>
      <c r="S25" s="1">
        <v>14311.8</v>
      </c>
      <c r="T25" s="1">
        <v>27.89</v>
      </c>
      <c r="U25" s="1">
        <v>7.0000000000000007E-2</v>
      </c>
      <c r="V25" s="1">
        <v>2996.7</v>
      </c>
      <c r="W25" s="1">
        <v>14249.2</v>
      </c>
      <c r="X25" s="1">
        <v>600.08000000000004</v>
      </c>
      <c r="Y25" s="1">
        <v>600</v>
      </c>
      <c r="Z25" s="1">
        <v>161701.29999999999</v>
      </c>
      <c r="AA25" s="1">
        <v>27.92</v>
      </c>
    </row>
    <row r="26" spans="1:27" x14ac:dyDescent="0.4">
      <c r="A26" s="1" t="s">
        <v>21</v>
      </c>
      <c r="B26" s="1">
        <v>2000</v>
      </c>
      <c r="C26" s="1">
        <v>0.2</v>
      </c>
      <c r="D26" s="1">
        <v>0.5</v>
      </c>
      <c r="E26" s="1">
        <v>1000</v>
      </c>
      <c r="F26" s="1">
        <v>2</v>
      </c>
      <c r="G26" s="1">
        <v>2</v>
      </c>
      <c r="H26" s="1" t="s">
        <v>592</v>
      </c>
      <c r="I26" s="1">
        <v>220474.4</v>
      </c>
      <c r="J26" s="1">
        <v>85625.4</v>
      </c>
      <c r="K26" s="1">
        <v>134849</v>
      </c>
      <c r="L26" s="1">
        <v>600</v>
      </c>
      <c r="M26" s="1">
        <v>600.12</v>
      </c>
      <c r="N26" s="1">
        <v>56517</v>
      </c>
      <c r="O26" s="1">
        <v>87877.7</v>
      </c>
      <c r="P26" s="1">
        <v>144394.70000000001</v>
      </c>
      <c r="Q26" s="1">
        <v>10785.5</v>
      </c>
      <c r="R26" s="1">
        <v>2886.7</v>
      </c>
      <c r="S26" s="1">
        <v>13672.2</v>
      </c>
      <c r="T26" s="1">
        <v>28.31</v>
      </c>
      <c r="U26" s="1">
        <v>0.05</v>
      </c>
      <c r="V26" s="1">
        <v>2872.6</v>
      </c>
      <c r="W26" s="1">
        <v>13658.1</v>
      </c>
      <c r="X26" s="1">
        <v>600.16999999999996</v>
      </c>
      <c r="Y26" s="1">
        <v>600</v>
      </c>
      <c r="Z26" s="1">
        <v>158052.79999999999</v>
      </c>
      <c r="AA26" s="1">
        <v>28.31</v>
      </c>
    </row>
    <row r="27" spans="1:27" x14ac:dyDescent="0.4">
      <c r="A27" s="1" t="s">
        <v>21</v>
      </c>
      <c r="B27" s="1">
        <v>2000</v>
      </c>
      <c r="C27" s="1">
        <v>0.2</v>
      </c>
      <c r="D27" s="1">
        <v>0.5</v>
      </c>
      <c r="E27" s="1">
        <v>1000</v>
      </c>
      <c r="F27" s="1">
        <v>2</v>
      </c>
      <c r="G27" s="1">
        <v>2</v>
      </c>
      <c r="H27" s="1" t="s">
        <v>14</v>
      </c>
      <c r="I27" s="1">
        <v>220474.4</v>
      </c>
      <c r="J27" s="1">
        <v>85625.4</v>
      </c>
      <c r="K27" s="1">
        <v>134849</v>
      </c>
      <c r="L27" s="1">
        <v>600</v>
      </c>
      <c r="M27" s="1">
        <v>600.01</v>
      </c>
      <c r="N27" s="1">
        <v>57557</v>
      </c>
      <c r="O27" s="1">
        <v>89057.9</v>
      </c>
      <c r="P27" s="1">
        <v>146614.9</v>
      </c>
      <c r="Q27" s="1">
        <v>10608.1</v>
      </c>
      <c r="R27" s="1">
        <v>3251.2</v>
      </c>
      <c r="S27" s="1">
        <v>13859.3</v>
      </c>
      <c r="T27" s="1">
        <v>27.21</v>
      </c>
      <c r="U27" s="1">
        <v>0.08</v>
      </c>
      <c r="V27" s="1">
        <v>3173.9</v>
      </c>
      <c r="W27" s="1">
        <v>13782</v>
      </c>
      <c r="X27" s="1">
        <v>600.09</v>
      </c>
      <c r="Y27" s="1">
        <v>600</v>
      </c>
      <c r="Z27" s="1">
        <v>160396.9</v>
      </c>
      <c r="AA27" s="1">
        <v>27.25</v>
      </c>
    </row>
    <row r="28" spans="1:27" x14ac:dyDescent="0.4">
      <c r="A28" s="1" t="s">
        <v>21</v>
      </c>
      <c r="B28" s="1">
        <v>2000</v>
      </c>
      <c r="C28" s="1">
        <v>0.2</v>
      </c>
      <c r="D28" s="1">
        <v>0.5</v>
      </c>
      <c r="E28" s="1">
        <v>1000</v>
      </c>
      <c r="F28" s="1">
        <v>2</v>
      </c>
      <c r="G28" s="1">
        <v>2</v>
      </c>
      <c r="H28" s="1" t="s">
        <v>580</v>
      </c>
      <c r="I28" s="1">
        <v>220474.4</v>
      </c>
      <c r="J28" s="1">
        <v>85625.4</v>
      </c>
      <c r="K28" s="1">
        <v>134849</v>
      </c>
      <c r="L28" s="1">
        <v>600</v>
      </c>
      <c r="M28" s="1">
        <v>600.66</v>
      </c>
      <c r="N28" s="1">
        <v>57220.7</v>
      </c>
      <c r="O28" s="1">
        <v>88746.8</v>
      </c>
      <c r="P28" s="1">
        <v>145967.5</v>
      </c>
      <c r="Q28" s="1">
        <v>10223.9</v>
      </c>
      <c r="R28" s="1">
        <v>3346.3</v>
      </c>
      <c r="S28" s="1">
        <v>13570.2</v>
      </c>
      <c r="T28" s="1">
        <v>27.64</v>
      </c>
      <c r="U28" s="1">
        <v>0.18</v>
      </c>
      <c r="V28" s="1">
        <v>3202.6</v>
      </c>
      <c r="W28" s="1">
        <v>13426.5</v>
      </c>
      <c r="X28" s="1">
        <v>600.84</v>
      </c>
      <c r="Y28" s="1">
        <v>600</v>
      </c>
      <c r="Z28" s="1">
        <v>159394</v>
      </c>
      <c r="AA28" s="1">
        <v>27.7</v>
      </c>
    </row>
    <row r="29" spans="1:27" x14ac:dyDescent="0.4">
      <c r="A29" s="1" t="s">
        <v>21</v>
      </c>
      <c r="B29" s="1">
        <v>2000</v>
      </c>
      <c r="C29" s="1">
        <v>0.2</v>
      </c>
      <c r="D29" s="1">
        <v>0.5</v>
      </c>
      <c r="E29" s="1">
        <v>1000</v>
      </c>
      <c r="F29" s="1">
        <v>2</v>
      </c>
      <c r="G29" s="1">
        <v>2</v>
      </c>
      <c r="H29" s="1" t="s">
        <v>15</v>
      </c>
      <c r="I29" s="1">
        <v>220474.4</v>
      </c>
      <c r="J29" s="1">
        <v>85625.4</v>
      </c>
      <c r="K29" s="1">
        <v>134849</v>
      </c>
      <c r="L29" s="1">
        <v>600</v>
      </c>
      <c r="M29" s="1">
        <v>600.79999999999995</v>
      </c>
      <c r="N29" s="1">
        <v>56771.9</v>
      </c>
      <c r="O29" s="1">
        <v>87968.8</v>
      </c>
      <c r="P29" s="1">
        <v>144740.70000000001</v>
      </c>
      <c r="Q29" s="1">
        <v>10970.2</v>
      </c>
      <c r="R29" s="1">
        <v>2975.6</v>
      </c>
      <c r="S29" s="1">
        <v>13945.8</v>
      </c>
      <c r="T29" s="1">
        <v>28.02</v>
      </c>
      <c r="U29" s="1">
        <v>7.0000000000000007E-2</v>
      </c>
      <c r="V29" s="1">
        <v>2914.5</v>
      </c>
      <c r="W29" s="1">
        <v>13884.7</v>
      </c>
      <c r="X29" s="1">
        <v>600.87</v>
      </c>
      <c r="Y29" s="1">
        <v>600</v>
      </c>
      <c r="Z29" s="1">
        <v>158625.4</v>
      </c>
      <c r="AA29" s="1">
        <v>28.05</v>
      </c>
    </row>
    <row r="30" spans="1:27" x14ac:dyDescent="0.4">
      <c r="A30" s="1" t="s">
        <v>22</v>
      </c>
      <c r="B30" s="1">
        <v>2000</v>
      </c>
      <c r="C30" s="1">
        <v>0.2</v>
      </c>
      <c r="D30" s="1">
        <v>0.5</v>
      </c>
      <c r="E30" s="1">
        <v>1000</v>
      </c>
      <c r="F30" s="1">
        <v>2</v>
      </c>
      <c r="G30" s="1">
        <v>3</v>
      </c>
      <c r="H30" s="1" t="s">
        <v>592</v>
      </c>
      <c r="I30" s="1">
        <v>220428.7</v>
      </c>
      <c r="J30" s="1">
        <v>86108.800000000003</v>
      </c>
      <c r="K30" s="1">
        <v>134319.9</v>
      </c>
      <c r="L30" s="1">
        <v>600</v>
      </c>
      <c r="M30" s="1">
        <v>600.15</v>
      </c>
      <c r="N30" s="1">
        <v>57008.4</v>
      </c>
      <c r="O30" s="1">
        <v>88601.3</v>
      </c>
      <c r="P30" s="1">
        <v>145609.70000000001</v>
      </c>
      <c r="Q30" s="1">
        <v>10548.8</v>
      </c>
      <c r="R30" s="1">
        <v>2755.4</v>
      </c>
      <c r="S30" s="1">
        <v>13304.2</v>
      </c>
      <c r="T30" s="1">
        <v>27.91</v>
      </c>
      <c r="U30" s="1">
        <v>0.06</v>
      </c>
      <c r="V30" s="1">
        <v>2735.9</v>
      </c>
      <c r="W30" s="1">
        <v>13284.7</v>
      </c>
      <c r="X30" s="1">
        <v>600.21</v>
      </c>
      <c r="Y30" s="1">
        <v>600</v>
      </c>
      <c r="Z30" s="1">
        <v>158894.39999999999</v>
      </c>
      <c r="AA30" s="1">
        <v>27.92</v>
      </c>
    </row>
    <row r="31" spans="1:27" x14ac:dyDescent="0.4">
      <c r="A31" s="1" t="s">
        <v>22</v>
      </c>
      <c r="B31" s="1">
        <v>2000</v>
      </c>
      <c r="C31" s="1">
        <v>0.2</v>
      </c>
      <c r="D31" s="1">
        <v>0.5</v>
      </c>
      <c r="E31" s="1">
        <v>1000</v>
      </c>
      <c r="F31" s="1">
        <v>2</v>
      </c>
      <c r="G31" s="1">
        <v>3</v>
      </c>
      <c r="H31" s="1" t="s">
        <v>14</v>
      </c>
      <c r="I31" s="1">
        <v>220428.7</v>
      </c>
      <c r="J31" s="1">
        <v>86108.800000000003</v>
      </c>
      <c r="K31" s="1">
        <v>134319.9</v>
      </c>
      <c r="L31" s="1">
        <v>600</v>
      </c>
      <c r="M31" s="1">
        <v>600</v>
      </c>
      <c r="N31" s="1">
        <v>58614.1</v>
      </c>
      <c r="O31" s="1">
        <v>91184.4</v>
      </c>
      <c r="P31" s="1">
        <v>149798.5</v>
      </c>
      <c r="Q31" s="1">
        <v>10407.9</v>
      </c>
      <c r="R31" s="1">
        <v>3159.8</v>
      </c>
      <c r="S31" s="1">
        <v>13567.7</v>
      </c>
      <c r="T31" s="1">
        <v>25.89</v>
      </c>
      <c r="U31" s="1">
        <v>0.09</v>
      </c>
      <c r="V31" s="1">
        <v>3067.9</v>
      </c>
      <c r="W31" s="1">
        <v>13475.8</v>
      </c>
      <c r="X31" s="1">
        <v>600.09</v>
      </c>
      <c r="Y31" s="1">
        <v>600</v>
      </c>
      <c r="Z31" s="1">
        <v>163274.29999999999</v>
      </c>
      <c r="AA31" s="1">
        <v>25.93</v>
      </c>
    </row>
    <row r="32" spans="1:27" x14ac:dyDescent="0.4">
      <c r="A32" s="1" t="s">
        <v>22</v>
      </c>
      <c r="B32" s="1">
        <v>2000</v>
      </c>
      <c r="C32" s="1">
        <v>0.2</v>
      </c>
      <c r="D32" s="1">
        <v>0.5</v>
      </c>
      <c r="E32" s="1">
        <v>1000</v>
      </c>
      <c r="F32" s="1">
        <v>2</v>
      </c>
      <c r="G32" s="1">
        <v>3</v>
      </c>
      <c r="H32" s="1" t="s">
        <v>580</v>
      </c>
      <c r="I32" s="1">
        <v>220428.7</v>
      </c>
      <c r="J32" s="1">
        <v>86108.800000000003</v>
      </c>
      <c r="K32" s="1">
        <v>134319.9</v>
      </c>
      <c r="L32" s="1">
        <v>600</v>
      </c>
      <c r="M32" s="1">
        <v>600.63</v>
      </c>
      <c r="N32" s="1">
        <v>57989.5</v>
      </c>
      <c r="O32" s="1">
        <v>89652.4</v>
      </c>
      <c r="P32" s="1">
        <v>147641.9</v>
      </c>
      <c r="Q32" s="1">
        <v>10304.5</v>
      </c>
      <c r="R32" s="1">
        <v>3373.6</v>
      </c>
      <c r="S32" s="1">
        <v>13678.1</v>
      </c>
      <c r="T32" s="1">
        <v>26.82</v>
      </c>
      <c r="U32" s="1">
        <v>0.15</v>
      </c>
      <c r="V32" s="1">
        <v>3230.9</v>
      </c>
      <c r="W32" s="1">
        <v>13535.4</v>
      </c>
      <c r="X32" s="1">
        <v>600.78</v>
      </c>
      <c r="Y32" s="1">
        <v>600</v>
      </c>
      <c r="Z32" s="1">
        <v>161177.29999999999</v>
      </c>
      <c r="AA32" s="1">
        <v>26.88</v>
      </c>
    </row>
    <row r="33" spans="1:27" x14ac:dyDescent="0.4">
      <c r="A33" s="1" t="s">
        <v>22</v>
      </c>
      <c r="B33" s="1">
        <v>2000</v>
      </c>
      <c r="C33" s="1">
        <v>0.2</v>
      </c>
      <c r="D33" s="1">
        <v>0.5</v>
      </c>
      <c r="E33" s="1">
        <v>1000</v>
      </c>
      <c r="F33" s="1">
        <v>2</v>
      </c>
      <c r="G33" s="1">
        <v>3</v>
      </c>
      <c r="H33" s="1" t="s">
        <v>15</v>
      </c>
      <c r="I33" s="1">
        <v>220428.7</v>
      </c>
      <c r="J33" s="1">
        <v>86108.800000000003</v>
      </c>
      <c r="K33" s="1">
        <v>134319.9</v>
      </c>
      <c r="L33" s="1">
        <v>600</v>
      </c>
      <c r="M33" s="1">
        <v>600.75</v>
      </c>
      <c r="N33" s="1">
        <v>57421</v>
      </c>
      <c r="O33" s="1">
        <v>89525.4</v>
      </c>
      <c r="P33" s="1">
        <v>146946.4</v>
      </c>
      <c r="Q33" s="1">
        <v>10561.7</v>
      </c>
      <c r="R33" s="1">
        <v>2885.2</v>
      </c>
      <c r="S33" s="1">
        <v>13446.9</v>
      </c>
      <c r="T33" s="1">
        <v>27.24</v>
      </c>
      <c r="U33" s="1">
        <v>0.06</v>
      </c>
      <c r="V33" s="1">
        <v>2813.7</v>
      </c>
      <c r="W33" s="1">
        <v>13375.4</v>
      </c>
      <c r="X33" s="1">
        <v>600.80999999999995</v>
      </c>
      <c r="Y33" s="1">
        <v>599</v>
      </c>
      <c r="Z33" s="1">
        <v>160321.79999999999</v>
      </c>
      <c r="AA33" s="1">
        <v>27.27</v>
      </c>
    </row>
    <row r="34" spans="1:27" x14ac:dyDescent="0.4">
      <c r="A34" s="1" t="s">
        <v>23</v>
      </c>
      <c r="B34" s="1">
        <v>2000</v>
      </c>
      <c r="C34" s="1">
        <v>0.2</v>
      </c>
      <c r="D34" s="1">
        <v>0.5</v>
      </c>
      <c r="E34" s="1">
        <v>1000</v>
      </c>
      <c r="F34" s="1">
        <v>2</v>
      </c>
      <c r="G34" s="1">
        <v>4</v>
      </c>
      <c r="H34" s="1" t="s">
        <v>592</v>
      </c>
      <c r="I34" s="1">
        <v>210055.4</v>
      </c>
      <c r="J34" s="1">
        <v>82377.100000000006</v>
      </c>
      <c r="K34" s="1">
        <v>127678.3</v>
      </c>
      <c r="L34" s="1">
        <v>600</v>
      </c>
      <c r="M34" s="1">
        <v>600.72</v>
      </c>
      <c r="N34" s="1">
        <v>54807.1</v>
      </c>
      <c r="O34" s="1">
        <v>84232.4</v>
      </c>
      <c r="P34" s="1">
        <v>139039.5</v>
      </c>
      <c r="Q34" s="1">
        <v>10737.7</v>
      </c>
      <c r="R34" s="1">
        <v>2827.8</v>
      </c>
      <c r="S34" s="1">
        <v>13565.5</v>
      </c>
      <c r="T34" s="1">
        <v>27.35</v>
      </c>
      <c r="U34" s="1">
        <v>0.04</v>
      </c>
      <c r="V34" s="1">
        <v>2818.8</v>
      </c>
      <c r="W34" s="1">
        <v>13556.5</v>
      </c>
      <c r="X34" s="1">
        <v>600.76</v>
      </c>
      <c r="Y34" s="1">
        <v>600</v>
      </c>
      <c r="Z34" s="1">
        <v>152596</v>
      </c>
      <c r="AA34" s="1">
        <v>27.35</v>
      </c>
    </row>
    <row r="35" spans="1:27" x14ac:dyDescent="0.4">
      <c r="A35" s="1" t="s">
        <v>23</v>
      </c>
      <c r="B35" s="1">
        <v>2000</v>
      </c>
      <c r="C35" s="1">
        <v>0.2</v>
      </c>
      <c r="D35" s="1">
        <v>0.5</v>
      </c>
      <c r="E35" s="1">
        <v>1000</v>
      </c>
      <c r="F35" s="1">
        <v>2</v>
      </c>
      <c r="G35" s="1">
        <v>4</v>
      </c>
      <c r="H35" s="1" t="s">
        <v>14</v>
      </c>
      <c r="I35" s="1">
        <v>210055.4</v>
      </c>
      <c r="J35" s="1">
        <v>82377.100000000006</v>
      </c>
      <c r="K35" s="1">
        <v>127678.3</v>
      </c>
      <c r="L35" s="1">
        <v>600</v>
      </c>
      <c r="M35" s="1">
        <v>600</v>
      </c>
      <c r="N35" s="1">
        <v>55653</v>
      </c>
      <c r="O35" s="1">
        <v>86383</v>
      </c>
      <c r="P35" s="1">
        <v>142036</v>
      </c>
      <c r="Q35" s="1">
        <v>10457.799999999999</v>
      </c>
      <c r="R35" s="1">
        <v>3338.3</v>
      </c>
      <c r="S35" s="1">
        <v>13796.1</v>
      </c>
      <c r="T35" s="1">
        <v>25.81</v>
      </c>
      <c r="U35" s="1">
        <v>7.0000000000000007E-2</v>
      </c>
      <c r="V35" s="1">
        <v>3248.6</v>
      </c>
      <c r="W35" s="1">
        <v>13706.4</v>
      </c>
      <c r="X35" s="1">
        <v>600.07000000000005</v>
      </c>
      <c r="Y35" s="1">
        <v>600</v>
      </c>
      <c r="Z35" s="1">
        <v>155742.39999999999</v>
      </c>
      <c r="AA35" s="1">
        <v>25.86</v>
      </c>
    </row>
    <row r="36" spans="1:27" x14ac:dyDescent="0.4">
      <c r="A36" s="1" t="s">
        <v>23</v>
      </c>
      <c r="B36" s="1">
        <v>2000</v>
      </c>
      <c r="C36" s="1">
        <v>0.2</v>
      </c>
      <c r="D36" s="1">
        <v>0.5</v>
      </c>
      <c r="E36" s="1">
        <v>1000</v>
      </c>
      <c r="F36" s="1">
        <v>2</v>
      </c>
      <c r="G36" s="1">
        <v>4</v>
      </c>
      <c r="H36" s="1" t="s">
        <v>580</v>
      </c>
      <c r="I36" s="1">
        <v>210055.4</v>
      </c>
      <c r="J36" s="1">
        <v>82377.100000000006</v>
      </c>
      <c r="K36" s="1">
        <v>127678.3</v>
      </c>
      <c r="L36" s="1">
        <v>600</v>
      </c>
      <c r="M36" s="1">
        <v>600.21</v>
      </c>
      <c r="N36" s="1">
        <v>55391.1</v>
      </c>
      <c r="O36" s="1">
        <v>85281.9</v>
      </c>
      <c r="P36" s="1">
        <v>140673</v>
      </c>
      <c r="Q36" s="1">
        <v>10035.700000000001</v>
      </c>
      <c r="R36" s="1">
        <v>3719.6</v>
      </c>
      <c r="S36" s="1">
        <v>13755.3</v>
      </c>
      <c r="T36" s="1">
        <v>26.48</v>
      </c>
      <c r="U36" s="1">
        <v>0.18</v>
      </c>
      <c r="V36" s="1">
        <v>3526.2</v>
      </c>
      <c r="W36" s="1">
        <v>13561.9</v>
      </c>
      <c r="X36" s="1">
        <v>600.39</v>
      </c>
      <c r="Y36" s="1">
        <v>600</v>
      </c>
      <c r="Z36" s="1">
        <v>154234.9</v>
      </c>
      <c r="AA36" s="1">
        <v>26.57</v>
      </c>
    </row>
    <row r="37" spans="1:27" x14ac:dyDescent="0.4">
      <c r="A37" s="1" t="s">
        <v>23</v>
      </c>
      <c r="B37" s="1">
        <v>2000</v>
      </c>
      <c r="C37" s="1">
        <v>0.2</v>
      </c>
      <c r="D37" s="1">
        <v>0.5</v>
      </c>
      <c r="E37" s="1">
        <v>1000</v>
      </c>
      <c r="F37" s="1">
        <v>2</v>
      </c>
      <c r="G37" s="1">
        <v>4</v>
      </c>
      <c r="H37" s="1" t="s">
        <v>15</v>
      </c>
      <c r="I37" s="1">
        <v>210055.4</v>
      </c>
      <c r="J37" s="1">
        <v>82377.100000000006</v>
      </c>
      <c r="K37" s="1">
        <v>127678.3</v>
      </c>
      <c r="L37" s="1">
        <v>600</v>
      </c>
      <c r="M37" s="1">
        <v>601</v>
      </c>
      <c r="N37" s="1">
        <v>54584.3</v>
      </c>
      <c r="O37" s="1">
        <v>84016.9</v>
      </c>
      <c r="P37" s="1">
        <v>138601.20000000001</v>
      </c>
      <c r="Q37" s="1">
        <v>10898.9</v>
      </c>
      <c r="R37" s="1">
        <v>2851.3</v>
      </c>
      <c r="S37" s="1">
        <v>13750.2</v>
      </c>
      <c r="T37" s="1">
        <v>27.47</v>
      </c>
      <c r="U37" s="1">
        <v>0.05</v>
      </c>
      <c r="V37" s="1">
        <v>2806.7</v>
      </c>
      <c r="W37" s="1">
        <v>13705.6</v>
      </c>
      <c r="X37" s="1">
        <v>601.04999999999995</v>
      </c>
      <c r="Y37" s="1">
        <v>600</v>
      </c>
      <c r="Z37" s="1">
        <v>152306.79999999999</v>
      </c>
      <c r="AA37" s="1">
        <v>27.49</v>
      </c>
    </row>
    <row r="38" spans="1:27" x14ac:dyDescent="0.4">
      <c r="A38" s="1" t="s">
        <v>24</v>
      </c>
      <c r="B38" s="1">
        <v>2000</v>
      </c>
      <c r="C38" s="1">
        <v>0.2</v>
      </c>
      <c r="D38" s="1">
        <v>0.5</v>
      </c>
      <c r="E38" s="1">
        <v>1000</v>
      </c>
      <c r="F38" s="1">
        <v>2</v>
      </c>
      <c r="G38" s="1">
        <v>5</v>
      </c>
      <c r="H38" s="1" t="s">
        <v>592</v>
      </c>
      <c r="I38" s="1">
        <v>223013.3</v>
      </c>
      <c r="J38" s="1">
        <v>88414.3</v>
      </c>
      <c r="K38" s="1">
        <v>134599</v>
      </c>
      <c r="L38" s="1">
        <v>600</v>
      </c>
      <c r="M38" s="1">
        <v>600.91</v>
      </c>
      <c r="N38" s="1">
        <v>59270</v>
      </c>
      <c r="O38" s="1">
        <v>88106.8</v>
      </c>
      <c r="P38" s="1">
        <v>147376.79999999999</v>
      </c>
      <c r="Q38" s="1">
        <v>10277.4</v>
      </c>
      <c r="R38" s="1">
        <v>2896.7</v>
      </c>
      <c r="S38" s="1">
        <v>13174.1</v>
      </c>
      <c r="T38" s="1">
        <v>28.01</v>
      </c>
      <c r="U38" s="1">
        <v>7.0000000000000007E-2</v>
      </c>
      <c r="V38" s="1">
        <v>2893.9</v>
      </c>
      <c r="W38" s="1">
        <v>13171.3</v>
      </c>
      <c r="X38" s="1">
        <v>600.98</v>
      </c>
      <c r="Y38" s="1">
        <v>600</v>
      </c>
      <c r="Z38" s="1">
        <v>160548.1</v>
      </c>
      <c r="AA38" s="1">
        <v>28.01</v>
      </c>
    </row>
    <row r="39" spans="1:27" x14ac:dyDescent="0.4">
      <c r="A39" s="1" t="s">
        <v>24</v>
      </c>
      <c r="B39" s="1">
        <v>2000</v>
      </c>
      <c r="C39" s="1">
        <v>0.2</v>
      </c>
      <c r="D39" s="1">
        <v>0.5</v>
      </c>
      <c r="E39" s="1">
        <v>1000</v>
      </c>
      <c r="F39" s="1">
        <v>2</v>
      </c>
      <c r="G39" s="1">
        <v>5</v>
      </c>
      <c r="H39" s="1" t="s">
        <v>14</v>
      </c>
      <c r="I39" s="1">
        <v>223013.3</v>
      </c>
      <c r="J39" s="1">
        <v>88414.3</v>
      </c>
      <c r="K39" s="1">
        <v>134599</v>
      </c>
      <c r="L39" s="1">
        <v>600</v>
      </c>
      <c r="M39" s="1">
        <v>600.01</v>
      </c>
      <c r="N39" s="1">
        <v>59603.4</v>
      </c>
      <c r="O39" s="1">
        <v>89862.2</v>
      </c>
      <c r="P39" s="1">
        <v>149465.60000000001</v>
      </c>
      <c r="Q39" s="1">
        <v>10616.2</v>
      </c>
      <c r="R39" s="1">
        <v>3349.6</v>
      </c>
      <c r="S39" s="1">
        <v>13965.8</v>
      </c>
      <c r="T39" s="1">
        <v>26.72</v>
      </c>
      <c r="U39" s="1">
        <v>0.08</v>
      </c>
      <c r="V39" s="1">
        <v>3254.3</v>
      </c>
      <c r="W39" s="1">
        <v>13870.5</v>
      </c>
      <c r="X39" s="1">
        <v>600.09</v>
      </c>
      <c r="Y39" s="1">
        <v>600</v>
      </c>
      <c r="Z39" s="1">
        <v>163336.1</v>
      </c>
      <c r="AA39" s="1">
        <v>26.76</v>
      </c>
    </row>
    <row r="40" spans="1:27" x14ac:dyDescent="0.4">
      <c r="A40" s="1" t="s">
        <v>24</v>
      </c>
      <c r="B40" s="1">
        <v>2000</v>
      </c>
      <c r="C40" s="1">
        <v>0.2</v>
      </c>
      <c r="D40" s="1">
        <v>0.5</v>
      </c>
      <c r="E40" s="1">
        <v>1000</v>
      </c>
      <c r="F40" s="1">
        <v>2</v>
      </c>
      <c r="G40" s="1">
        <v>5</v>
      </c>
      <c r="H40" s="1" t="s">
        <v>580</v>
      </c>
      <c r="I40" s="1">
        <v>223013.3</v>
      </c>
      <c r="J40" s="1">
        <v>88414.3</v>
      </c>
      <c r="K40" s="1">
        <v>134599</v>
      </c>
      <c r="L40" s="1">
        <v>600</v>
      </c>
      <c r="M40" s="1">
        <v>600.92999999999995</v>
      </c>
      <c r="N40" s="1">
        <v>59891.5</v>
      </c>
      <c r="O40" s="1">
        <v>88514.7</v>
      </c>
      <c r="P40" s="1">
        <v>148406.20000000001</v>
      </c>
      <c r="Q40" s="1">
        <v>10232.799999999999</v>
      </c>
      <c r="R40" s="1">
        <v>3625.3</v>
      </c>
      <c r="S40" s="1">
        <v>13858.1</v>
      </c>
      <c r="T40" s="1">
        <v>27.24</v>
      </c>
      <c r="U40" s="1">
        <v>0.16</v>
      </c>
      <c r="V40" s="1">
        <v>3482.6</v>
      </c>
      <c r="W40" s="1">
        <v>13715.4</v>
      </c>
      <c r="X40" s="1">
        <v>601.09</v>
      </c>
      <c r="Y40" s="1">
        <v>600</v>
      </c>
      <c r="Z40" s="1">
        <v>162121.60000000001</v>
      </c>
      <c r="AA40" s="1">
        <v>27.3</v>
      </c>
    </row>
    <row r="41" spans="1:27" x14ac:dyDescent="0.4">
      <c r="A41" s="1" t="s">
        <v>24</v>
      </c>
      <c r="B41" s="1">
        <v>2000</v>
      </c>
      <c r="C41" s="1">
        <v>0.2</v>
      </c>
      <c r="D41" s="1">
        <v>0.5</v>
      </c>
      <c r="E41" s="1">
        <v>1000</v>
      </c>
      <c r="F41" s="1">
        <v>2</v>
      </c>
      <c r="G41" s="1">
        <v>5</v>
      </c>
      <c r="H41" s="1" t="s">
        <v>15</v>
      </c>
      <c r="I41" s="1">
        <v>223013.3</v>
      </c>
      <c r="J41" s="1">
        <v>88414.3</v>
      </c>
      <c r="K41" s="1">
        <v>134599</v>
      </c>
      <c r="L41" s="1">
        <v>600</v>
      </c>
      <c r="M41" s="1">
        <v>600.63</v>
      </c>
      <c r="N41" s="1">
        <v>58942.400000000001</v>
      </c>
      <c r="O41" s="1">
        <v>88431.4</v>
      </c>
      <c r="P41" s="1">
        <v>147373.79999999999</v>
      </c>
      <c r="Q41" s="1">
        <v>10491</v>
      </c>
      <c r="R41" s="1">
        <v>3165.8</v>
      </c>
      <c r="S41" s="1">
        <v>13656.8</v>
      </c>
      <c r="T41" s="1">
        <v>27.79</v>
      </c>
      <c r="U41" s="1">
        <v>0.09</v>
      </c>
      <c r="V41" s="1">
        <v>3054.8</v>
      </c>
      <c r="W41" s="1">
        <v>13545.8</v>
      </c>
      <c r="X41" s="1">
        <v>600.73</v>
      </c>
      <c r="Y41" s="1">
        <v>600</v>
      </c>
      <c r="Z41" s="1">
        <v>160919.6</v>
      </c>
      <c r="AA41" s="1">
        <v>27.84</v>
      </c>
    </row>
    <row r="42" spans="1:27" x14ac:dyDescent="0.4">
      <c r="A42" s="1" t="s">
        <v>25</v>
      </c>
      <c r="B42" s="1">
        <v>2000</v>
      </c>
      <c r="C42" s="1">
        <v>0.2</v>
      </c>
      <c r="D42" s="1">
        <v>0.5</v>
      </c>
      <c r="E42" s="1">
        <v>1000</v>
      </c>
      <c r="F42" s="1">
        <v>3</v>
      </c>
      <c r="G42" s="1">
        <v>1</v>
      </c>
      <c r="H42" s="1" t="s">
        <v>592</v>
      </c>
      <c r="I42" s="1">
        <v>283040.5</v>
      </c>
      <c r="J42" s="1">
        <v>115997.2</v>
      </c>
      <c r="K42" s="1">
        <v>167043.29999999999</v>
      </c>
      <c r="L42" s="1">
        <v>600</v>
      </c>
      <c r="M42" s="1">
        <v>600.95000000000005</v>
      </c>
      <c r="N42" s="1">
        <v>77685.399999999994</v>
      </c>
      <c r="O42" s="1">
        <v>115816.1</v>
      </c>
      <c r="P42" s="1">
        <v>193501.5</v>
      </c>
      <c r="Q42" s="1">
        <v>10623</v>
      </c>
      <c r="R42" s="1">
        <v>2769.5</v>
      </c>
      <c r="S42" s="1">
        <v>13392.5</v>
      </c>
      <c r="T42" s="1">
        <v>26.9</v>
      </c>
      <c r="U42" s="1">
        <v>0.06</v>
      </c>
      <c r="V42" s="1">
        <v>2752.6</v>
      </c>
      <c r="W42" s="1">
        <v>13375.6</v>
      </c>
      <c r="X42" s="1">
        <v>601</v>
      </c>
      <c r="Y42" s="1">
        <v>600</v>
      </c>
      <c r="Z42" s="1">
        <v>206877.1</v>
      </c>
      <c r="AA42" s="1">
        <v>26.91</v>
      </c>
    </row>
    <row r="43" spans="1:27" x14ac:dyDescent="0.4">
      <c r="A43" s="1" t="s">
        <v>25</v>
      </c>
      <c r="B43" s="1">
        <v>2000</v>
      </c>
      <c r="C43" s="1">
        <v>0.2</v>
      </c>
      <c r="D43" s="1">
        <v>0.5</v>
      </c>
      <c r="E43" s="1">
        <v>1000</v>
      </c>
      <c r="F43" s="1">
        <v>3</v>
      </c>
      <c r="G43" s="1">
        <v>1</v>
      </c>
      <c r="H43" s="1" t="s">
        <v>14</v>
      </c>
      <c r="I43" s="1">
        <v>283040.5</v>
      </c>
      <c r="J43" s="1">
        <v>115997.2</v>
      </c>
      <c r="K43" s="1">
        <v>167043.29999999999</v>
      </c>
      <c r="L43" s="1">
        <v>600</v>
      </c>
      <c r="M43" s="1">
        <v>600</v>
      </c>
      <c r="N43" s="1">
        <v>79851</v>
      </c>
      <c r="O43" s="1">
        <v>118705.1</v>
      </c>
      <c r="P43" s="1">
        <v>198556.1</v>
      </c>
      <c r="Q43" s="1">
        <v>10463.6</v>
      </c>
      <c r="R43" s="1">
        <v>3029.8</v>
      </c>
      <c r="S43" s="1">
        <v>13493.4</v>
      </c>
      <c r="T43" s="1">
        <v>25.08</v>
      </c>
      <c r="U43" s="1">
        <v>0.1</v>
      </c>
      <c r="V43" s="1">
        <v>2957.7</v>
      </c>
      <c r="W43" s="1">
        <v>13421.3</v>
      </c>
      <c r="X43" s="1">
        <v>600.1</v>
      </c>
      <c r="Y43" s="1">
        <v>600</v>
      </c>
      <c r="Z43" s="1">
        <v>211977.4</v>
      </c>
      <c r="AA43" s="1">
        <v>25.11</v>
      </c>
    </row>
    <row r="44" spans="1:27" x14ac:dyDescent="0.4">
      <c r="A44" s="1" t="s">
        <v>25</v>
      </c>
      <c r="B44" s="1">
        <v>2000</v>
      </c>
      <c r="C44" s="1">
        <v>0.2</v>
      </c>
      <c r="D44" s="1">
        <v>0.5</v>
      </c>
      <c r="E44" s="1">
        <v>1000</v>
      </c>
      <c r="F44" s="1">
        <v>3</v>
      </c>
      <c r="G44" s="1">
        <v>1</v>
      </c>
      <c r="H44" s="1" t="s">
        <v>580</v>
      </c>
      <c r="I44" s="1">
        <v>283040.5</v>
      </c>
      <c r="J44" s="1">
        <v>115997.2</v>
      </c>
      <c r="K44" s="1">
        <v>167043.29999999999</v>
      </c>
      <c r="L44" s="1">
        <v>600</v>
      </c>
      <c r="M44" s="1">
        <v>600.79</v>
      </c>
      <c r="N44" s="1">
        <v>78100.7</v>
      </c>
      <c r="O44" s="1">
        <v>116123.4</v>
      </c>
      <c r="P44" s="1">
        <v>194224.1</v>
      </c>
      <c r="Q44" s="1">
        <v>9963.7999999999993</v>
      </c>
      <c r="R44" s="1">
        <v>3301.9</v>
      </c>
      <c r="S44" s="1">
        <v>13265.7</v>
      </c>
      <c r="T44" s="1">
        <v>26.69</v>
      </c>
      <c r="U44" s="1">
        <v>0.17</v>
      </c>
      <c r="V44" s="1">
        <v>3212.7</v>
      </c>
      <c r="W44" s="1">
        <v>13176.5</v>
      </c>
      <c r="X44" s="1">
        <v>600.96</v>
      </c>
      <c r="Y44" s="1">
        <v>600</v>
      </c>
      <c r="Z44" s="1">
        <v>207400.6</v>
      </c>
      <c r="AA44" s="1">
        <v>26.72</v>
      </c>
    </row>
    <row r="45" spans="1:27" x14ac:dyDescent="0.4">
      <c r="A45" s="1" t="s">
        <v>25</v>
      </c>
      <c r="B45" s="1">
        <v>2000</v>
      </c>
      <c r="C45" s="1">
        <v>0.2</v>
      </c>
      <c r="D45" s="1">
        <v>0.5</v>
      </c>
      <c r="E45" s="1">
        <v>1000</v>
      </c>
      <c r="F45" s="1">
        <v>3</v>
      </c>
      <c r="G45" s="1">
        <v>1</v>
      </c>
      <c r="H45" s="1" t="s">
        <v>15</v>
      </c>
      <c r="I45" s="1">
        <v>283040.5</v>
      </c>
      <c r="J45" s="1">
        <v>115997.2</v>
      </c>
      <c r="K45" s="1">
        <v>167043.29999999999</v>
      </c>
      <c r="L45" s="1">
        <v>600</v>
      </c>
      <c r="M45" s="1">
        <v>600</v>
      </c>
      <c r="N45" s="1">
        <v>77838.8</v>
      </c>
      <c r="O45" s="1">
        <v>115254.6</v>
      </c>
      <c r="P45" s="1">
        <v>193093.4</v>
      </c>
      <c r="Q45" s="1">
        <v>10688</v>
      </c>
      <c r="R45" s="1">
        <v>2680.4</v>
      </c>
      <c r="S45" s="1">
        <v>13368.4</v>
      </c>
      <c r="T45" s="1">
        <v>27.06</v>
      </c>
      <c r="U45" s="1">
        <v>0.05</v>
      </c>
      <c r="V45" s="1">
        <v>2565.4</v>
      </c>
      <c r="W45" s="1">
        <v>13253.4</v>
      </c>
      <c r="X45" s="1">
        <v>600.04999999999995</v>
      </c>
      <c r="Y45" s="1">
        <v>600</v>
      </c>
      <c r="Z45" s="1">
        <v>206346.8</v>
      </c>
      <c r="AA45" s="1">
        <v>27.1</v>
      </c>
    </row>
    <row r="46" spans="1:27" x14ac:dyDescent="0.4">
      <c r="A46" s="1" t="s">
        <v>26</v>
      </c>
      <c r="B46" s="1">
        <v>2000</v>
      </c>
      <c r="C46" s="1">
        <v>0.2</v>
      </c>
      <c r="D46" s="1">
        <v>0.5</v>
      </c>
      <c r="E46" s="1">
        <v>1000</v>
      </c>
      <c r="F46" s="1">
        <v>3</v>
      </c>
      <c r="G46" s="1">
        <v>2</v>
      </c>
      <c r="H46" s="1" t="s">
        <v>592</v>
      </c>
      <c r="I46" s="1">
        <v>287067.8</v>
      </c>
      <c r="J46" s="1">
        <v>115740.2</v>
      </c>
      <c r="K46" s="1">
        <v>171327.6</v>
      </c>
      <c r="L46" s="1">
        <v>600</v>
      </c>
      <c r="M46" s="1">
        <v>600.29999999999995</v>
      </c>
      <c r="N46" s="1">
        <v>77451.5</v>
      </c>
      <c r="O46" s="1">
        <v>116694.8</v>
      </c>
      <c r="P46" s="1">
        <v>194146.3</v>
      </c>
      <c r="Q46" s="1">
        <v>10526.2</v>
      </c>
      <c r="R46" s="1">
        <v>2720.8</v>
      </c>
      <c r="S46" s="1">
        <v>13247</v>
      </c>
      <c r="T46" s="1">
        <v>27.75</v>
      </c>
      <c r="U46" s="1">
        <v>0.09</v>
      </c>
      <c r="V46" s="1">
        <v>2683.6</v>
      </c>
      <c r="W46" s="1">
        <v>13209.8</v>
      </c>
      <c r="X46" s="1">
        <v>600.39</v>
      </c>
      <c r="Y46" s="1">
        <v>600</v>
      </c>
      <c r="Z46" s="1">
        <v>207356.1</v>
      </c>
      <c r="AA46" s="1">
        <v>27.77</v>
      </c>
    </row>
    <row r="47" spans="1:27" x14ac:dyDescent="0.4">
      <c r="A47" s="1" t="s">
        <v>26</v>
      </c>
      <c r="B47" s="1">
        <v>2000</v>
      </c>
      <c r="C47" s="1">
        <v>0.2</v>
      </c>
      <c r="D47" s="1">
        <v>0.5</v>
      </c>
      <c r="E47" s="1">
        <v>1000</v>
      </c>
      <c r="F47" s="1">
        <v>3</v>
      </c>
      <c r="G47" s="1">
        <v>2</v>
      </c>
      <c r="H47" s="1" t="s">
        <v>14</v>
      </c>
      <c r="I47" s="1">
        <v>287067.8</v>
      </c>
      <c r="J47" s="1">
        <v>115740.2</v>
      </c>
      <c r="K47" s="1">
        <v>171327.6</v>
      </c>
      <c r="L47" s="1">
        <v>600</v>
      </c>
      <c r="M47" s="1">
        <v>600</v>
      </c>
      <c r="N47" s="1">
        <v>79800.800000000003</v>
      </c>
      <c r="O47" s="1">
        <v>118590</v>
      </c>
      <c r="P47" s="1">
        <v>198390.8</v>
      </c>
      <c r="Q47" s="1">
        <v>10479.6</v>
      </c>
      <c r="R47" s="1">
        <v>3306.1</v>
      </c>
      <c r="S47" s="1">
        <v>13785.7</v>
      </c>
      <c r="T47" s="1">
        <v>26.09</v>
      </c>
      <c r="U47" s="1">
        <v>0.08</v>
      </c>
      <c r="V47" s="1">
        <v>3091.5</v>
      </c>
      <c r="W47" s="1">
        <v>13571.1</v>
      </c>
      <c r="X47" s="1">
        <v>600.08000000000004</v>
      </c>
      <c r="Y47" s="1">
        <v>600</v>
      </c>
      <c r="Z47" s="1">
        <v>211961.9</v>
      </c>
      <c r="AA47" s="1">
        <v>26.16</v>
      </c>
    </row>
    <row r="48" spans="1:27" x14ac:dyDescent="0.4">
      <c r="A48" s="1" t="s">
        <v>26</v>
      </c>
      <c r="B48" s="1">
        <v>2000</v>
      </c>
      <c r="C48" s="1">
        <v>0.2</v>
      </c>
      <c r="D48" s="1">
        <v>0.5</v>
      </c>
      <c r="E48" s="1">
        <v>1000</v>
      </c>
      <c r="F48" s="1">
        <v>3</v>
      </c>
      <c r="G48" s="1">
        <v>2</v>
      </c>
      <c r="H48" s="1" t="s">
        <v>580</v>
      </c>
      <c r="I48" s="1">
        <v>287067.8</v>
      </c>
      <c r="J48" s="1">
        <v>115740.2</v>
      </c>
      <c r="K48" s="1">
        <v>171327.6</v>
      </c>
      <c r="L48" s="1">
        <v>600</v>
      </c>
      <c r="M48" s="1">
        <v>600.03</v>
      </c>
      <c r="N48" s="1">
        <v>78674.2</v>
      </c>
      <c r="O48" s="1">
        <v>116144.2</v>
      </c>
      <c r="P48" s="1">
        <v>194818.4</v>
      </c>
      <c r="Q48" s="1">
        <v>10498.7</v>
      </c>
      <c r="R48" s="1">
        <v>3129.7</v>
      </c>
      <c r="S48" s="1">
        <v>13628.4</v>
      </c>
      <c r="T48" s="1">
        <v>27.39</v>
      </c>
      <c r="U48" s="1">
        <v>0.13</v>
      </c>
      <c r="V48" s="1">
        <v>3022.5</v>
      </c>
      <c r="W48" s="1">
        <v>13521.2</v>
      </c>
      <c r="X48" s="1">
        <v>600.15</v>
      </c>
      <c r="Y48" s="1">
        <v>600</v>
      </c>
      <c r="Z48" s="1">
        <v>208339.6</v>
      </c>
      <c r="AA48" s="1">
        <v>27.42</v>
      </c>
    </row>
    <row r="49" spans="1:27" x14ac:dyDescent="0.4">
      <c r="A49" s="1" t="s">
        <v>26</v>
      </c>
      <c r="B49" s="1">
        <v>2000</v>
      </c>
      <c r="C49" s="1">
        <v>0.2</v>
      </c>
      <c r="D49" s="1">
        <v>0.5</v>
      </c>
      <c r="E49" s="1">
        <v>1000</v>
      </c>
      <c r="F49" s="1">
        <v>3</v>
      </c>
      <c r="G49" s="1">
        <v>2</v>
      </c>
      <c r="H49" s="1" t="s">
        <v>15</v>
      </c>
      <c r="I49" s="1">
        <v>287067.8</v>
      </c>
      <c r="J49" s="1">
        <v>115740.2</v>
      </c>
      <c r="K49" s="1">
        <v>171327.6</v>
      </c>
      <c r="L49" s="1">
        <v>600</v>
      </c>
      <c r="M49" s="1">
        <v>600.38</v>
      </c>
      <c r="N49" s="1">
        <v>77872.2</v>
      </c>
      <c r="O49" s="1">
        <v>115476.4</v>
      </c>
      <c r="P49" s="1">
        <v>193348.6</v>
      </c>
      <c r="Q49" s="1">
        <v>10530.6</v>
      </c>
      <c r="R49" s="1">
        <v>3035.1</v>
      </c>
      <c r="S49" s="1">
        <v>13565.7</v>
      </c>
      <c r="T49" s="1">
        <v>27.92</v>
      </c>
      <c r="U49" s="1">
        <v>7.0000000000000007E-2</v>
      </c>
      <c r="V49" s="1">
        <v>2888.9</v>
      </c>
      <c r="W49" s="1">
        <v>13419.5</v>
      </c>
      <c r="X49" s="1">
        <v>600.45000000000005</v>
      </c>
      <c r="Y49" s="1">
        <v>600</v>
      </c>
      <c r="Z49" s="1">
        <v>206768.1</v>
      </c>
      <c r="AA49" s="1">
        <v>27.97</v>
      </c>
    </row>
    <row r="50" spans="1:27" x14ac:dyDescent="0.4">
      <c r="A50" s="1" t="s">
        <v>27</v>
      </c>
      <c r="B50" s="1">
        <v>2000</v>
      </c>
      <c r="C50" s="1">
        <v>0.2</v>
      </c>
      <c r="D50" s="1">
        <v>0.5</v>
      </c>
      <c r="E50" s="1">
        <v>1000</v>
      </c>
      <c r="F50" s="1">
        <v>3</v>
      </c>
      <c r="G50" s="1">
        <v>3</v>
      </c>
      <c r="H50" s="1" t="s">
        <v>592</v>
      </c>
      <c r="I50" s="1">
        <v>275704.5</v>
      </c>
      <c r="J50" s="1">
        <v>112434.7</v>
      </c>
      <c r="K50" s="1">
        <v>163269.79999999999</v>
      </c>
      <c r="L50" s="1">
        <v>600</v>
      </c>
      <c r="M50" s="1">
        <v>601.04</v>
      </c>
      <c r="N50" s="1">
        <v>76063.100000000006</v>
      </c>
      <c r="O50" s="1">
        <v>112400.4</v>
      </c>
      <c r="P50" s="1">
        <v>188463.5</v>
      </c>
      <c r="Q50" s="1">
        <v>10554.7</v>
      </c>
      <c r="R50" s="1">
        <v>2719.5</v>
      </c>
      <c r="S50" s="1">
        <v>13274.2</v>
      </c>
      <c r="T50" s="1">
        <v>26.83</v>
      </c>
      <c r="U50" s="1">
        <v>0.06</v>
      </c>
      <c r="V50" s="1">
        <v>2696.2</v>
      </c>
      <c r="W50" s="1">
        <v>13250.9</v>
      </c>
      <c r="X50" s="1">
        <v>601.1</v>
      </c>
      <c r="Y50" s="1">
        <v>600</v>
      </c>
      <c r="Z50" s="1">
        <v>201714.4</v>
      </c>
      <c r="AA50" s="1">
        <v>26.84</v>
      </c>
    </row>
    <row r="51" spans="1:27" x14ac:dyDescent="0.4">
      <c r="A51" s="1" t="s">
        <v>27</v>
      </c>
      <c r="B51" s="1">
        <v>2000</v>
      </c>
      <c r="C51" s="1">
        <v>0.2</v>
      </c>
      <c r="D51" s="1">
        <v>0.5</v>
      </c>
      <c r="E51" s="1">
        <v>1000</v>
      </c>
      <c r="F51" s="1">
        <v>3</v>
      </c>
      <c r="G51" s="1">
        <v>3</v>
      </c>
      <c r="H51" s="1" t="s">
        <v>14</v>
      </c>
      <c r="I51" s="1">
        <v>275704.5</v>
      </c>
      <c r="J51" s="1">
        <v>112434.7</v>
      </c>
      <c r="K51" s="1">
        <v>163269.79999999999</v>
      </c>
      <c r="L51" s="1">
        <v>600</v>
      </c>
      <c r="M51" s="1">
        <v>600.01</v>
      </c>
      <c r="N51" s="1">
        <v>76580.899999999994</v>
      </c>
      <c r="O51" s="1">
        <v>115510.6</v>
      </c>
      <c r="P51" s="1">
        <v>192091.5</v>
      </c>
      <c r="Q51" s="1">
        <v>10585.2</v>
      </c>
      <c r="R51" s="1">
        <v>3107.9</v>
      </c>
      <c r="S51" s="1">
        <v>13693.1</v>
      </c>
      <c r="T51" s="1">
        <v>25.36</v>
      </c>
      <c r="U51" s="1">
        <v>0.11</v>
      </c>
      <c r="V51" s="1">
        <v>2995.8</v>
      </c>
      <c r="W51" s="1">
        <v>13581</v>
      </c>
      <c r="X51" s="1">
        <v>600.12</v>
      </c>
      <c r="Y51" s="1">
        <v>599</v>
      </c>
      <c r="Z51" s="1">
        <v>205672.5</v>
      </c>
      <c r="AA51" s="1">
        <v>25.4</v>
      </c>
    </row>
    <row r="52" spans="1:27" x14ac:dyDescent="0.4">
      <c r="A52" s="1" t="s">
        <v>27</v>
      </c>
      <c r="B52" s="1">
        <v>2000</v>
      </c>
      <c r="C52" s="1">
        <v>0.2</v>
      </c>
      <c r="D52" s="1">
        <v>0.5</v>
      </c>
      <c r="E52" s="1">
        <v>1000</v>
      </c>
      <c r="F52" s="1">
        <v>3</v>
      </c>
      <c r="G52" s="1">
        <v>3</v>
      </c>
      <c r="H52" s="1" t="s">
        <v>580</v>
      </c>
      <c r="I52" s="1">
        <v>275704.5</v>
      </c>
      <c r="J52" s="1">
        <v>112434.7</v>
      </c>
      <c r="K52" s="1">
        <v>163269.79999999999</v>
      </c>
      <c r="L52" s="1">
        <v>600</v>
      </c>
      <c r="M52" s="1">
        <v>600.9</v>
      </c>
      <c r="N52" s="1">
        <v>75727.199999999997</v>
      </c>
      <c r="O52" s="1">
        <v>112587</v>
      </c>
      <c r="P52" s="1">
        <v>188314.2</v>
      </c>
      <c r="Q52" s="1">
        <v>10592.8</v>
      </c>
      <c r="R52" s="1">
        <v>3105.9</v>
      </c>
      <c r="S52" s="1">
        <v>13698.7</v>
      </c>
      <c r="T52" s="1">
        <v>26.73</v>
      </c>
      <c r="U52" s="1">
        <v>0.11</v>
      </c>
      <c r="V52" s="1">
        <v>2931.1</v>
      </c>
      <c r="W52" s="1">
        <v>13523.9</v>
      </c>
      <c r="X52" s="1">
        <v>601.01</v>
      </c>
      <c r="Y52" s="1">
        <v>600</v>
      </c>
      <c r="Z52" s="1">
        <v>201838.1</v>
      </c>
      <c r="AA52" s="1">
        <v>26.79</v>
      </c>
    </row>
    <row r="53" spans="1:27" x14ac:dyDescent="0.4">
      <c r="A53" s="1" t="s">
        <v>27</v>
      </c>
      <c r="B53" s="1">
        <v>2000</v>
      </c>
      <c r="C53" s="1">
        <v>0.2</v>
      </c>
      <c r="D53" s="1">
        <v>0.5</v>
      </c>
      <c r="E53" s="1">
        <v>1000</v>
      </c>
      <c r="F53" s="1">
        <v>3</v>
      </c>
      <c r="G53" s="1">
        <v>3</v>
      </c>
      <c r="H53" s="1" t="s">
        <v>15</v>
      </c>
      <c r="I53" s="1">
        <v>275704.5</v>
      </c>
      <c r="J53" s="1">
        <v>112434.7</v>
      </c>
      <c r="K53" s="1">
        <v>163269.79999999999</v>
      </c>
      <c r="L53" s="1">
        <v>600</v>
      </c>
      <c r="M53" s="1">
        <v>600.75</v>
      </c>
      <c r="N53" s="1">
        <v>75934.3</v>
      </c>
      <c r="O53" s="1">
        <v>112821.9</v>
      </c>
      <c r="P53" s="1">
        <v>188756.2</v>
      </c>
      <c r="Q53" s="1">
        <v>10246.1</v>
      </c>
      <c r="R53" s="1">
        <v>2888</v>
      </c>
      <c r="S53" s="1">
        <v>13134.1</v>
      </c>
      <c r="T53" s="1">
        <v>26.77</v>
      </c>
      <c r="U53" s="1">
        <v>0.08</v>
      </c>
      <c r="V53" s="1">
        <v>2784.9</v>
      </c>
      <c r="W53" s="1">
        <v>13031</v>
      </c>
      <c r="X53" s="1">
        <v>600.83000000000004</v>
      </c>
      <c r="Y53" s="1">
        <v>600</v>
      </c>
      <c r="Z53" s="1">
        <v>201787.2</v>
      </c>
      <c r="AA53" s="1">
        <v>26.81</v>
      </c>
    </row>
    <row r="54" spans="1:27" x14ac:dyDescent="0.4">
      <c r="A54" s="1" t="s">
        <v>28</v>
      </c>
      <c r="B54" s="1">
        <v>2000</v>
      </c>
      <c r="C54" s="1">
        <v>0.2</v>
      </c>
      <c r="D54" s="1">
        <v>0.5</v>
      </c>
      <c r="E54" s="1">
        <v>1000</v>
      </c>
      <c r="F54" s="1">
        <v>3</v>
      </c>
      <c r="G54" s="1">
        <v>4</v>
      </c>
      <c r="H54" s="1" t="s">
        <v>592</v>
      </c>
      <c r="I54" s="1">
        <v>282330.5</v>
      </c>
      <c r="J54" s="1">
        <v>110718.7</v>
      </c>
      <c r="K54" s="1">
        <v>171611.8</v>
      </c>
      <c r="L54" s="1">
        <v>600</v>
      </c>
      <c r="M54" s="1">
        <v>600.20000000000005</v>
      </c>
      <c r="N54" s="1">
        <v>74548.800000000003</v>
      </c>
      <c r="O54" s="1">
        <v>116603.3</v>
      </c>
      <c r="P54" s="1">
        <v>191152.1</v>
      </c>
      <c r="Q54" s="1">
        <v>10706.1</v>
      </c>
      <c r="R54" s="1">
        <v>3026.5</v>
      </c>
      <c r="S54" s="1">
        <v>13732.6</v>
      </c>
      <c r="T54" s="1">
        <v>27.43</v>
      </c>
      <c r="U54" s="1">
        <v>7.0000000000000007E-2</v>
      </c>
      <c r="V54" s="1">
        <v>2998.1</v>
      </c>
      <c r="W54" s="1">
        <v>13704.2</v>
      </c>
      <c r="X54" s="1">
        <v>600.27</v>
      </c>
      <c r="Y54" s="1">
        <v>600</v>
      </c>
      <c r="Z54" s="1">
        <v>204856.3</v>
      </c>
      <c r="AA54" s="1">
        <v>27.44</v>
      </c>
    </row>
    <row r="55" spans="1:27" x14ac:dyDescent="0.4">
      <c r="A55" s="1" t="s">
        <v>28</v>
      </c>
      <c r="B55" s="1">
        <v>2000</v>
      </c>
      <c r="C55" s="1">
        <v>0.2</v>
      </c>
      <c r="D55" s="1">
        <v>0.5</v>
      </c>
      <c r="E55" s="1">
        <v>1000</v>
      </c>
      <c r="F55" s="1">
        <v>3</v>
      </c>
      <c r="G55" s="1">
        <v>4</v>
      </c>
      <c r="H55" s="1" t="s">
        <v>14</v>
      </c>
      <c r="I55" s="1">
        <v>282330.5</v>
      </c>
      <c r="J55" s="1">
        <v>110718.7</v>
      </c>
      <c r="K55" s="1">
        <v>171611.8</v>
      </c>
      <c r="L55" s="1">
        <v>600</v>
      </c>
      <c r="M55" s="1">
        <v>600.01</v>
      </c>
      <c r="N55" s="1">
        <v>76042.600000000006</v>
      </c>
      <c r="O55" s="1">
        <v>120216</v>
      </c>
      <c r="P55" s="1">
        <v>196258.6</v>
      </c>
      <c r="Q55" s="1">
        <v>10925.3</v>
      </c>
      <c r="R55" s="1">
        <v>3243</v>
      </c>
      <c r="S55" s="1">
        <v>14168.3</v>
      </c>
      <c r="T55" s="1">
        <v>25.47</v>
      </c>
      <c r="U55" s="1">
        <v>0.12</v>
      </c>
      <c r="V55" s="1">
        <v>3144.5</v>
      </c>
      <c r="W55" s="1">
        <v>14069.8</v>
      </c>
      <c r="X55" s="1">
        <v>600.13</v>
      </c>
      <c r="Y55" s="1">
        <v>600</v>
      </c>
      <c r="Z55" s="1">
        <v>210328.4</v>
      </c>
      <c r="AA55" s="1">
        <v>25.5</v>
      </c>
    </row>
    <row r="56" spans="1:27" x14ac:dyDescent="0.4">
      <c r="A56" s="1" t="s">
        <v>28</v>
      </c>
      <c r="B56" s="1">
        <v>2000</v>
      </c>
      <c r="C56" s="1">
        <v>0.2</v>
      </c>
      <c r="D56" s="1">
        <v>0.5</v>
      </c>
      <c r="E56" s="1">
        <v>1000</v>
      </c>
      <c r="F56" s="1">
        <v>3</v>
      </c>
      <c r="G56" s="1">
        <v>4</v>
      </c>
      <c r="H56" s="1" t="s">
        <v>580</v>
      </c>
      <c r="I56" s="1">
        <v>282330.5</v>
      </c>
      <c r="J56" s="1">
        <v>110718.7</v>
      </c>
      <c r="K56" s="1">
        <v>171611.8</v>
      </c>
      <c r="L56" s="1">
        <v>600</v>
      </c>
      <c r="M56" s="1">
        <v>600.55999999999995</v>
      </c>
      <c r="N56" s="1">
        <v>75155.199999999997</v>
      </c>
      <c r="O56" s="1">
        <v>118302.39999999999</v>
      </c>
      <c r="P56" s="1">
        <v>193457.6</v>
      </c>
      <c r="Q56" s="1">
        <v>10155.4</v>
      </c>
      <c r="R56" s="1">
        <v>3391.4</v>
      </c>
      <c r="S56" s="1">
        <v>13546.8</v>
      </c>
      <c r="T56" s="1">
        <v>26.68</v>
      </c>
      <c r="U56" s="1">
        <v>0.15</v>
      </c>
      <c r="V56" s="1">
        <v>3278.4</v>
      </c>
      <c r="W56" s="1">
        <v>13433.8</v>
      </c>
      <c r="X56" s="1">
        <v>600.71</v>
      </c>
      <c r="Y56" s="1">
        <v>600</v>
      </c>
      <c r="Z56" s="1">
        <v>206891.4</v>
      </c>
      <c r="AA56" s="1">
        <v>26.72</v>
      </c>
    </row>
    <row r="57" spans="1:27" x14ac:dyDescent="0.4">
      <c r="A57" s="1" t="s">
        <v>28</v>
      </c>
      <c r="B57" s="1">
        <v>2000</v>
      </c>
      <c r="C57" s="1">
        <v>0.2</v>
      </c>
      <c r="D57" s="1">
        <v>0.5</v>
      </c>
      <c r="E57" s="1">
        <v>1000</v>
      </c>
      <c r="F57" s="1">
        <v>3</v>
      </c>
      <c r="G57" s="1">
        <v>4</v>
      </c>
      <c r="H57" s="1" t="s">
        <v>15</v>
      </c>
      <c r="I57" s="1">
        <v>282330.5</v>
      </c>
      <c r="J57" s="1">
        <v>110718.7</v>
      </c>
      <c r="K57" s="1">
        <v>171611.8</v>
      </c>
      <c r="L57" s="1">
        <v>600</v>
      </c>
      <c r="M57" s="1">
        <v>600.17999999999995</v>
      </c>
      <c r="N57" s="1">
        <v>74516.7</v>
      </c>
      <c r="O57" s="1">
        <v>118192.5</v>
      </c>
      <c r="P57" s="1">
        <v>192709.2</v>
      </c>
      <c r="Q57" s="1">
        <v>10900</v>
      </c>
      <c r="R57" s="1">
        <v>3161.3</v>
      </c>
      <c r="S57" s="1">
        <v>14061.3</v>
      </c>
      <c r="T57" s="1">
        <v>26.76</v>
      </c>
      <c r="U57" s="1">
        <v>0.08</v>
      </c>
      <c r="V57" s="1">
        <v>3006.5</v>
      </c>
      <c r="W57" s="1">
        <v>13906.5</v>
      </c>
      <c r="X57" s="1">
        <v>600.26</v>
      </c>
      <c r="Y57" s="1">
        <v>600</v>
      </c>
      <c r="Z57" s="1">
        <v>206615.7</v>
      </c>
      <c r="AA57" s="1">
        <v>26.82</v>
      </c>
    </row>
    <row r="58" spans="1:27" x14ac:dyDescent="0.4">
      <c r="A58" s="1" t="s">
        <v>29</v>
      </c>
      <c r="B58" s="1">
        <v>2000</v>
      </c>
      <c r="C58" s="1">
        <v>0.2</v>
      </c>
      <c r="D58" s="1">
        <v>0.5</v>
      </c>
      <c r="E58" s="1">
        <v>1000</v>
      </c>
      <c r="F58" s="1">
        <v>3</v>
      </c>
      <c r="G58" s="1">
        <v>5</v>
      </c>
      <c r="H58" s="1" t="s">
        <v>592</v>
      </c>
      <c r="I58" s="1">
        <v>283217.40000000002</v>
      </c>
      <c r="J58" s="1">
        <v>112913.8</v>
      </c>
      <c r="K58" s="1">
        <v>170303.6</v>
      </c>
      <c r="L58" s="1">
        <v>600</v>
      </c>
      <c r="M58" s="1">
        <v>600.9</v>
      </c>
      <c r="N58" s="1">
        <v>74958.100000000006</v>
      </c>
      <c r="O58" s="1">
        <v>115186.4</v>
      </c>
      <c r="P58" s="1">
        <v>190144.5</v>
      </c>
      <c r="Q58" s="1">
        <v>10428.700000000001</v>
      </c>
      <c r="R58" s="1">
        <v>2786</v>
      </c>
      <c r="S58" s="1">
        <v>13214.7</v>
      </c>
      <c r="T58" s="1">
        <v>28.2</v>
      </c>
      <c r="U58" s="1">
        <v>0.06</v>
      </c>
      <c r="V58" s="1">
        <v>2784.6</v>
      </c>
      <c r="W58" s="1">
        <v>13213.3</v>
      </c>
      <c r="X58" s="1">
        <v>600.96</v>
      </c>
      <c r="Y58" s="1">
        <v>600</v>
      </c>
      <c r="Z58" s="1">
        <v>203357.8</v>
      </c>
      <c r="AA58" s="1">
        <v>28.2</v>
      </c>
    </row>
    <row r="59" spans="1:27" x14ac:dyDescent="0.4">
      <c r="A59" s="1" t="s">
        <v>29</v>
      </c>
      <c r="B59" s="1">
        <v>2000</v>
      </c>
      <c r="C59" s="1">
        <v>0.2</v>
      </c>
      <c r="D59" s="1">
        <v>0.5</v>
      </c>
      <c r="E59" s="1">
        <v>1000</v>
      </c>
      <c r="F59" s="1">
        <v>3</v>
      </c>
      <c r="G59" s="1">
        <v>5</v>
      </c>
      <c r="H59" s="1" t="s">
        <v>14</v>
      </c>
      <c r="I59" s="1">
        <v>283217.40000000002</v>
      </c>
      <c r="J59" s="1">
        <v>112913.8</v>
      </c>
      <c r="K59" s="1">
        <v>170303.6</v>
      </c>
      <c r="L59" s="1">
        <v>600</v>
      </c>
      <c r="M59" s="1">
        <v>600.01</v>
      </c>
      <c r="N59" s="1">
        <v>76826</v>
      </c>
      <c r="O59" s="1">
        <v>117409.3</v>
      </c>
      <c r="P59" s="1">
        <v>194235.3</v>
      </c>
      <c r="Q59" s="1">
        <v>10357.1</v>
      </c>
      <c r="R59" s="1">
        <v>3045.5</v>
      </c>
      <c r="S59" s="1">
        <v>13402.6</v>
      </c>
      <c r="T59" s="1">
        <v>26.69</v>
      </c>
      <c r="U59" s="1">
        <v>0.1</v>
      </c>
      <c r="V59" s="1">
        <v>2948.7</v>
      </c>
      <c r="W59" s="1">
        <v>13305.8</v>
      </c>
      <c r="X59" s="1">
        <v>600.11</v>
      </c>
      <c r="Y59" s="1">
        <v>600</v>
      </c>
      <c r="Z59" s="1">
        <v>207541.1</v>
      </c>
      <c r="AA59" s="1">
        <v>26.72</v>
      </c>
    </row>
    <row r="60" spans="1:27" x14ac:dyDescent="0.4">
      <c r="A60" s="1" t="s">
        <v>29</v>
      </c>
      <c r="B60" s="1">
        <v>2000</v>
      </c>
      <c r="C60" s="1">
        <v>0.2</v>
      </c>
      <c r="D60" s="1">
        <v>0.5</v>
      </c>
      <c r="E60" s="1">
        <v>1000</v>
      </c>
      <c r="F60" s="1">
        <v>3</v>
      </c>
      <c r="G60" s="1">
        <v>5</v>
      </c>
      <c r="H60" s="1" t="s">
        <v>580</v>
      </c>
      <c r="I60" s="1">
        <v>283217.40000000002</v>
      </c>
      <c r="J60" s="1">
        <v>112913.8</v>
      </c>
      <c r="K60" s="1">
        <v>170303.6</v>
      </c>
      <c r="L60" s="1">
        <v>600</v>
      </c>
      <c r="M60" s="1">
        <v>600.82000000000005</v>
      </c>
      <c r="N60" s="1">
        <v>75694.899999999994</v>
      </c>
      <c r="O60" s="1">
        <v>115608.7</v>
      </c>
      <c r="P60" s="1">
        <v>191303.6</v>
      </c>
      <c r="Q60" s="1">
        <v>10440.299999999999</v>
      </c>
      <c r="R60" s="1">
        <v>3465</v>
      </c>
      <c r="S60" s="1">
        <v>13905.3</v>
      </c>
      <c r="T60" s="1">
        <v>27.54</v>
      </c>
      <c r="U60" s="1">
        <v>0.19</v>
      </c>
      <c r="V60" s="1">
        <v>3263</v>
      </c>
      <c r="W60" s="1">
        <v>13703.3</v>
      </c>
      <c r="X60" s="1">
        <v>601.01</v>
      </c>
      <c r="Y60" s="1">
        <v>600</v>
      </c>
      <c r="Z60" s="1">
        <v>205006.9</v>
      </c>
      <c r="AA60" s="1">
        <v>27.62</v>
      </c>
    </row>
    <row r="61" spans="1:27" x14ac:dyDescent="0.4">
      <c r="A61" s="1" t="s">
        <v>29</v>
      </c>
      <c r="B61" s="1">
        <v>2000</v>
      </c>
      <c r="C61" s="1">
        <v>0.2</v>
      </c>
      <c r="D61" s="1">
        <v>0.5</v>
      </c>
      <c r="E61" s="1">
        <v>1000</v>
      </c>
      <c r="F61" s="1">
        <v>3</v>
      </c>
      <c r="G61" s="1">
        <v>5</v>
      </c>
      <c r="H61" s="1" t="s">
        <v>15</v>
      </c>
      <c r="I61" s="1">
        <v>283217.40000000002</v>
      </c>
      <c r="J61" s="1">
        <v>112913.8</v>
      </c>
      <c r="K61" s="1">
        <v>170303.6</v>
      </c>
      <c r="L61" s="1">
        <v>600</v>
      </c>
      <c r="M61" s="1">
        <v>600.03</v>
      </c>
      <c r="N61" s="1">
        <v>75032.3</v>
      </c>
      <c r="O61" s="1">
        <v>115915.7</v>
      </c>
      <c r="P61" s="1">
        <v>190948</v>
      </c>
      <c r="Q61" s="1">
        <v>11087.8</v>
      </c>
      <c r="R61" s="1">
        <v>2939.4</v>
      </c>
      <c r="S61" s="1">
        <v>14027.2</v>
      </c>
      <c r="T61" s="1">
        <v>27.63</v>
      </c>
      <c r="U61" s="1">
        <v>7.0000000000000007E-2</v>
      </c>
      <c r="V61" s="1">
        <v>2869.7</v>
      </c>
      <c r="W61" s="1">
        <v>13957.5</v>
      </c>
      <c r="X61" s="1">
        <v>600.1</v>
      </c>
      <c r="Y61" s="1">
        <v>600</v>
      </c>
      <c r="Z61" s="1">
        <v>204905.5</v>
      </c>
      <c r="AA61" s="1">
        <v>27.65</v>
      </c>
    </row>
    <row r="62" spans="1:27" x14ac:dyDescent="0.4">
      <c r="A62" s="1" t="s">
        <v>30</v>
      </c>
      <c r="B62" s="1">
        <v>2000</v>
      </c>
      <c r="C62" s="1">
        <v>0.3</v>
      </c>
      <c r="D62" s="1">
        <v>0.5</v>
      </c>
      <c r="E62" s="1">
        <v>1000</v>
      </c>
      <c r="F62" s="1">
        <v>1</v>
      </c>
      <c r="G62" s="1">
        <v>1</v>
      </c>
      <c r="H62" s="1" t="s">
        <v>592</v>
      </c>
      <c r="I62" s="1">
        <v>143469.20000000001</v>
      </c>
      <c r="J62" s="1">
        <v>56871.8</v>
      </c>
      <c r="K62" s="1">
        <v>86597.4</v>
      </c>
      <c r="L62" s="1">
        <v>600</v>
      </c>
      <c r="M62" s="1">
        <v>600.95000000000005</v>
      </c>
      <c r="N62" s="1">
        <v>35041.599999999999</v>
      </c>
      <c r="O62" s="1">
        <v>50103.6</v>
      </c>
      <c r="P62" s="1">
        <v>85145.2</v>
      </c>
      <c r="Q62" s="1">
        <v>11343.8</v>
      </c>
      <c r="R62" s="1">
        <v>4320.3999999999996</v>
      </c>
      <c r="S62" s="1">
        <v>15664.2</v>
      </c>
      <c r="T62" s="1">
        <v>29.73</v>
      </c>
      <c r="U62" s="1">
        <v>0.08</v>
      </c>
      <c r="V62" s="1">
        <v>4320.3999999999996</v>
      </c>
      <c r="W62" s="1">
        <v>15664.2</v>
      </c>
      <c r="X62" s="1">
        <v>601.03</v>
      </c>
      <c r="Y62" s="1">
        <v>600</v>
      </c>
      <c r="Z62" s="1">
        <v>100809.4</v>
      </c>
      <c r="AA62" s="1">
        <v>29.73</v>
      </c>
    </row>
    <row r="63" spans="1:27" x14ac:dyDescent="0.4">
      <c r="A63" s="1" t="s">
        <v>30</v>
      </c>
      <c r="B63" s="1">
        <v>2000</v>
      </c>
      <c r="C63" s="1">
        <v>0.3</v>
      </c>
      <c r="D63" s="1">
        <v>0.5</v>
      </c>
      <c r="E63" s="1">
        <v>1000</v>
      </c>
      <c r="F63" s="1">
        <v>1</v>
      </c>
      <c r="G63" s="1">
        <v>1</v>
      </c>
      <c r="H63" s="1" t="s">
        <v>14</v>
      </c>
      <c r="I63" s="1">
        <v>143469.20000000001</v>
      </c>
      <c r="J63" s="1">
        <v>56871.8</v>
      </c>
      <c r="K63" s="1">
        <v>86597.4</v>
      </c>
      <c r="L63" s="1">
        <v>600</v>
      </c>
      <c r="M63" s="1">
        <v>600</v>
      </c>
      <c r="N63" s="1">
        <v>34999.699999999997</v>
      </c>
      <c r="O63" s="1">
        <v>50660.800000000003</v>
      </c>
      <c r="P63" s="1">
        <v>85660.5</v>
      </c>
      <c r="Q63" s="1">
        <v>11326.1</v>
      </c>
      <c r="R63" s="1">
        <v>4806</v>
      </c>
      <c r="S63" s="1">
        <v>16132.1</v>
      </c>
      <c r="T63" s="1">
        <v>29.05</v>
      </c>
      <c r="U63" s="1">
        <v>0.14000000000000001</v>
      </c>
      <c r="V63" s="1">
        <v>4752</v>
      </c>
      <c r="W63" s="1">
        <v>16078.1</v>
      </c>
      <c r="X63" s="1">
        <v>600.14</v>
      </c>
      <c r="Y63" s="1">
        <v>600</v>
      </c>
      <c r="Z63" s="1">
        <v>101738.6</v>
      </c>
      <c r="AA63" s="1">
        <v>29.09</v>
      </c>
    </row>
    <row r="64" spans="1:27" x14ac:dyDescent="0.4">
      <c r="A64" s="1" t="s">
        <v>30</v>
      </c>
      <c r="B64" s="1">
        <v>2000</v>
      </c>
      <c r="C64" s="1">
        <v>0.3</v>
      </c>
      <c r="D64" s="1">
        <v>0.5</v>
      </c>
      <c r="E64" s="1">
        <v>1000</v>
      </c>
      <c r="F64" s="1">
        <v>1</v>
      </c>
      <c r="G64" s="1">
        <v>1</v>
      </c>
      <c r="H64" s="1" t="s">
        <v>580</v>
      </c>
      <c r="I64" s="1">
        <v>143469.20000000001</v>
      </c>
      <c r="J64" s="1">
        <v>56871.8</v>
      </c>
      <c r="K64" s="1">
        <v>86597.4</v>
      </c>
      <c r="L64" s="1">
        <v>600</v>
      </c>
      <c r="M64" s="1">
        <v>600.82000000000005</v>
      </c>
      <c r="N64" s="1">
        <v>35480</v>
      </c>
      <c r="O64" s="1">
        <v>50950.9</v>
      </c>
      <c r="P64" s="1">
        <v>86430.9</v>
      </c>
      <c r="Q64" s="1">
        <v>10817.8</v>
      </c>
      <c r="R64" s="1">
        <v>5320.6</v>
      </c>
      <c r="S64" s="1">
        <v>16138.4</v>
      </c>
      <c r="T64" s="1">
        <v>28.51</v>
      </c>
      <c r="U64" s="1">
        <v>0.26</v>
      </c>
      <c r="V64" s="1">
        <v>5198.3999999999996</v>
      </c>
      <c r="W64" s="1">
        <v>16016.2</v>
      </c>
      <c r="X64" s="1">
        <v>601.08000000000004</v>
      </c>
      <c r="Y64" s="1">
        <v>600</v>
      </c>
      <c r="Z64" s="1">
        <v>102447.1</v>
      </c>
      <c r="AA64" s="1">
        <v>28.59</v>
      </c>
    </row>
    <row r="65" spans="1:27" x14ac:dyDescent="0.4">
      <c r="A65" s="1" t="s">
        <v>30</v>
      </c>
      <c r="B65" s="1">
        <v>2000</v>
      </c>
      <c r="C65" s="1">
        <v>0.3</v>
      </c>
      <c r="D65" s="1">
        <v>0.5</v>
      </c>
      <c r="E65" s="1">
        <v>1000</v>
      </c>
      <c r="F65" s="1">
        <v>1</v>
      </c>
      <c r="G65" s="1">
        <v>1</v>
      </c>
      <c r="H65" s="1" t="s">
        <v>15</v>
      </c>
      <c r="I65" s="1">
        <v>143469.20000000001</v>
      </c>
      <c r="J65" s="1">
        <v>56871.8</v>
      </c>
      <c r="K65" s="1">
        <v>86597.4</v>
      </c>
      <c r="L65" s="1">
        <v>600</v>
      </c>
      <c r="M65" s="1">
        <v>600.9</v>
      </c>
      <c r="N65" s="1">
        <v>35013.599999999999</v>
      </c>
      <c r="O65" s="1">
        <v>51342.6</v>
      </c>
      <c r="P65" s="1">
        <v>86356.2</v>
      </c>
      <c r="Q65" s="1">
        <v>11217.5</v>
      </c>
      <c r="R65" s="1">
        <v>4297.7</v>
      </c>
      <c r="S65" s="1">
        <v>15515.2</v>
      </c>
      <c r="T65" s="1">
        <v>28.99</v>
      </c>
      <c r="U65" s="1">
        <v>0.13</v>
      </c>
      <c r="V65" s="1">
        <v>4237.3999999999996</v>
      </c>
      <c r="W65" s="1">
        <v>15454.9</v>
      </c>
      <c r="X65" s="1">
        <v>601.03</v>
      </c>
      <c r="Y65" s="1">
        <v>600</v>
      </c>
      <c r="Z65" s="1">
        <v>101811.1</v>
      </c>
      <c r="AA65" s="1">
        <v>29.04</v>
      </c>
    </row>
    <row r="66" spans="1:27" x14ac:dyDescent="0.4">
      <c r="A66" s="1" t="s">
        <v>31</v>
      </c>
      <c r="B66" s="1">
        <v>2000</v>
      </c>
      <c r="C66" s="1">
        <v>0.3</v>
      </c>
      <c r="D66" s="1">
        <v>0.5</v>
      </c>
      <c r="E66" s="1">
        <v>1000</v>
      </c>
      <c r="F66" s="1">
        <v>1</v>
      </c>
      <c r="G66" s="1">
        <v>2</v>
      </c>
      <c r="H66" s="1" t="s">
        <v>592</v>
      </c>
      <c r="I66" s="1">
        <v>151717.5</v>
      </c>
      <c r="J66" s="1">
        <v>60829.1</v>
      </c>
      <c r="K66" s="1">
        <v>90888.4</v>
      </c>
      <c r="L66" s="1">
        <v>600</v>
      </c>
      <c r="M66" s="1">
        <v>600.79</v>
      </c>
      <c r="N66" s="1">
        <v>35030.400000000001</v>
      </c>
      <c r="O66" s="1">
        <v>52100.4</v>
      </c>
      <c r="P66" s="1">
        <v>87130.8</v>
      </c>
      <c r="Q66" s="1">
        <v>12010.8</v>
      </c>
      <c r="R66" s="1">
        <v>4002.6</v>
      </c>
      <c r="S66" s="1">
        <v>16013.4</v>
      </c>
      <c r="T66" s="1">
        <v>32.020000000000003</v>
      </c>
      <c r="U66" s="1">
        <v>0.08</v>
      </c>
      <c r="V66" s="1">
        <v>3987.1</v>
      </c>
      <c r="W66" s="1">
        <v>15997.9</v>
      </c>
      <c r="X66" s="1">
        <v>600.87</v>
      </c>
      <c r="Y66" s="1">
        <v>600</v>
      </c>
      <c r="Z66" s="1">
        <v>103128.7</v>
      </c>
      <c r="AA66" s="1">
        <v>32.03</v>
      </c>
    </row>
    <row r="67" spans="1:27" x14ac:dyDescent="0.4">
      <c r="A67" s="1" t="s">
        <v>31</v>
      </c>
      <c r="B67" s="1">
        <v>2000</v>
      </c>
      <c r="C67" s="1">
        <v>0.3</v>
      </c>
      <c r="D67" s="1">
        <v>0.5</v>
      </c>
      <c r="E67" s="1">
        <v>1000</v>
      </c>
      <c r="F67" s="1">
        <v>1</v>
      </c>
      <c r="G67" s="1">
        <v>2</v>
      </c>
      <c r="H67" s="1" t="s">
        <v>14</v>
      </c>
      <c r="I67" s="1">
        <v>151717.5</v>
      </c>
      <c r="J67" s="1">
        <v>60829.1</v>
      </c>
      <c r="K67" s="1">
        <v>90888.4</v>
      </c>
      <c r="L67" s="1">
        <v>600</v>
      </c>
      <c r="M67" s="1">
        <v>600.01</v>
      </c>
      <c r="N67" s="1">
        <v>35196.800000000003</v>
      </c>
      <c r="O67" s="1">
        <v>52782.400000000001</v>
      </c>
      <c r="P67" s="1">
        <v>87979.199999999997</v>
      </c>
      <c r="Q67" s="1">
        <v>12032.6</v>
      </c>
      <c r="R67" s="1">
        <v>4623.3</v>
      </c>
      <c r="S67" s="1">
        <v>16655.900000000001</v>
      </c>
      <c r="T67" s="1">
        <v>31.03</v>
      </c>
      <c r="U67" s="1">
        <v>0.11</v>
      </c>
      <c r="V67" s="1">
        <v>4587.6000000000004</v>
      </c>
      <c r="W67" s="1">
        <v>16620.2</v>
      </c>
      <c r="X67" s="1">
        <v>600.11</v>
      </c>
      <c r="Y67" s="1">
        <v>599</v>
      </c>
      <c r="Z67" s="1">
        <v>104599.4</v>
      </c>
      <c r="AA67" s="1">
        <v>31.06</v>
      </c>
    </row>
    <row r="68" spans="1:27" x14ac:dyDescent="0.4">
      <c r="A68" s="1" t="s">
        <v>31</v>
      </c>
      <c r="B68" s="1">
        <v>2000</v>
      </c>
      <c r="C68" s="1">
        <v>0.3</v>
      </c>
      <c r="D68" s="1">
        <v>0.5</v>
      </c>
      <c r="E68" s="1">
        <v>1000</v>
      </c>
      <c r="F68" s="1">
        <v>1</v>
      </c>
      <c r="G68" s="1">
        <v>2</v>
      </c>
      <c r="H68" s="1" t="s">
        <v>580</v>
      </c>
      <c r="I68" s="1">
        <v>151717.5</v>
      </c>
      <c r="J68" s="1">
        <v>60829.1</v>
      </c>
      <c r="K68" s="1">
        <v>90888.4</v>
      </c>
      <c r="L68" s="1">
        <v>600</v>
      </c>
      <c r="M68" s="1">
        <v>600.36</v>
      </c>
      <c r="N68" s="1">
        <v>35812.9</v>
      </c>
      <c r="O68" s="1">
        <v>53005.2</v>
      </c>
      <c r="P68" s="1">
        <v>88818.1</v>
      </c>
      <c r="Q68" s="1">
        <v>10810.3</v>
      </c>
      <c r="R68" s="1">
        <v>5217.3999999999996</v>
      </c>
      <c r="S68" s="1">
        <v>16027.7</v>
      </c>
      <c r="T68" s="1">
        <v>30.89</v>
      </c>
      <c r="U68" s="1">
        <v>0.25</v>
      </c>
      <c r="V68" s="1">
        <v>5159.8999999999996</v>
      </c>
      <c r="W68" s="1">
        <v>15970.2</v>
      </c>
      <c r="X68" s="1">
        <v>600.62</v>
      </c>
      <c r="Y68" s="1">
        <v>600</v>
      </c>
      <c r="Z68" s="1">
        <v>104788.3</v>
      </c>
      <c r="AA68" s="1">
        <v>30.93</v>
      </c>
    </row>
    <row r="69" spans="1:27" x14ac:dyDescent="0.4">
      <c r="A69" s="1" t="s">
        <v>31</v>
      </c>
      <c r="B69" s="1">
        <v>2000</v>
      </c>
      <c r="C69" s="1">
        <v>0.3</v>
      </c>
      <c r="D69" s="1">
        <v>0.5</v>
      </c>
      <c r="E69" s="1">
        <v>1000</v>
      </c>
      <c r="F69" s="1">
        <v>1</v>
      </c>
      <c r="G69" s="1">
        <v>2</v>
      </c>
      <c r="H69" s="1" t="s">
        <v>15</v>
      </c>
      <c r="I69" s="1">
        <v>151717.5</v>
      </c>
      <c r="J69" s="1">
        <v>60829.1</v>
      </c>
      <c r="K69" s="1">
        <v>90888.4</v>
      </c>
      <c r="L69" s="1">
        <v>600</v>
      </c>
      <c r="M69" s="1">
        <v>600.71</v>
      </c>
      <c r="N69" s="1">
        <v>35728.6</v>
      </c>
      <c r="O69" s="1">
        <v>53069.2</v>
      </c>
      <c r="P69" s="1">
        <v>88797.8</v>
      </c>
      <c r="Q69" s="1">
        <v>11787.3</v>
      </c>
      <c r="R69" s="1">
        <v>3928.9</v>
      </c>
      <c r="S69" s="1">
        <v>15716.2</v>
      </c>
      <c r="T69" s="1">
        <v>31.11</v>
      </c>
      <c r="U69" s="1">
        <v>7.0000000000000007E-2</v>
      </c>
      <c r="V69" s="1">
        <v>3859.4</v>
      </c>
      <c r="W69" s="1">
        <v>15646.7</v>
      </c>
      <c r="X69" s="1">
        <v>600.79</v>
      </c>
      <c r="Y69" s="1">
        <v>598</v>
      </c>
      <c r="Z69" s="1">
        <v>104444.5</v>
      </c>
      <c r="AA69" s="1">
        <v>31.16</v>
      </c>
    </row>
    <row r="70" spans="1:27" x14ac:dyDescent="0.4">
      <c r="A70" s="1" t="s">
        <v>32</v>
      </c>
      <c r="B70" s="1">
        <v>2000</v>
      </c>
      <c r="C70" s="1">
        <v>0.3</v>
      </c>
      <c r="D70" s="1">
        <v>0.5</v>
      </c>
      <c r="E70" s="1">
        <v>1000</v>
      </c>
      <c r="F70" s="1">
        <v>1</v>
      </c>
      <c r="G70" s="1">
        <v>3</v>
      </c>
      <c r="H70" s="1" t="s">
        <v>592</v>
      </c>
      <c r="I70" s="1">
        <v>147202.29999999999</v>
      </c>
      <c r="J70" s="1">
        <v>59853.2</v>
      </c>
      <c r="K70" s="1">
        <v>87349.1</v>
      </c>
      <c r="L70" s="1">
        <v>600</v>
      </c>
      <c r="M70" s="1">
        <v>601.19000000000005</v>
      </c>
      <c r="N70" s="1">
        <v>35288.6</v>
      </c>
      <c r="O70" s="1">
        <v>49628.2</v>
      </c>
      <c r="P70" s="1">
        <v>84916.800000000003</v>
      </c>
      <c r="Q70" s="1">
        <v>11606.2</v>
      </c>
      <c r="R70" s="1">
        <v>4165.3</v>
      </c>
      <c r="S70" s="1">
        <v>15771.5</v>
      </c>
      <c r="T70" s="1">
        <v>31.6</v>
      </c>
      <c r="U70" s="1">
        <v>0.08</v>
      </c>
      <c r="V70" s="1">
        <v>4156.2</v>
      </c>
      <c r="W70" s="1">
        <v>15762.4</v>
      </c>
      <c r="X70" s="1">
        <v>601.27</v>
      </c>
      <c r="Y70" s="1">
        <v>600</v>
      </c>
      <c r="Z70" s="1">
        <v>100679.2</v>
      </c>
      <c r="AA70" s="1">
        <v>31.6</v>
      </c>
    </row>
    <row r="71" spans="1:27" x14ac:dyDescent="0.4">
      <c r="A71" s="1" t="s">
        <v>32</v>
      </c>
      <c r="B71" s="1">
        <v>2000</v>
      </c>
      <c r="C71" s="1">
        <v>0.3</v>
      </c>
      <c r="D71" s="1">
        <v>0.5</v>
      </c>
      <c r="E71" s="1">
        <v>1000</v>
      </c>
      <c r="F71" s="1">
        <v>1</v>
      </c>
      <c r="G71" s="1">
        <v>3</v>
      </c>
      <c r="H71" s="1" t="s">
        <v>14</v>
      </c>
      <c r="I71" s="1">
        <v>147202.29999999999</v>
      </c>
      <c r="J71" s="1">
        <v>59853.2</v>
      </c>
      <c r="K71" s="1">
        <v>87349.1</v>
      </c>
      <c r="L71" s="1">
        <v>600</v>
      </c>
      <c r="M71" s="1">
        <v>600</v>
      </c>
      <c r="N71" s="1">
        <v>35528.9</v>
      </c>
      <c r="O71" s="1">
        <v>49784.2</v>
      </c>
      <c r="P71" s="1">
        <v>85313.1</v>
      </c>
      <c r="Q71" s="1">
        <v>11725</v>
      </c>
      <c r="R71" s="1">
        <v>4506</v>
      </c>
      <c r="S71" s="1">
        <v>16231</v>
      </c>
      <c r="T71" s="1">
        <v>31.02</v>
      </c>
      <c r="U71" s="1">
        <v>0.13</v>
      </c>
      <c r="V71" s="1">
        <v>4446.2</v>
      </c>
      <c r="W71" s="1">
        <v>16171.2</v>
      </c>
      <c r="X71" s="1">
        <v>600.13</v>
      </c>
      <c r="Y71" s="1">
        <v>600</v>
      </c>
      <c r="Z71" s="1">
        <v>101484.3</v>
      </c>
      <c r="AA71" s="1">
        <v>31.06</v>
      </c>
    </row>
    <row r="72" spans="1:27" x14ac:dyDescent="0.4">
      <c r="A72" s="1" t="s">
        <v>32</v>
      </c>
      <c r="B72" s="1">
        <v>2000</v>
      </c>
      <c r="C72" s="1">
        <v>0.3</v>
      </c>
      <c r="D72" s="1">
        <v>0.5</v>
      </c>
      <c r="E72" s="1">
        <v>1000</v>
      </c>
      <c r="F72" s="1">
        <v>1</v>
      </c>
      <c r="G72" s="1">
        <v>3</v>
      </c>
      <c r="H72" s="1" t="s">
        <v>580</v>
      </c>
      <c r="I72" s="1">
        <v>147202.29999999999</v>
      </c>
      <c r="J72" s="1">
        <v>59853.2</v>
      </c>
      <c r="K72" s="1">
        <v>87349.1</v>
      </c>
      <c r="L72" s="1">
        <v>600</v>
      </c>
      <c r="M72" s="1">
        <v>600.45000000000005</v>
      </c>
      <c r="N72" s="1">
        <v>35852.699999999997</v>
      </c>
      <c r="O72" s="1">
        <v>50068.800000000003</v>
      </c>
      <c r="P72" s="1">
        <v>85921.5</v>
      </c>
      <c r="Q72" s="1">
        <v>10551</v>
      </c>
      <c r="R72" s="1">
        <v>5410.8</v>
      </c>
      <c r="S72" s="1">
        <v>15961.8</v>
      </c>
      <c r="T72" s="1">
        <v>30.79</v>
      </c>
      <c r="U72" s="1">
        <v>0.32</v>
      </c>
      <c r="V72" s="1">
        <v>5387.8</v>
      </c>
      <c r="W72" s="1">
        <v>15938.8</v>
      </c>
      <c r="X72" s="1">
        <v>600.76</v>
      </c>
      <c r="Y72" s="1">
        <v>599</v>
      </c>
      <c r="Z72" s="1">
        <v>101860.3</v>
      </c>
      <c r="AA72" s="1">
        <v>30.8</v>
      </c>
    </row>
    <row r="73" spans="1:27" x14ac:dyDescent="0.4">
      <c r="A73" s="1" t="s">
        <v>32</v>
      </c>
      <c r="B73" s="1">
        <v>2000</v>
      </c>
      <c r="C73" s="1">
        <v>0.3</v>
      </c>
      <c r="D73" s="1">
        <v>0.5</v>
      </c>
      <c r="E73" s="1">
        <v>1000</v>
      </c>
      <c r="F73" s="1">
        <v>1</v>
      </c>
      <c r="G73" s="1">
        <v>3</v>
      </c>
      <c r="H73" s="1" t="s">
        <v>15</v>
      </c>
      <c r="I73" s="1">
        <v>147202.29999999999</v>
      </c>
      <c r="J73" s="1">
        <v>59853.2</v>
      </c>
      <c r="K73" s="1">
        <v>87349.1</v>
      </c>
      <c r="L73" s="1">
        <v>600</v>
      </c>
      <c r="M73" s="1">
        <v>600.62</v>
      </c>
      <c r="N73" s="1">
        <v>35849.199999999997</v>
      </c>
      <c r="O73" s="1">
        <v>49761.2</v>
      </c>
      <c r="P73" s="1">
        <v>85610.4</v>
      </c>
      <c r="Q73" s="1">
        <v>11720.2</v>
      </c>
      <c r="R73" s="1">
        <v>4038.1</v>
      </c>
      <c r="S73" s="1">
        <v>15758.3</v>
      </c>
      <c r="T73" s="1">
        <v>31.14</v>
      </c>
      <c r="U73" s="1">
        <v>0.08</v>
      </c>
      <c r="V73" s="1">
        <v>4002.4</v>
      </c>
      <c r="W73" s="1">
        <v>15722.6</v>
      </c>
      <c r="X73" s="1">
        <v>600.70000000000005</v>
      </c>
      <c r="Y73" s="1">
        <v>600</v>
      </c>
      <c r="Z73" s="1">
        <v>101333</v>
      </c>
      <c r="AA73" s="1">
        <v>31.16</v>
      </c>
    </row>
    <row r="74" spans="1:27" x14ac:dyDescent="0.4">
      <c r="A74" s="1" t="s">
        <v>33</v>
      </c>
      <c r="B74" s="1">
        <v>2000</v>
      </c>
      <c r="C74" s="1">
        <v>0.3</v>
      </c>
      <c r="D74" s="1">
        <v>0.5</v>
      </c>
      <c r="E74" s="1">
        <v>1000</v>
      </c>
      <c r="F74" s="1">
        <v>1</v>
      </c>
      <c r="G74" s="1">
        <v>4</v>
      </c>
      <c r="H74" s="1" t="s">
        <v>592</v>
      </c>
      <c r="I74" s="1">
        <v>144352.9</v>
      </c>
      <c r="J74" s="1">
        <v>59480.4</v>
      </c>
      <c r="K74" s="1">
        <v>84872.5</v>
      </c>
      <c r="L74" s="1">
        <v>600</v>
      </c>
      <c r="M74" s="1">
        <v>600.79999999999995</v>
      </c>
      <c r="N74" s="1">
        <v>34828.199999999997</v>
      </c>
      <c r="O74" s="1">
        <v>48580</v>
      </c>
      <c r="P74" s="1">
        <v>83408.2</v>
      </c>
      <c r="Q74" s="1">
        <v>11937.9</v>
      </c>
      <c r="R74" s="1">
        <v>4233.2</v>
      </c>
      <c r="S74" s="1">
        <v>16171.1</v>
      </c>
      <c r="T74" s="1">
        <v>31.02</v>
      </c>
      <c r="U74" s="1">
        <v>0.09</v>
      </c>
      <c r="V74" s="1">
        <v>4226.8</v>
      </c>
      <c r="W74" s="1">
        <v>16164.7</v>
      </c>
      <c r="X74" s="1">
        <v>600.9</v>
      </c>
      <c r="Y74" s="1">
        <v>600</v>
      </c>
      <c r="Z74" s="1">
        <v>99572.9</v>
      </c>
      <c r="AA74" s="1">
        <v>31.02</v>
      </c>
    </row>
    <row r="75" spans="1:27" x14ac:dyDescent="0.4">
      <c r="A75" s="1" t="s">
        <v>33</v>
      </c>
      <c r="B75" s="1">
        <v>2000</v>
      </c>
      <c r="C75" s="1">
        <v>0.3</v>
      </c>
      <c r="D75" s="1">
        <v>0.5</v>
      </c>
      <c r="E75" s="1">
        <v>1000</v>
      </c>
      <c r="F75" s="1">
        <v>1</v>
      </c>
      <c r="G75" s="1">
        <v>4</v>
      </c>
      <c r="H75" s="1" t="s">
        <v>14</v>
      </c>
      <c r="I75" s="1">
        <v>144352.9</v>
      </c>
      <c r="J75" s="1">
        <v>59480.4</v>
      </c>
      <c r="K75" s="1">
        <v>84872.5</v>
      </c>
      <c r="L75" s="1">
        <v>600</v>
      </c>
      <c r="M75" s="1">
        <v>600.01</v>
      </c>
      <c r="N75" s="1">
        <v>34801.5</v>
      </c>
      <c r="O75" s="1">
        <v>49091.5</v>
      </c>
      <c r="P75" s="1">
        <v>83893</v>
      </c>
      <c r="Q75" s="1">
        <v>11694.7</v>
      </c>
      <c r="R75" s="1">
        <v>4742.2</v>
      </c>
      <c r="S75" s="1">
        <v>16436.900000000001</v>
      </c>
      <c r="T75" s="1">
        <v>30.5</v>
      </c>
      <c r="U75" s="1">
        <v>0.11</v>
      </c>
      <c r="V75" s="1">
        <v>4705</v>
      </c>
      <c r="W75" s="1">
        <v>16399.7</v>
      </c>
      <c r="X75" s="1">
        <v>600.12</v>
      </c>
      <c r="Y75" s="1">
        <v>600</v>
      </c>
      <c r="Z75" s="1">
        <v>100292.7</v>
      </c>
      <c r="AA75" s="1">
        <v>30.52</v>
      </c>
    </row>
    <row r="76" spans="1:27" x14ac:dyDescent="0.4">
      <c r="A76" s="1" t="s">
        <v>33</v>
      </c>
      <c r="B76" s="1">
        <v>2000</v>
      </c>
      <c r="C76" s="1">
        <v>0.3</v>
      </c>
      <c r="D76" s="1">
        <v>0.5</v>
      </c>
      <c r="E76" s="1">
        <v>1000</v>
      </c>
      <c r="F76" s="1">
        <v>1</v>
      </c>
      <c r="G76" s="1">
        <v>4</v>
      </c>
      <c r="H76" s="1" t="s">
        <v>580</v>
      </c>
      <c r="I76" s="1">
        <v>144352.9</v>
      </c>
      <c r="J76" s="1">
        <v>59480.4</v>
      </c>
      <c r="K76" s="1">
        <v>84872.5</v>
      </c>
      <c r="L76" s="1">
        <v>600</v>
      </c>
      <c r="M76" s="1">
        <v>600.27</v>
      </c>
      <c r="N76" s="1">
        <v>35269.699999999997</v>
      </c>
      <c r="O76" s="1">
        <v>49307.5</v>
      </c>
      <c r="P76" s="1">
        <v>84577.2</v>
      </c>
      <c r="Q76" s="1">
        <v>10696.6</v>
      </c>
      <c r="R76" s="1">
        <v>5271.7</v>
      </c>
      <c r="S76" s="1">
        <v>15968.3</v>
      </c>
      <c r="T76" s="1">
        <v>30.35</v>
      </c>
      <c r="U76" s="1">
        <v>0.38</v>
      </c>
      <c r="V76" s="1">
        <v>5179.3</v>
      </c>
      <c r="W76" s="1">
        <v>15875.9</v>
      </c>
      <c r="X76" s="1">
        <v>600.64</v>
      </c>
      <c r="Y76" s="1">
        <v>600</v>
      </c>
      <c r="Z76" s="1">
        <v>100453.1</v>
      </c>
      <c r="AA76" s="1">
        <v>30.41</v>
      </c>
    </row>
    <row r="77" spans="1:27" x14ac:dyDescent="0.4">
      <c r="A77" s="1" t="s">
        <v>33</v>
      </c>
      <c r="B77" s="1">
        <v>2000</v>
      </c>
      <c r="C77" s="1">
        <v>0.3</v>
      </c>
      <c r="D77" s="1">
        <v>0.5</v>
      </c>
      <c r="E77" s="1">
        <v>1000</v>
      </c>
      <c r="F77" s="1">
        <v>1</v>
      </c>
      <c r="G77" s="1">
        <v>4</v>
      </c>
      <c r="H77" s="1" t="s">
        <v>15</v>
      </c>
      <c r="I77" s="1">
        <v>144352.9</v>
      </c>
      <c r="J77" s="1">
        <v>59480.4</v>
      </c>
      <c r="K77" s="1">
        <v>84872.5</v>
      </c>
      <c r="L77" s="1">
        <v>600</v>
      </c>
      <c r="M77" s="1">
        <v>600.21</v>
      </c>
      <c r="N77" s="1">
        <v>34904.699999999997</v>
      </c>
      <c r="O77" s="1">
        <v>49200</v>
      </c>
      <c r="P77" s="1">
        <v>84104.7</v>
      </c>
      <c r="Q77" s="1">
        <v>11811.2</v>
      </c>
      <c r="R77" s="1">
        <v>4181.6000000000004</v>
      </c>
      <c r="S77" s="1">
        <v>15992.8</v>
      </c>
      <c r="T77" s="1">
        <v>30.66</v>
      </c>
      <c r="U77" s="1">
        <v>0.08</v>
      </c>
      <c r="V77" s="1">
        <v>4155</v>
      </c>
      <c r="W77" s="1">
        <v>15966.2</v>
      </c>
      <c r="X77" s="1">
        <v>600.29</v>
      </c>
      <c r="Y77" s="1">
        <v>600</v>
      </c>
      <c r="Z77" s="1">
        <v>100070.9</v>
      </c>
      <c r="AA77" s="1">
        <v>30.68</v>
      </c>
    </row>
    <row r="78" spans="1:27" x14ac:dyDescent="0.4">
      <c r="A78" s="1" t="s">
        <v>34</v>
      </c>
      <c r="B78" s="1">
        <v>2000</v>
      </c>
      <c r="C78" s="1">
        <v>0.3</v>
      </c>
      <c r="D78" s="1">
        <v>0.5</v>
      </c>
      <c r="E78" s="1">
        <v>1000</v>
      </c>
      <c r="F78" s="1">
        <v>1</v>
      </c>
      <c r="G78" s="1">
        <v>5</v>
      </c>
      <c r="H78" s="1" t="s">
        <v>592</v>
      </c>
      <c r="I78" s="1">
        <v>148278.39999999999</v>
      </c>
      <c r="J78" s="1">
        <v>59478.6</v>
      </c>
      <c r="K78" s="1">
        <v>88799.8</v>
      </c>
      <c r="L78" s="1">
        <v>600</v>
      </c>
      <c r="M78" s="1">
        <v>600.54</v>
      </c>
      <c r="N78" s="1">
        <v>35279.800000000003</v>
      </c>
      <c r="O78" s="1">
        <v>50552</v>
      </c>
      <c r="P78" s="1">
        <v>85831.8</v>
      </c>
      <c r="Q78" s="1">
        <v>11892.7</v>
      </c>
      <c r="R78" s="1">
        <v>4307.5</v>
      </c>
      <c r="S78" s="1">
        <v>16200.2</v>
      </c>
      <c r="T78" s="1">
        <v>31.19</v>
      </c>
      <c r="U78" s="1">
        <v>0.08</v>
      </c>
      <c r="V78" s="1">
        <v>4298.8999999999996</v>
      </c>
      <c r="W78" s="1">
        <v>16191.6</v>
      </c>
      <c r="X78" s="1">
        <v>600.62</v>
      </c>
      <c r="Y78" s="1">
        <v>600</v>
      </c>
      <c r="Z78" s="1">
        <v>102023.4</v>
      </c>
      <c r="AA78" s="1">
        <v>31.19</v>
      </c>
    </row>
    <row r="79" spans="1:27" x14ac:dyDescent="0.4">
      <c r="A79" s="1" t="s">
        <v>34</v>
      </c>
      <c r="B79" s="1">
        <v>2000</v>
      </c>
      <c r="C79" s="1">
        <v>0.3</v>
      </c>
      <c r="D79" s="1">
        <v>0.5</v>
      </c>
      <c r="E79" s="1">
        <v>1000</v>
      </c>
      <c r="F79" s="1">
        <v>1</v>
      </c>
      <c r="G79" s="1">
        <v>5</v>
      </c>
      <c r="H79" s="1" t="s">
        <v>14</v>
      </c>
      <c r="I79" s="1">
        <v>148278.39999999999</v>
      </c>
      <c r="J79" s="1">
        <v>59478.6</v>
      </c>
      <c r="K79" s="1">
        <v>88799.8</v>
      </c>
      <c r="L79" s="1">
        <v>600</v>
      </c>
      <c r="M79" s="1">
        <v>600.01</v>
      </c>
      <c r="N79" s="1">
        <v>35124.5</v>
      </c>
      <c r="O79" s="1">
        <v>50581.5</v>
      </c>
      <c r="P79" s="1">
        <v>85706</v>
      </c>
      <c r="Q79" s="1">
        <v>11830.6</v>
      </c>
      <c r="R79" s="1">
        <v>4932.5</v>
      </c>
      <c r="S79" s="1">
        <v>16763.099999999999</v>
      </c>
      <c r="T79" s="1">
        <v>30.89</v>
      </c>
      <c r="U79" s="1">
        <v>0.15</v>
      </c>
      <c r="V79" s="1">
        <v>4925</v>
      </c>
      <c r="W79" s="1">
        <v>16755.599999999999</v>
      </c>
      <c r="X79" s="1">
        <v>600.16</v>
      </c>
      <c r="Y79" s="1">
        <v>600</v>
      </c>
      <c r="Z79" s="1">
        <v>102461.6</v>
      </c>
      <c r="AA79" s="1">
        <v>30.9</v>
      </c>
    </row>
    <row r="80" spans="1:27" x14ac:dyDescent="0.4">
      <c r="A80" s="1" t="s">
        <v>34</v>
      </c>
      <c r="B80" s="1">
        <v>2000</v>
      </c>
      <c r="C80" s="1">
        <v>0.3</v>
      </c>
      <c r="D80" s="1">
        <v>0.5</v>
      </c>
      <c r="E80" s="1">
        <v>1000</v>
      </c>
      <c r="F80" s="1">
        <v>1</v>
      </c>
      <c r="G80" s="1">
        <v>5</v>
      </c>
      <c r="H80" s="1" t="s">
        <v>580</v>
      </c>
      <c r="I80" s="1">
        <v>148278.39999999999</v>
      </c>
      <c r="J80" s="1">
        <v>59478.6</v>
      </c>
      <c r="K80" s="1">
        <v>88799.8</v>
      </c>
      <c r="L80" s="1">
        <v>600</v>
      </c>
      <c r="M80" s="1">
        <v>600.89</v>
      </c>
      <c r="N80" s="1">
        <v>35415</v>
      </c>
      <c r="O80" s="1">
        <v>51286.3</v>
      </c>
      <c r="P80" s="1">
        <v>86701.3</v>
      </c>
      <c r="Q80" s="1">
        <v>10636.3</v>
      </c>
      <c r="R80" s="1">
        <v>5550.3</v>
      </c>
      <c r="S80" s="1">
        <v>16186.6</v>
      </c>
      <c r="T80" s="1">
        <v>30.61</v>
      </c>
      <c r="U80" s="1">
        <v>0.24</v>
      </c>
      <c r="V80" s="1">
        <v>5463.3</v>
      </c>
      <c r="W80" s="1">
        <v>16099.6</v>
      </c>
      <c r="X80" s="1">
        <v>601.14</v>
      </c>
      <c r="Y80" s="1">
        <v>600</v>
      </c>
      <c r="Z80" s="1">
        <v>102800.9</v>
      </c>
      <c r="AA80" s="1">
        <v>30.67</v>
      </c>
    </row>
    <row r="81" spans="1:27" x14ac:dyDescent="0.4">
      <c r="A81" s="1" t="s">
        <v>34</v>
      </c>
      <c r="B81" s="1">
        <v>2000</v>
      </c>
      <c r="C81" s="1">
        <v>0.3</v>
      </c>
      <c r="D81" s="1">
        <v>0.5</v>
      </c>
      <c r="E81" s="1">
        <v>1000</v>
      </c>
      <c r="F81" s="1">
        <v>1</v>
      </c>
      <c r="G81" s="1">
        <v>5</v>
      </c>
      <c r="H81" s="1" t="s">
        <v>15</v>
      </c>
      <c r="I81" s="1">
        <v>148278.39999999999</v>
      </c>
      <c r="J81" s="1">
        <v>59478.6</v>
      </c>
      <c r="K81" s="1">
        <v>88799.8</v>
      </c>
      <c r="L81" s="1">
        <v>600</v>
      </c>
      <c r="M81" s="1">
        <v>600.1</v>
      </c>
      <c r="N81" s="1">
        <v>36216.699999999997</v>
      </c>
      <c r="O81" s="1">
        <v>51100.6</v>
      </c>
      <c r="P81" s="1">
        <v>87317.3</v>
      </c>
      <c r="Q81" s="1">
        <v>11607.2</v>
      </c>
      <c r="R81" s="1">
        <v>4188.1000000000004</v>
      </c>
      <c r="S81" s="1">
        <v>15795.3</v>
      </c>
      <c r="T81" s="1">
        <v>30.46</v>
      </c>
      <c r="U81" s="1">
        <v>0.08</v>
      </c>
      <c r="V81" s="1">
        <v>4082.2</v>
      </c>
      <c r="W81" s="1">
        <v>15689.4</v>
      </c>
      <c r="X81" s="1">
        <v>600.17999999999995</v>
      </c>
      <c r="Y81" s="1">
        <v>600</v>
      </c>
      <c r="Z81" s="1">
        <v>103006.7</v>
      </c>
      <c r="AA81" s="1">
        <v>30.53</v>
      </c>
    </row>
    <row r="82" spans="1:27" x14ac:dyDescent="0.4">
      <c r="A82" s="1" t="s">
        <v>35</v>
      </c>
      <c r="B82" s="1">
        <v>2000</v>
      </c>
      <c r="C82" s="1">
        <v>0.3</v>
      </c>
      <c r="D82" s="1">
        <v>0.5</v>
      </c>
      <c r="E82" s="1">
        <v>1000</v>
      </c>
      <c r="F82" s="1">
        <v>2</v>
      </c>
      <c r="G82" s="1">
        <v>1</v>
      </c>
      <c r="H82" s="1" t="s">
        <v>592</v>
      </c>
      <c r="I82" s="1">
        <v>226019.20000000001</v>
      </c>
      <c r="J82" s="1">
        <v>89595.9</v>
      </c>
      <c r="K82" s="1">
        <v>136423.29999999999</v>
      </c>
      <c r="L82" s="1">
        <v>600</v>
      </c>
      <c r="M82" s="1">
        <v>600.72</v>
      </c>
      <c r="N82" s="1">
        <v>55223.199999999997</v>
      </c>
      <c r="O82" s="1">
        <v>81688.399999999994</v>
      </c>
      <c r="P82" s="1">
        <v>136911.6</v>
      </c>
      <c r="Q82" s="1">
        <v>11288.8</v>
      </c>
      <c r="R82" s="1">
        <v>4246.1000000000004</v>
      </c>
      <c r="S82" s="1">
        <v>15534.9</v>
      </c>
      <c r="T82" s="1">
        <v>32.549999999999997</v>
      </c>
      <c r="U82" s="1">
        <v>0.11</v>
      </c>
      <c r="V82" s="1">
        <v>4246.1000000000004</v>
      </c>
      <c r="W82" s="1">
        <v>15534.9</v>
      </c>
      <c r="X82" s="1">
        <v>600.82000000000005</v>
      </c>
      <c r="Y82" s="1">
        <v>600</v>
      </c>
      <c r="Z82" s="1">
        <v>152446.5</v>
      </c>
      <c r="AA82" s="1">
        <v>32.549999999999997</v>
      </c>
    </row>
    <row r="83" spans="1:27" x14ac:dyDescent="0.4">
      <c r="A83" s="1" t="s">
        <v>35</v>
      </c>
      <c r="B83" s="1">
        <v>2000</v>
      </c>
      <c r="C83" s="1">
        <v>0.3</v>
      </c>
      <c r="D83" s="1">
        <v>0.5</v>
      </c>
      <c r="E83" s="1">
        <v>1000</v>
      </c>
      <c r="F83" s="1">
        <v>2</v>
      </c>
      <c r="G83" s="1">
        <v>1</v>
      </c>
      <c r="H83" s="1" t="s">
        <v>14</v>
      </c>
      <c r="I83" s="1">
        <v>226019.20000000001</v>
      </c>
      <c r="J83" s="1">
        <v>89595.9</v>
      </c>
      <c r="K83" s="1">
        <v>136423.29999999999</v>
      </c>
      <c r="L83" s="1">
        <v>600</v>
      </c>
      <c r="M83" s="1">
        <v>600.01</v>
      </c>
      <c r="N83" s="1">
        <v>56374.7</v>
      </c>
      <c r="O83" s="1">
        <v>84292.9</v>
      </c>
      <c r="P83" s="1">
        <v>140667.6</v>
      </c>
      <c r="Q83" s="1">
        <v>10990</v>
      </c>
      <c r="R83" s="1">
        <v>4889.6000000000004</v>
      </c>
      <c r="S83" s="1">
        <v>15879.6</v>
      </c>
      <c r="T83" s="1">
        <v>30.74</v>
      </c>
      <c r="U83" s="1">
        <v>0.17</v>
      </c>
      <c r="V83" s="1">
        <v>4823.6000000000004</v>
      </c>
      <c r="W83" s="1">
        <v>15813.6</v>
      </c>
      <c r="X83" s="1">
        <v>600.16999999999996</v>
      </c>
      <c r="Y83" s="1">
        <v>600</v>
      </c>
      <c r="Z83" s="1">
        <v>156481.20000000001</v>
      </c>
      <c r="AA83" s="1">
        <v>30.77</v>
      </c>
    </row>
    <row r="84" spans="1:27" x14ac:dyDescent="0.4">
      <c r="A84" s="1" t="s">
        <v>35</v>
      </c>
      <c r="B84" s="1">
        <v>2000</v>
      </c>
      <c r="C84" s="1">
        <v>0.3</v>
      </c>
      <c r="D84" s="1">
        <v>0.5</v>
      </c>
      <c r="E84" s="1">
        <v>1000</v>
      </c>
      <c r="F84" s="1">
        <v>2</v>
      </c>
      <c r="G84" s="1">
        <v>1</v>
      </c>
      <c r="H84" s="1" t="s">
        <v>580</v>
      </c>
      <c r="I84" s="1">
        <v>226019.20000000001</v>
      </c>
      <c r="J84" s="1">
        <v>89595.9</v>
      </c>
      <c r="K84" s="1">
        <v>136423.29999999999</v>
      </c>
      <c r="L84" s="1">
        <v>600</v>
      </c>
      <c r="M84" s="1">
        <v>600.08000000000004</v>
      </c>
      <c r="N84" s="1">
        <v>56052.800000000003</v>
      </c>
      <c r="O84" s="1">
        <v>82394.899999999994</v>
      </c>
      <c r="P84" s="1">
        <v>138447.70000000001</v>
      </c>
      <c r="Q84" s="1">
        <v>10657.5</v>
      </c>
      <c r="R84" s="1">
        <v>4783.8</v>
      </c>
      <c r="S84" s="1">
        <v>15441.3</v>
      </c>
      <c r="T84" s="1">
        <v>31.91</v>
      </c>
      <c r="U84" s="1">
        <v>0.22</v>
      </c>
      <c r="V84" s="1">
        <v>4703.8999999999996</v>
      </c>
      <c r="W84" s="1">
        <v>15361.4</v>
      </c>
      <c r="X84" s="1">
        <v>600.29999999999995</v>
      </c>
      <c r="Y84" s="1">
        <v>599</v>
      </c>
      <c r="Z84" s="1">
        <v>153809.1</v>
      </c>
      <c r="AA84" s="1">
        <v>31.95</v>
      </c>
    </row>
    <row r="85" spans="1:27" x14ac:dyDescent="0.4">
      <c r="A85" s="1" t="s">
        <v>35</v>
      </c>
      <c r="B85" s="1">
        <v>2000</v>
      </c>
      <c r="C85" s="1">
        <v>0.3</v>
      </c>
      <c r="D85" s="1">
        <v>0.5</v>
      </c>
      <c r="E85" s="1">
        <v>1000</v>
      </c>
      <c r="F85" s="1">
        <v>2</v>
      </c>
      <c r="G85" s="1">
        <v>1</v>
      </c>
      <c r="H85" s="1" t="s">
        <v>15</v>
      </c>
      <c r="I85" s="1">
        <v>226019.20000000001</v>
      </c>
      <c r="J85" s="1">
        <v>89595.9</v>
      </c>
      <c r="K85" s="1">
        <v>136423.29999999999</v>
      </c>
      <c r="L85" s="1">
        <v>600</v>
      </c>
      <c r="M85" s="1">
        <v>600.12</v>
      </c>
      <c r="N85" s="1">
        <v>55621.4</v>
      </c>
      <c r="O85" s="1">
        <v>81840.3</v>
      </c>
      <c r="P85" s="1">
        <v>137461.70000000001</v>
      </c>
      <c r="Q85" s="1">
        <v>11319.8</v>
      </c>
      <c r="R85" s="1">
        <v>4249.2</v>
      </c>
      <c r="S85" s="1">
        <v>15569</v>
      </c>
      <c r="T85" s="1">
        <v>32.29</v>
      </c>
      <c r="U85" s="1">
        <v>0.14000000000000001</v>
      </c>
      <c r="V85" s="1">
        <v>4171.6000000000004</v>
      </c>
      <c r="W85" s="1">
        <v>15491.4</v>
      </c>
      <c r="X85" s="1">
        <v>600.26</v>
      </c>
      <c r="Y85" s="1">
        <v>600</v>
      </c>
      <c r="Z85" s="1">
        <v>152953.1</v>
      </c>
      <c r="AA85" s="1">
        <v>32.33</v>
      </c>
    </row>
    <row r="86" spans="1:27" x14ac:dyDescent="0.4">
      <c r="A86" s="1" t="s">
        <v>36</v>
      </c>
      <c r="B86" s="1">
        <v>2000</v>
      </c>
      <c r="C86" s="1">
        <v>0.3</v>
      </c>
      <c r="D86" s="1">
        <v>0.5</v>
      </c>
      <c r="E86" s="1">
        <v>1000</v>
      </c>
      <c r="F86" s="1">
        <v>2</v>
      </c>
      <c r="G86" s="1">
        <v>2</v>
      </c>
      <c r="H86" s="1" t="s">
        <v>592</v>
      </c>
      <c r="I86" s="1">
        <v>220764</v>
      </c>
      <c r="J86" s="1">
        <v>89826.2</v>
      </c>
      <c r="K86" s="1">
        <v>130937.8</v>
      </c>
      <c r="L86" s="1">
        <v>600</v>
      </c>
      <c r="M86" s="1">
        <v>600.49</v>
      </c>
      <c r="N86" s="1">
        <v>55589.5</v>
      </c>
      <c r="O86" s="1">
        <v>79896.2</v>
      </c>
      <c r="P86" s="1">
        <v>135485.70000000001</v>
      </c>
      <c r="Q86" s="1">
        <v>10909.8</v>
      </c>
      <c r="R86" s="1">
        <v>3811.5</v>
      </c>
      <c r="S86" s="1">
        <v>14721.3</v>
      </c>
      <c r="T86" s="1">
        <v>31.96</v>
      </c>
      <c r="U86" s="1">
        <v>0.13</v>
      </c>
      <c r="V86" s="1">
        <v>3811.5</v>
      </c>
      <c r="W86" s="1">
        <v>14721.3</v>
      </c>
      <c r="X86" s="1">
        <v>600.63</v>
      </c>
      <c r="Y86" s="1">
        <v>600</v>
      </c>
      <c r="Z86" s="1">
        <v>150207</v>
      </c>
      <c r="AA86" s="1">
        <v>31.96</v>
      </c>
    </row>
    <row r="87" spans="1:27" x14ac:dyDescent="0.4">
      <c r="A87" s="1" t="s">
        <v>36</v>
      </c>
      <c r="B87" s="1">
        <v>2000</v>
      </c>
      <c r="C87" s="1">
        <v>0.3</v>
      </c>
      <c r="D87" s="1">
        <v>0.5</v>
      </c>
      <c r="E87" s="1">
        <v>1000</v>
      </c>
      <c r="F87" s="1">
        <v>2</v>
      </c>
      <c r="G87" s="1">
        <v>2</v>
      </c>
      <c r="H87" s="1" t="s">
        <v>14</v>
      </c>
      <c r="I87" s="1">
        <v>220764</v>
      </c>
      <c r="J87" s="1">
        <v>89826.2</v>
      </c>
      <c r="K87" s="1">
        <v>130937.8</v>
      </c>
      <c r="L87" s="1">
        <v>600</v>
      </c>
      <c r="M87" s="1">
        <v>600</v>
      </c>
      <c r="N87" s="1">
        <v>55853</v>
      </c>
      <c r="O87" s="1">
        <v>81129</v>
      </c>
      <c r="P87" s="1">
        <v>136982</v>
      </c>
      <c r="Q87" s="1">
        <v>11107.8</v>
      </c>
      <c r="R87" s="1">
        <v>4540.7</v>
      </c>
      <c r="S87" s="1">
        <v>15648.5</v>
      </c>
      <c r="T87" s="1">
        <v>30.86</v>
      </c>
      <c r="U87" s="1">
        <v>0.15</v>
      </c>
      <c r="V87" s="1">
        <v>4438.6000000000004</v>
      </c>
      <c r="W87" s="1">
        <v>15546.4</v>
      </c>
      <c r="X87" s="1">
        <v>600.15</v>
      </c>
      <c r="Y87" s="1">
        <v>600</v>
      </c>
      <c r="Z87" s="1">
        <v>152528.4</v>
      </c>
      <c r="AA87" s="1">
        <v>30.91</v>
      </c>
    </row>
    <row r="88" spans="1:27" x14ac:dyDescent="0.4">
      <c r="A88" s="1" t="s">
        <v>36</v>
      </c>
      <c r="B88" s="1">
        <v>2000</v>
      </c>
      <c r="C88" s="1">
        <v>0.3</v>
      </c>
      <c r="D88" s="1">
        <v>0.5</v>
      </c>
      <c r="E88" s="1">
        <v>1000</v>
      </c>
      <c r="F88" s="1">
        <v>2</v>
      </c>
      <c r="G88" s="1">
        <v>2</v>
      </c>
      <c r="H88" s="1" t="s">
        <v>580</v>
      </c>
      <c r="I88" s="1">
        <v>220764</v>
      </c>
      <c r="J88" s="1">
        <v>89826.2</v>
      </c>
      <c r="K88" s="1">
        <v>130937.8</v>
      </c>
      <c r="L88" s="1">
        <v>600</v>
      </c>
      <c r="M88" s="1">
        <v>600</v>
      </c>
      <c r="N88" s="1">
        <v>56116.2</v>
      </c>
      <c r="O88" s="1">
        <v>80104.5</v>
      </c>
      <c r="P88" s="1">
        <v>136220.70000000001</v>
      </c>
      <c r="Q88" s="1">
        <v>10983.6</v>
      </c>
      <c r="R88" s="1">
        <v>4593.6000000000004</v>
      </c>
      <c r="S88" s="1">
        <v>15577.2</v>
      </c>
      <c r="T88" s="1">
        <v>31.24</v>
      </c>
      <c r="U88" s="1">
        <v>0.19</v>
      </c>
      <c r="V88" s="1">
        <v>4479</v>
      </c>
      <c r="W88" s="1">
        <v>15462.6</v>
      </c>
      <c r="X88" s="1">
        <v>600.20000000000005</v>
      </c>
      <c r="Y88" s="1">
        <v>600</v>
      </c>
      <c r="Z88" s="1">
        <v>151683.29999999999</v>
      </c>
      <c r="AA88" s="1">
        <v>31.29</v>
      </c>
    </row>
    <row r="89" spans="1:27" x14ac:dyDescent="0.4">
      <c r="A89" s="1" t="s">
        <v>36</v>
      </c>
      <c r="B89" s="1">
        <v>2000</v>
      </c>
      <c r="C89" s="1">
        <v>0.3</v>
      </c>
      <c r="D89" s="1">
        <v>0.5</v>
      </c>
      <c r="E89" s="1">
        <v>1000</v>
      </c>
      <c r="F89" s="1">
        <v>2</v>
      </c>
      <c r="G89" s="1">
        <v>2</v>
      </c>
      <c r="H89" s="1" t="s">
        <v>15</v>
      </c>
      <c r="I89" s="1">
        <v>220764</v>
      </c>
      <c r="J89" s="1">
        <v>89826.2</v>
      </c>
      <c r="K89" s="1">
        <v>130937.8</v>
      </c>
      <c r="L89" s="1">
        <v>600</v>
      </c>
      <c r="M89" s="1">
        <v>600.49</v>
      </c>
      <c r="N89" s="1">
        <v>55408.4</v>
      </c>
      <c r="O89" s="1">
        <v>80654.3</v>
      </c>
      <c r="P89" s="1">
        <v>136062.70000000001</v>
      </c>
      <c r="Q89" s="1">
        <v>11171</v>
      </c>
      <c r="R89" s="1">
        <v>3970.1</v>
      </c>
      <c r="S89" s="1">
        <v>15141.1</v>
      </c>
      <c r="T89" s="1">
        <v>31.51</v>
      </c>
      <c r="U89" s="1">
        <v>0.12</v>
      </c>
      <c r="V89" s="1">
        <v>3859.1</v>
      </c>
      <c r="W89" s="1">
        <v>15030.1</v>
      </c>
      <c r="X89" s="1">
        <v>600.6</v>
      </c>
      <c r="Y89" s="1">
        <v>600</v>
      </c>
      <c r="Z89" s="1">
        <v>151092.79999999999</v>
      </c>
      <c r="AA89" s="1">
        <v>31.56</v>
      </c>
    </row>
    <row r="90" spans="1:27" x14ac:dyDescent="0.4">
      <c r="A90" s="1" t="s">
        <v>37</v>
      </c>
      <c r="B90" s="1">
        <v>2000</v>
      </c>
      <c r="C90" s="1">
        <v>0.3</v>
      </c>
      <c r="D90" s="1">
        <v>0.5</v>
      </c>
      <c r="E90" s="1">
        <v>1000</v>
      </c>
      <c r="F90" s="1">
        <v>2</v>
      </c>
      <c r="G90" s="1">
        <v>3</v>
      </c>
      <c r="H90" s="1" t="s">
        <v>592</v>
      </c>
      <c r="I90" s="1">
        <v>224411.9</v>
      </c>
      <c r="J90" s="1">
        <v>89500.3</v>
      </c>
      <c r="K90" s="1">
        <v>134911.6</v>
      </c>
      <c r="L90" s="1">
        <v>600</v>
      </c>
      <c r="M90" s="1">
        <v>600.64</v>
      </c>
      <c r="N90" s="1">
        <v>56445.8</v>
      </c>
      <c r="O90" s="1">
        <v>83272.3</v>
      </c>
      <c r="P90" s="1">
        <v>139718.1</v>
      </c>
      <c r="Q90" s="1">
        <v>10519.9</v>
      </c>
      <c r="R90" s="1">
        <v>3825</v>
      </c>
      <c r="S90" s="1">
        <v>14344.9</v>
      </c>
      <c r="T90" s="1">
        <v>31.35</v>
      </c>
      <c r="U90" s="1">
        <v>0.13</v>
      </c>
      <c r="V90" s="1">
        <v>3823.6</v>
      </c>
      <c r="W90" s="1">
        <v>14343.5</v>
      </c>
      <c r="X90" s="1">
        <v>600.77</v>
      </c>
      <c r="Y90" s="1">
        <v>600</v>
      </c>
      <c r="Z90" s="1">
        <v>154061.6</v>
      </c>
      <c r="AA90" s="1">
        <v>31.35</v>
      </c>
    </row>
    <row r="91" spans="1:27" x14ac:dyDescent="0.4">
      <c r="A91" s="1" t="s">
        <v>37</v>
      </c>
      <c r="B91" s="1">
        <v>2000</v>
      </c>
      <c r="C91" s="1">
        <v>0.3</v>
      </c>
      <c r="D91" s="1">
        <v>0.5</v>
      </c>
      <c r="E91" s="1">
        <v>1000</v>
      </c>
      <c r="F91" s="1">
        <v>2</v>
      </c>
      <c r="G91" s="1">
        <v>3</v>
      </c>
      <c r="H91" s="1" t="s">
        <v>14</v>
      </c>
      <c r="I91" s="1">
        <v>224411.9</v>
      </c>
      <c r="J91" s="1">
        <v>89500.3</v>
      </c>
      <c r="K91" s="1">
        <v>134911.6</v>
      </c>
      <c r="L91" s="1">
        <v>600</v>
      </c>
      <c r="M91" s="1">
        <v>600</v>
      </c>
      <c r="N91" s="1">
        <v>57391.1</v>
      </c>
      <c r="O91" s="1">
        <v>84271.5</v>
      </c>
      <c r="P91" s="1">
        <v>141662.6</v>
      </c>
      <c r="Q91" s="1">
        <v>10872.3</v>
      </c>
      <c r="R91" s="1">
        <v>4328.7</v>
      </c>
      <c r="S91" s="1">
        <v>15201</v>
      </c>
      <c r="T91" s="1">
        <v>30.1</v>
      </c>
      <c r="U91" s="1">
        <v>0.18</v>
      </c>
      <c r="V91" s="1">
        <v>4248.8</v>
      </c>
      <c r="W91" s="1">
        <v>15121.1</v>
      </c>
      <c r="X91" s="1">
        <v>600.17999999999995</v>
      </c>
      <c r="Y91" s="1">
        <v>600</v>
      </c>
      <c r="Z91" s="1">
        <v>156783.70000000001</v>
      </c>
      <c r="AA91" s="1">
        <v>30.14</v>
      </c>
    </row>
    <row r="92" spans="1:27" x14ac:dyDescent="0.4">
      <c r="A92" s="1" t="s">
        <v>37</v>
      </c>
      <c r="B92" s="1">
        <v>2000</v>
      </c>
      <c r="C92" s="1">
        <v>0.3</v>
      </c>
      <c r="D92" s="1">
        <v>0.5</v>
      </c>
      <c r="E92" s="1">
        <v>1000</v>
      </c>
      <c r="F92" s="1">
        <v>2</v>
      </c>
      <c r="G92" s="1">
        <v>3</v>
      </c>
      <c r="H92" s="1" t="s">
        <v>580</v>
      </c>
      <c r="I92" s="1">
        <v>224411.9</v>
      </c>
      <c r="J92" s="1">
        <v>89500.3</v>
      </c>
      <c r="K92" s="1">
        <v>134911.6</v>
      </c>
      <c r="L92" s="1">
        <v>600</v>
      </c>
      <c r="M92" s="1">
        <v>600.01</v>
      </c>
      <c r="N92" s="1">
        <v>57125.599999999999</v>
      </c>
      <c r="O92" s="1">
        <v>83021.600000000006</v>
      </c>
      <c r="P92" s="1">
        <v>140147.20000000001</v>
      </c>
      <c r="Q92" s="1">
        <v>10286.9</v>
      </c>
      <c r="R92" s="1">
        <v>4459.3999999999996</v>
      </c>
      <c r="S92" s="1">
        <v>14746.3</v>
      </c>
      <c r="T92" s="1">
        <v>30.98</v>
      </c>
      <c r="U92" s="1">
        <v>0.35</v>
      </c>
      <c r="V92" s="1">
        <v>4249.2</v>
      </c>
      <c r="W92" s="1">
        <v>14536.1</v>
      </c>
      <c r="X92" s="1">
        <v>600.36</v>
      </c>
      <c r="Y92" s="1">
        <v>600</v>
      </c>
      <c r="Z92" s="1">
        <v>154683.29999999999</v>
      </c>
      <c r="AA92" s="1">
        <v>31.07</v>
      </c>
    </row>
    <row r="93" spans="1:27" x14ac:dyDescent="0.4">
      <c r="A93" s="1" t="s">
        <v>37</v>
      </c>
      <c r="B93" s="1">
        <v>2000</v>
      </c>
      <c r="C93" s="1">
        <v>0.3</v>
      </c>
      <c r="D93" s="1">
        <v>0.5</v>
      </c>
      <c r="E93" s="1">
        <v>1000</v>
      </c>
      <c r="F93" s="1">
        <v>2</v>
      </c>
      <c r="G93" s="1">
        <v>3</v>
      </c>
      <c r="H93" s="1" t="s">
        <v>15</v>
      </c>
      <c r="I93" s="1">
        <v>224411.9</v>
      </c>
      <c r="J93" s="1">
        <v>89500.3</v>
      </c>
      <c r="K93" s="1">
        <v>134911.6</v>
      </c>
      <c r="L93" s="1">
        <v>600</v>
      </c>
      <c r="M93" s="1">
        <v>600.55999999999995</v>
      </c>
      <c r="N93" s="1">
        <v>56713</v>
      </c>
      <c r="O93" s="1">
        <v>83298.2</v>
      </c>
      <c r="P93" s="1">
        <v>140011.20000000001</v>
      </c>
      <c r="Q93" s="1">
        <v>10900.2</v>
      </c>
      <c r="R93" s="1">
        <v>3968.3</v>
      </c>
      <c r="S93" s="1">
        <v>14868.5</v>
      </c>
      <c r="T93" s="1">
        <v>30.98</v>
      </c>
      <c r="U93" s="1">
        <v>0.13</v>
      </c>
      <c r="V93" s="1">
        <v>3822.8</v>
      </c>
      <c r="W93" s="1">
        <v>14723</v>
      </c>
      <c r="X93" s="1">
        <v>600.70000000000005</v>
      </c>
      <c r="Y93" s="1">
        <v>600</v>
      </c>
      <c r="Z93" s="1">
        <v>154734.20000000001</v>
      </c>
      <c r="AA93" s="1">
        <v>31.05</v>
      </c>
    </row>
    <row r="94" spans="1:27" x14ac:dyDescent="0.4">
      <c r="A94" s="1" t="s">
        <v>38</v>
      </c>
      <c r="B94" s="1">
        <v>2000</v>
      </c>
      <c r="C94" s="1">
        <v>0.3</v>
      </c>
      <c r="D94" s="1">
        <v>0.5</v>
      </c>
      <c r="E94" s="1">
        <v>1000</v>
      </c>
      <c r="F94" s="1">
        <v>2</v>
      </c>
      <c r="G94" s="1">
        <v>4</v>
      </c>
      <c r="H94" s="1" t="s">
        <v>592</v>
      </c>
      <c r="I94" s="1">
        <v>226364.1</v>
      </c>
      <c r="J94" s="1">
        <v>92915.3</v>
      </c>
      <c r="K94" s="1">
        <v>133448.79999999999</v>
      </c>
      <c r="L94" s="1">
        <v>600</v>
      </c>
      <c r="M94" s="1">
        <v>601.22</v>
      </c>
      <c r="N94" s="1">
        <v>58453</v>
      </c>
      <c r="O94" s="1">
        <v>82056.2</v>
      </c>
      <c r="P94" s="1">
        <v>140509.20000000001</v>
      </c>
      <c r="Q94" s="1">
        <v>10259.9</v>
      </c>
      <c r="R94" s="1">
        <v>3934</v>
      </c>
      <c r="S94" s="1">
        <v>14193.9</v>
      </c>
      <c r="T94" s="1">
        <v>31.66</v>
      </c>
      <c r="U94" s="1">
        <v>0.13</v>
      </c>
      <c r="V94" s="1">
        <v>3934</v>
      </c>
      <c r="W94" s="1">
        <v>14193.9</v>
      </c>
      <c r="X94" s="1">
        <v>601.35</v>
      </c>
      <c r="Y94" s="1">
        <v>600</v>
      </c>
      <c r="Z94" s="1">
        <v>154703.1</v>
      </c>
      <c r="AA94" s="1">
        <v>31.66</v>
      </c>
    </row>
    <row r="95" spans="1:27" x14ac:dyDescent="0.4">
      <c r="A95" s="1" t="s">
        <v>38</v>
      </c>
      <c r="B95" s="1">
        <v>2000</v>
      </c>
      <c r="C95" s="1">
        <v>0.3</v>
      </c>
      <c r="D95" s="1">
        <v>0.5</v>
      </c>
      <c r="E95" s="1">
        <v>1000</v>
      </c>
      <c r="F95" s="1">
        <v>2</v>
      </c>
      <c r="G95" s="1">
        <v>4</v>
      </c>
      <c r="H95" s="1" t="s">
        <v>14</v>
      </c>
      <c r="I95" s="1">
        <v>226364.1</v>
      </c>
      <c r="J95" s="1">
        <v>92915.3</v>
      </c>
      <c r="K95" s="1">
        <v>133448.79999999999</v>
      </c>
      <c r="L95" s="1">
        <v>600</v>
      </c>
      <c r="M95" s="1">
        <v>600.01</v>
      </c>
      <c r="N95" s="1">
        <v>58454.9</v>
      </c>
      <c r="O95" s="1">
        <v>83515.399999999994</v>
      </c>
      <c r="P95" s="1">
        <v>141970.29999999999</v>
      </c>
      <c r="Q95" s="1">
        <v>10630.5</v>
      </c>
      <c r="R95" s="1">
        <v>4343</v>
      </c>
      <c r="S95" s="1">
        <v>14973.5</v>
      </c>
      <c r="T95" s="1">
        <v>30.67</v>
      </c>
      <c r="U95" s="1">
        <v>0.19</v>
      </c>
      <c r="V95" s="1">
        <v>4247.3999999999996</v>
      </c>
      <c r="W95" s="1">
        <v>14877.9</v>
      </c>
      <c r="X95" s="1">
        <v>600.20000000000005</v>
      </c>
      <c r="Y95" s="1">
        <v>600</v>
      </c>
      <c r="Z95" s="1">
        <v>156848.20000000001</v>
      </c>
      <c r="AA95" s="1">
        <v>30.71</v>
      </c>
    </row>
    <row r="96" spans="1:27" x14ac:dyDescent="0.4">
      <c r="A96" s="1" t="s">
        <v>38</v>
      </c>
      <c r="B96" s="1">
        <v>2000</v>
      </c>
      <c r="C96" s="1">
        <v>0.3</v>
      </c>
      <c r="D96" s="1">
        <v>0.5</v>
      </c>
      <c r="E96" s="1">
        <v>1000</v>
      </c>
      <c r="F96" s="1">
        <v>2</v>
      </c>
      <c r="G96" s="1">
        <v>4</v>
      </c>
      <c r="H96" s="1" t="s">
        <v>580</v>
      </c>
      <c r="I96" s="1">
        <v>226364.1</v>
      </c>
      <c r="J96" s="1">
        <v>92915.3</v>
      </c>
      <c r="K96" s="1">
        <v>133448.79999999999</v>
      </c>
      <c r="L96" s="1">
        <v>600</v>
      </c>
      <c r="M96" s="1">
        <v>600.49</v>
      </c>
      <c r="N96" s="1">
        <v>58991.199999999997</v>
      </c>
      <c r="O96" s="1">
        <v>83320</v>
      </c>
      <c r="P96" s="1">
        <v>142311.20000000001</v>
      </c>
      <c r="Q96" s="1">
        <v>9651.4</v>
      </c>
      <c r="R96" s="1">
        <v>4322.7</v>
      </c>
      <c r="S96" s="1">
        <v>13974.1</v>
      </c>
      <c r="T96" s="1">
        <v>30.96</v>
      </c>
      <c r="U96" s="1">
        <v>0.33</v>
      </c>
      <c r="V96" s="1">
        <v>4141.1000000000004</v>
      </c>
      <c r="W96" s="1">
        <v>13792.5</v>
      </c>
      <c r="X96" s="1">
        <v>600.80999999999995</v>
      </c>
      <c r="Y96" s="1">
        <v>600</v>
      </c>
      <c r="Z96" s="1">
        <v>156103.70000000001</v>
      </c>
      <c r="AA96" s="1">
        <v>31.04</v>
      </c>
    </row>
    <row r="97" spans="1:27" x14ac:dyDescent="0.4">
      <c r="A97" s="1" t="s">
        <v>38</v>
      </c>
      <c r="B97" s="1">
        <v>2000</v>
      </c>
      <c r="C97" s="1">
        <v>0.3</v>
      </c>
      <c r="D97" s="1">
        <v>0.5</v>
      </c>
      <c r="E97" s="1">
        <v>1000</v>
      </c>
      <c r="F97" s="1">
        <v>2</v>
      </c>
      <c r="G97" s="1">
        <v>4</v>
      </c>
      <c r="H97" s="1" t="s">
        <v>15</v>
      </c>
      <c r="I97" s="1">
        <v>226364.1</v>
      </c>
      <c r="J97" s="1">
        <v>92915.3</v>
      </c>
      <c r="K97" s="1">
        <v>133448.79999999999</v>
      </c>
      <c r="L97" s="1">
        <v>600</v>
      </c>
      <c r="M97" s="1">
        <v>600.80999999999995</v>
      </c>
      <c r="N97" s="1">
        <v>57615</v>
      </c>
      <c r="O97" s="1">
        <v>81913.3</v>
      </c>
      <c r="P97" s="1">
        <v>139528.29999999999</v>
      </c>
      <c r="Q97" s="1">
        <v>10720.2</v>
      </c>
      <c r="R97" s="1">
        <v>3937.7</v>
      </c>
      <c r="S97" s="1">
        <v>14657.9</v>
      </c>
      <c r="T97" s="1">
        <v>31.89</v>
      </c>
      <c r="U97" s="1">
        <v>0.13</v>
      </c>
      <c r="V97" s="1">
        <v>3871.1</v>
      </c>
      <c r="W97" s="1">
        <v>14591.3</v>
      </c>
      <c r="X97" s="1">
        <v>600.94000000000005</v>
      </c>
      <c r="Y97" s="1">
        <v>600</v>
      </c>
      <c r="Z97" s="1">
        <v>154119.6</v>
      </c>
      <c r="AA97" s="1">
        <v>31.92</v>
      </c>
    </row>
    <row r="98" spans="1:27" x14ac:dyDescent="0.4">
      <c r="A98" s="1" t="s">
        <v>39</v>
      </c>
      <c r="B98" s="1">
        <v>2000</v>
      </c>
      <c r="C98" s="1">
        <v>0.3</v>
      </c>
      <c r="D98" s="1">
        <v>0.5</v>
      </c>
      <c r="E98" s="1">
        <v>1000</v>
      </c>
      <c r="F98" s="1">
        <v>2</v>
      </c>
      <c r="G98" s="1">
        <v>5</v>
      </c>
      <c r="H98" s="1" t="s">
        <v>592</v>
      </c>
      <c r="I98" s="1">
        <v>223723.8</v>
      </c>
      <c r="J98" s="1">
        <v>88167.2</v>
      </c>
      <c r="K98" s="1">
        <v>135556.6</v>
      </c>
      <c r="L98" s="1">
        <v>600</v>
      </c>
      <c r="M98" s="1">
        <v>600.48</v>
      </c>
      <c r="N98" s="1">
        <v>54394.1</v>
      </c>
      <c r="O98" s="1">
        <v>82744.7</v>
      </c>
      <c r="P98" s="1">
        <v>137138.79999999999</v>
      </c>
      <c r="Q98" s="1">
        <v>10871.3</v>
      </c>
      <c r="R98" s="1">
        <v>4201.7</v>
      </c>
      <c r="S98" s="1">
        <v>15073</v>
      </c>
      <c r="T98" s="1">
        <v>31.96</v>
      </c>
      <c r="U98" s="1">
        <v>0.11</v>
      </c>
      <c r="V98" s="1">
        <v>4200.3</v>
      </c>
      <c r="W98" s="1">
        <v>15071.6</v>
      </c>
      <c r="X98" s="1">
        <v>600.58000000000004</v>
      </c>
      <c r="Y98" s="1">
        <v>600</v>
      </c>
      <c r="Z98" s="1">
        <v>152210.4</v>
      </c>
      <c r="AA98" s="1">
        <v>31.97</v>
      </c>
    </row>
    <row r="99" spans="1:27" x14ac:dyDescent="0.4">
      <c r="A99" s="1" t="s">
        <v>39</v>
      </c>
      <c r="B99" s="1">
        <v>2000</v>
      </c>
      <c r="C99" s="1">
        <v>0.3</v>
      </c>
      <c r="D99" s="1">
        <v>0.5</v>
      </c>
      <c r="E99" s="1">
        <v>1000</v>
      </c>
      <c r="F99" s="1">
        <v>2</v>
      </c>
      <c r="G99" s="1">
        <v>5</v>
      </c>
      <c r="H99" s="1" t="s">
        <v>14</v>
      </c>
      <c r="I99" s="1">
        <v>223723.8</v>
      </c>
      <c r="J99" s="1">
        <v>88167.2</v>
      </c>
      <c r="K99" s="1">
        <v>135556.6</v>
      </c>
      <c r="L99" s="1">
        <v>600</v>
      </c>
      <c r="M99" s="1">
        <v>600.01</v>
      </c>
      <c r="N99" s="1">
        <v>54843</v>
      </c>
      <c r="O99" s="1">
        <v>82956.800000000003</v>
      </c>
      <c r="P99" s="1">
        <v>137799.79999999999</v>
      </c>
      <c r="Q99" s="1">
        <v>11454.1</v>
      </c>
      <c r="R99" s="1">
        <v>4987.1000000000004</v>
      </c>
      <c r="S99" s="1">
        <v>16441.2</v>
      </c>
      <c r="T99" s="1">
        <v>31.06</v>
      </c>
      <c r="U99" s="1">
        <v>0.15</v>
      </c>
      <c r="V99" s="1">
        <v>4895.7</v>
      </c>
      <c r="W99" s="1">
        <v>16349.8</v>
      </c>
      <c r="X99" s="1">
        <v>600.16</v>
      </c>
      <c r="Y99" s="1">
        <v>600</v>
      </c>
      <c r="Z99" s="1">
        <v>154149.6</v>
      </c>
      <c r="AA99" s="1">
        <v>31.1</v>
      </c>
    </row>
    <row r="100" spans="1:27" x14ac:dyDescent="0.4">
      <c r="A100" s="1" t="s">
        <v>39</v>
      </c>
      <c r="B100" s="1">
        <v>2000</v>
      </c>
      <c r="C100" s="1">
        <v>0.3</v>
      </c>
      <c r="D100" s="1">
        <v>0.5</v>
      </c>
      <c r="E100" s="1">
        <v>1000</v>
      </c>
      <c r="F100" s="1">
        <v>2</v>
      </c>
      <c r="G100" s="1">
        <v>5</v>
      </c>
      <c r="H100" s="1" t="s">
        <v>580</v>
      </c>
      <c r="I100" s="1">
        <v>223723.8</v>
      </c>
      <c r="J100" s="1">
        <v>88167.2</v>
      </c>
      <c r="K100" s="1">
        <v>135556.6</v>
      </c>
      <c r="L100" s="1">
        <v>600</v>
      </c>
      <c r="M100" s="1">
        <v>600.42999999999995</v>
      </c>
      <c r="N100" s="1">
        <v>55145</v>
      </c>
      <c r="O100" s="1">
        <v>83122.7</v>
      </c>
      <c r="P100" s="1">
        <v>138267.70000000001</v>
      </c>
      <c r="Q100" s="1">
        <v>10702.8</v>
      </c>
      <c r="R100" s="1">
        <v>4829.6000000000004</v>
      </c>
      <c r="S100" s="1">
        <v>15532.4</v>
      </c>
      <c r="T100" s="1">
        <v>31.25</v>
      </c>
      <c r="U100" s="1">
        <v>0.27</v>
      </c>
      <c r="V100" s="1">
        <v>4681.6000000000004</v>
      </c>
      <c r="W100" s="1">
        <v>15384.4</v>
      </c>
      <c r="X100" s="1">
        <v>600.70000000000005</v>
      </c>
      <c r="Y100" s="1">
        <v>600</v>
      </c>
      <c r="Z100" s="1">
        <v>153652.1</v>
      </c>
      <c r="AA100" s="1">
        <v>31.32</v>
      </c>
    </row>
    <row r="101" spans="1:27" x14ac:dyDescent="0.4">
      <c r="A101" s="1" t="s">
        <v>39</v>
      </c>
      <c r="B101" s="1">
        <v>2000</v>
      </c>
      <c r="C101" s="1">
        <v>0.3</v>
      </c>
      <c r="D101" s="1">
        <v>0.5</v>
      </c>
      <c r="E101" s="1">
        <v>1000</v>
      </c>
      <c r="F101" s="1">
        <v>2</v>
      </c>
      <c r="G101" s="1">
        <v>5</v>
      </c>
      <c r="H101" s="1" t="s">
        <v>15</v>
      </c>
      <c r="I101" s="1">
        <v>223723.8</v>
      </c>
      <c r="J101" s="1">
        <v>88167.2</v>
      </c>
      <c r="K101" s="1">
        <v>135556.6</v>
      </c>
      <c r="L101" s="1">
        <v>600</v>
      </c>
      <c r="M101" s="1">
        <v>600.62</v>
      </c>
      <c r="N101" s="1">
        <v>53794.1</v>
      </c>
      <c r="O101" s="1">
        <v>82848.800000000003</v>
      </c>
      <c r="P101" s="1">
        <v>136642.9</v>
      </c>
      <c r="Q101" s="1">
        <v>11199.9</v>
      </c>
      <c r="R101" s="1">
        <v>4385</v>
      </c>
      <c r="S101" s="1">
        <v>15584.9</v>
      </c>
      <c r="T101" s="1">
        <v>31.96</v>
      </c>
      <c r="U101" s="1">
        <v>0.16</v>
      </c>
      <c r="V101" s="1">
        <v>4309.2</v>
      </c>
      <c r="W101" s="1">
        <v>15509.1</v>
      </c>
      <c r="X101" s="1">
        <v>600.78</v>
      </c>
      <c r="Y101" s="1">
        <v>600</v>
      </c>
      <c r="Z101" s="1">
        <v>152152</v>
      </c>
      <c r="AA101" s="1">
        <v>31.99</v>
      </c>
    </row>
    <row r="102" spans="1:27" x14ac:dyDescent="0.4">
      <c r="A102" s="1" t="s">
        <v>40</v>
      </c>
      <c r="B102" s="1">
        <v>2000</v>
      </c>
      <c r="C102" s="1">
        <v>0.3</v>
      </c>
      <c r="D102" s="1">
        <v>0.5</v>
      </c>
      <c r="E102" s="1">
        <v>1000</v>
      </c>
      <c r="F102" s="1">
        <v>3</v>
      </c>
      <c r="G102" s="1">
        <v>1</v>
      </c>
      <c r="H102" s="1" t="s">
        <v>592</v>
      </c>
      <c r="I102" s="1">
        <v>288442.5</v>
      </c>
      <c r="J102" s="1">
        <v>113101.1</v>
      </c>
      <c r="K102" s="1">
        <v>175341.4</v>
      </c>
      <c r="L102" s="1">
        <v>600</v>
      </c>
      <c r="M102" s="1">
        <v>600.76</v>
      </c>
      <c r="N102" s="1">
        <v>71800.600000000006</v>
      </c>
      <c r="O102" s="1">
        <v>111752.8</v>
      </c>
      <c r="P102" s="1">
        <v>183553.4</v>
      </c>
      <c r="Q102" s="1">
        <v>10586.2</v>
      </c>
      <c r="R102" s="1">
        <v>3824.5</v>
      </c>
      <c r="S102" s="1">
        <v>14410.7</v>
      </c>
      <c r="T102" s="1">
        <v>31.37</v>
      </c>
      <c r="U102" s="1">
        <v>0.2</v>
      </c>
      <c r="V102" s="1">
        <v>3824.5</v>
      </c>
      <c r="W102" s="1">
        <v>14410.7</v>
      </c>
      <c r="X102" s="1">
        <v>600.96</v>
      </c>
      <c r="Y102" s="1">
        <v>600</v>
      </c>
      <c r="Z102" s="1">
        <v>197964.1</v>
      </c>
      <c r="AA102" s="1">
        <v>31.37</v>
      </c>
    </row>
    <row r="103" spans="1:27" x14ac:dyDescent="0.4">
      <c r="A103" s="1" t="s">
        <v>40</v>
      </c>
      <c r="B103" s="1">
        <v>2000</v>
      </c>
      <c r="C103" s="1">
        <v>0.3</v>
      </c>
      <c r="D103" s="1">
        <v>0.5</v>
      </c>
      <c r="E103" s="1">
        <v>1000</v>
      </c>
      <c r="F103" s="1">
        <v>3</v>
      </c>
      <c r="G103" s="1">
        <v>1</v>
      </c>
      <c r="H103" s="1" t="s">
        <v>14</v>
      </c>
      <c r="I103" s="1">
        <v>288442.5</v>
      </c>
      <c r="J103" s="1">
        <v>113101.1</v>
      </c>
      <c r="K103" s="1">
        <v>175341.4</v>
      </c>
      <c r="L103" s="1">
        <v>600</v>
      </c>
      <c r="M103" s="1">
        <v>600</v>
      </c>
      <c r="N103" s="1">
        <v>72061.100000000006</v>
      </c>
      <c r="O103" s="1">
        <v>114374.2</v>
      </c>
      <c r="P103" s="1">
        <v>186435.3</v>
      </c>
      <c r="Q103" s="1">
        <v>10881.5</v>
      </c>
      <c r="R103" s="1">
        <v>4468.1000000000004</v>
      </c>
      <c r="S103" s="1">
        <v>15349.6</v>
      </c>
      <c r="T103" s="1">
        <v>30.04</v>
      </c>
      <c r="U103" s="1">
        <v>0.2</v>
      </c>
      <c r="V103" s="1">
        <v>4309.2</v>
      </c>
      <c r="W103" s="1">
        <v>15190.7</v>
      </c>
      <c r="X103" s="1">
        <v>600.20000000000005</v>
      </c>
      <c r="Y103" s="1">
        <v>600</v>
      </c>
      <c r="Z103" s="1">
        <v>201626</v>
      </c>
      <c r="AA103" s="1">
        <v>30.1</v>
      </c>
    </row>
    <row r="104" spans="1:27" x14ac:dyDescent="0.4">
      <c r="A104" s="1" t="s">
        <v>40</v>
      </c>
      <c r="B104" s="1">
        <v>2000</v>
      </c>
      <c r="C104" s="1">
        <v>0.3</v>
      </c>
      <c r="D104" s="1">
        <v>0.5</v>
      </c>
      <c r="E104" s="1">
        <v>1000</v>
      </c>
      <c r="F104" s="1">
        <v>3</v>
      </c>
      <c r="G104" s="1">
        <v>1</v>
      </c>
      <c r="H104" s="1" t="s">
        <v>580</v>
      </c>
      <c r="I104" s="1">
        <v>288442.5</v>
      </c>
      <c r="J104" s="1">
        <v>113101.1</v>
      </c>
      <c r="K104" s="1">
        <v>175341.4</v>
      </c>
      <c r="L104" s="1">
        <v>600</v>
      </c>
      <c r="M104" s="1">
        <v>600.92999999999995</v>
      </c>
      <c r="N104" s="1">
        <v>71346.600000000006</v>
      </c>
      <c r="O104" s="1">
        <v>111847.5</v>
      </c>
      <c r="P104" s="1">
        <v>183194.1</v>
      </c>
      <c r="Q104" s="1">
        <v>10788.9</v>
      </c>
      <c r="R104" s="1">
        <v>4486</v>
      </c>
      <c r="S104" s="1">
        <v>15274.9</v>
      </c>
      <c r="T104" s="1">
        <v>31.19</v>
      </c>
      <c r="U104" s="1">
        <v>0.17</v>
      </c>
      <c r="V104" s="1">
        <v>4346.5</v>
      </c>
      <c r="W104" s="1">
        <v>15135.4</v>
      </c>
      <c r="X104" s="1">
        <v>601.1</v>
      </c>
      <c r="Y104" s="1">
        <v>600</v>
      </c>
      <c r="Z104" s="1">
        <v>198329.5</v>
      </c>
      <c r="AA104" s="1">
        <v>31.24</v>
      </c>
    </row>
    <row r="105" spans="1:27" x14ac:dyDescent="0.4">
      <c r="A105" s="1" t="s">
        <v>40</v>
      </c>
      <c r="B105" s="1">
        <v>2000</v>
      </c>
      <c r="C105" s="1">
        <v>0.3</v>
      </c>
      <c r="D105" s="1">
        <v>0.5</v>
      </c>
      <c r="E105" s="1">
        <v>1000</v>
      </c>
      <c r="F105" s="1">
        <v>3</v>
      </c>
      <c r="G105" s="1">
        <v>1</v>
      </c>
      <c r="H105" s="1" t="s">
        <v>15</v>
      </c>
      <c r="I105" s="1">
        <v>288442.5</v>
      </c>
      <c r="J105" s="1">
        <v>113101.1</v>
      </c>
      <c r="K105" s="1">
        <v>175341.4</v>
      </c>
      <c r="L105" s="1">
        <v>600</v>
      </c>
      <c r="M105" s="1">
        <v>600.47</v>
      </c>
      <c r="N105" s="1">
        <v>71850.100000000006</v>
      </c>
      <c r="O105" s="1">
        <v>111932.3</v>
      </c>
      <c r="P105" s="1">
        <v>183782.39999999999</v>
      </c>
      <c r="Q105" s="1">
        <v>11020.9</v>
      </c>
      <c r="R105" s="1">
        <v>4013.1</v>
      </c>
      <c r="S105" s="1">
        <v>15034</v>
      </c>
      <c r="T105" s="1">
        <v>31.07</v>
      </c>
      <c r="U105" s="1">
        <v>0.13</v>
      </c>
      <c r="V105" s="1">
        <v>3935.5</v>
      </c>
      <c r="W105" s="1">
        <v>14956.4</v>
      </c>
      <c r="X105" s="1">
        <v>600.6</v>
      </c>
      <c r="Y105" s="1">
        <v>600</v>
      </c>
      <c r="Z105" s="1">
        <v>198738.8</v>
      </c>
      <c r="AA105" s="1">
        <v>31.1</v>
      </c>
    </row>
    <row r="106" spans="1:27" x14ac:dyDescent="0.4">
      <c r="A106" s="1" t="s">
        <v>41</v>
      </c>
      <c r="B106" s="1">
        <v>2000</v>
      </c>
      <c r="C106" s="1">
        <v>0.3</v>
      </c>
      <c r="D106" s="1">
        <v>0.5</v>
      </c>
      <c r="E106" s="1">
        <v>1000</v>
      </c>
      <c r="F106" s="1">
        <v>3</v>
      </c>
      <c r="G106" s="1">
        <v>2</v>
      </c>
      <c r="H106" s="1" t="s">
        <v>592</v>
      </c>
      <c r="I106" s="1">
        <v>287701.09999999998</v>
      </c>
      <c r="J106" s="1">
        <v>113553.1</v>
      </c>
      <c r="K106" s="1">
        <v>174148</v>
      </c>
      <c r="L106" s="1">
        <v>600</v>
      </c>
      <c r="M106" s="1">
        <v>600.42999999999995</v>
      </c>
      <c r="N106" s="1">
        <v>71572.100000000006</v>
      </c>
      <c r="O106" s="1">
        <v>108534</v>
      </c>
      <c r="P106" s="1">
        <v>180106.1</v>
      </c>
      <c r="Q106" s="1">
        <v>10800</v>
      </c>
      <c r="R106" s="1">
        <v>4057.2</v>
      </c>
      <c r="S106" s="1">
        <v>14857.2</v>
      </c>
      <c r="T106" s="1">
        <v>32.229999999999997</v>
      </c>
      <c r="U106" s="1">
        <v>0.13</v>
      </c>
      <c r="V106" s="1">
        <v>4050.8</v>
      </c>
      <c r="W106" s="1">
        <v>14850.8</v>
      </c>
      <c r="X106" s="1">
        <v>600.55999999999995</v>
      </c>
      <c r="Y106" s="1">
        <v>600</v>
      </c>
      <c r="Z106" s="1">
        <v>194956.9</v>
      </c>
      <c r="AA106" s="1">
        <v>32.24</v>
      </c>
    </row>
    <row r="107" spans="1:27" x14ac:dyDescent="0.4">
      <c r="A107" s="1" t="s">
        <v>41</v>
      </c>
      <c r="B107" s="1">
        <v>2000</v>
      </c>
      <c r="C107" s="1">
        <v>0.3</v>
      </c>
      <c r="D107" s="1">
        <v>0.5</v>
      </c>
      <c r="E107" s="1">
        <v>1000</v>
      </c>
      <c r="F107" s="1">
        <v>3</v>
      </c>
      <c r="G107" s="1">
        <v>2</v>
      </c>
      <c r="H107" s="1" t="s">
        <v>14</v>
      </c>
      <c r="I107" s="1">
        <v>287701.09999999998</v>
      </c>
      <c r="J107" s="1">
        <v>113553.1</v>
      </c>
      <c r="K107" s="1">
        <v>174148</v>
      </c>
      <c r="L107" s="1">
        <v>600</v>
      </c>
      <c r="M107" s="1">
        <v>600</v>
      </c>
      <c r="N107" s="1">
        <v>72614.399999999994</v>
      </c>
      <c r="O107" s="1">
        <v>110720.9</v>
      </c>
      <c r="P107" s="1">
        <v>183335.3</v>
      </c>
      <c r="Q107" s="1">
        <v>11012.7</v>
      </c>
      <c r="R107" s="1">
        <v>4511.6000000000004</v>
      </c>
      <c r="S107" s="1">
        <v>15524.3</v>
      </c>
      <c r="T107" s="1">
        <v>30.88</v>
      </c>
      <c r="U107" s="1">
        <v>0.2</v>
      </c>
      <c r="V107" s="1">
        <v>4390.7</v>
      </c>
      <c r="W107" s="1">
        <v>15403.4</v>
      </c>
      <c r="X107" s="1">
        <v>600.20000000000005</v>
      </c>
      <c r="Y107" s="1">
        <v>600</v>
      </c>
      <c r="Z107" s="1">
        <v>198738.7</v>
      </c>
      <c r="AA107" s="1">
        <v>30.92</v>
      </c>
    </row>
    <row r="108" spans="1:27" x14ac:dyDescent="0.4">
      <c r="A108" s="1" t="s">
        <v>41</v>
      </c>
      <c r="B108" s="1">
        <v>2000</v>
      </c>
      <c r="C108" s="1">
        <v>0.3</v>
      </c>
      <c r="D108" s="1">
        <v>0.5</v>
      </c>
      <c r="E108" s="1">
        <v>1000</v>
      </c>
      <c r="F108" s="1">
        <v>3</v>
      </c>
      <c r="G108" s="1">
        <v>2</v>
      </c>
      <c r="H108" s="1" t="s">
        <v>580</v>
      </c>
      <c r="I108" s="1">
        <v>287701.09999999998</v>
      </c>
      <c r="J108" s="1">
        <v>113553.1</v>
      </c>
      <c r="K108" s="1">
        <v>174148</v>
      </c>
      <c r="L108" s="1">
        <v>600</v>
      </c>
      <c r="M108" s="1">
        <v>600.11</v>
      </c>
      <c r="N108" s="1">
        <v>71236</v>
      </c>
      <c r="O108" s="1">
        <v>109682.9</v>
      </c>
      <c r="P108" s="1">
        <v>180918.9</v>
      </c>
      <c r="Q108" s="1">
        <v>10894.6</v>
      </c>
      <c r="R108" s="1">
        <v>4748.1000000000004</v>
      </c>
      <c r="S108" s="1">
        <v>15642.7</v>
      </c>
      <c r="T108" s="1">
        <v>31.68</v>
      </c>
      <c r="U108" s="1">
        <v>0.21</v>
      </c>
      <c r="V108" s="1">
        <v>4515.8999999999996</v>
      </c>
      <c r="W108" s="1">
        <v>15410.5</v>
      </c>
      <c r="X108" s="1">
        <v>600.32000000000005</v>
      </c>
      <c r="Y108" s="1">
        <v>600</v>
      </c>
      <c r="Z108" s="1">
        <v>196329.4</v>
      </c>
      <c r="AA108" s="1">
        <v>31.76</v>
      </c>
    </row>
    <row r="109" spans="1:27" x14ac:dyDescent="0.4">
      <c r="A109" s="1" t="s">
        <v>41</v>
      </c>
      <c r="B109" s="1">
        <v>2000</v>
      </c>
      <c r="C109" s="1">
        <v>0.3</v>
      </c>
      <c r="D109" s="1">
        <v>0.5</v>
      </c>
      <c r="E109" s="1">
        <v>1000</v>
      </c>
      <c r="F109" s="1">
        <v>3</v>
      </c>
      <c r="G109" s="1">
        <v>2</v>
      </c>
      <c r="H109" s="1" t="s">
        <v>15</v>
      </c>
      <c r="I109" s="1">
        <v>287701.09999999998</v>
      </c>
      <c r="J109" s="1">
        <v>113553.1</v>
      </c>
      <c r="K109" s="1">
        <v>174148</v>
      </c>
      <c r="L109" s="1">
        <v>600</v>
      </c>
      <c r="M109" s="1">
        <v>600.45000000000005</v>
      </c>
      <c r="N109" s="1">
        <v>71120.600000000006</v>
      </c>
      <c r="O109" s="1">
        <v>109272.9</v>
      </c>
      <c r="P109" s="1">
        <v>180393.5</v>
      </c>
      <c r="Q109" s="1">
        <v>10989.9</v>
      </c>
      <c r="R109" s="1">
        <v>4173.3999999999996</v>
      </c>
      <c r="S109" s="1">
        <v>15163.3</v>
      </c>
      <c r="T109" s="1">
        <v>32.03</v>
      </c>
      <c r="U109" s="1">
        <v>0.16</v>
      </c>
      <c r="V109" s="1">
        <v>4045.4</v>
      </c>
      <c r="W109" s="1">
        <v>15035.3</v>
      </c>
      <c r="X109" s="1">
        <v>600.61</v>
      </c>
      <c r="Y109" s="1">
        <v>600</v>
      </c>
      <c r="Z109" s="1">
        <v>195428.8</v>
      </c>
      <c r="AA109" s="1">
        <v>32.07</v>
      </c>
    </row>
    <row r="110" spans="1:27" x14ac:dyDescent="0.4">
      <c r="A110" s="1" t="s">
        <v>42</v>
      </c>
      <c r="B110" s="1">
        <v>2000</v>
      </c>
      <c r="C110" s="1">
        <v>0.3</v>
      </c>
      <c r="D110" s="1">
        <v>0.5</v>
      </c>
      <c r="E110" s="1">
        <v>1000</v>
      </c>
      <c r="F110" s="1">
        <v>3</v>
      </c>
      <c r="G110" s="1">
        <v>3</v>
      </c>
      <c r="H110" s="1" t="s">
        <v>592</v>
      </c>
      <c r="I110" s="1">
        <v>274857.09999999998</v>
      </c>
      <c r="J110" s="1">
        <v>108945.7</v>
      </c>
      <c r="K110" s="1">
        <v>165911.4</v>
      </c>
      <c r="L110" s="1">
        <v>600</v>
      </c>
      <c r="M110" s="1">
        <v>600.25</v>
      </c>
      <c r="N110" s="1">
        <v>68470.5</v>
      </c>
      <c r="O110" s="1">
        <v>108016</v>
      </c>
      <c r="P110" s="1">
        <v>176486.5</v>
      </c>
      <c r="Q110" s="1">
        <v>10922.5</v>
      </c>
      <c r="R110" s="1">
        <v>3837</v>
      </c>
      <c r="S110" s="1">
        <v>14759.5</v>
      </c>
      <c r="T110" s="1">
        <v>30.42</v>
      </c>
      <c r="U110" s="1">
        <v>0.17</v>
      </c>
      <c r="V110" s="1">
        <v>3837</v>
      </c>
      <c r="W110" s="1">
        <v>14759.5</v>
      </c>
      <c r="X110" s="1">
        <v>600.41999999999996</v>
      </c>
      <c r="Y110" s="1">
        <v>600</v>
      </c>
      <c r="Z110" s="1">
        <v>191246</v>
      </c>
      <c r="AA110" s="1">
        <v>30.42</v>
      </c>
    </row>
    <row r="111" spans="1:27" x14ac:dyDescent="0.4">
      <c r="A111" s="1" t="s">
        <v>42</v>
      </c>
      <c r="B111" s="1">
        <v>2000</v>
      </c>
      <c r="C111" s="1">
        <v>0.3</v>
      </c>
      <c r="D111" s="1">
        <v>0.5</v>
      </c>
      <c r="E111" s="1">
        <v>1000</v>
      </c>
      <c r="F111" s="1">
        <v>3</v>
      </c>
      <c r="G111" s="1">
        <v>3</v>
      </c>
      <c r="H111" s="1" t="s">
        <v>14</v>
      </c>
      <c r="I111" s="1">
        <v>274857.09999999998</v>
      </c>
      <c r="J111" s="1">
        <v>108945.7</v>
      </c>
      <c r="K111" s="1">
        <v>165911.4</v>
      </c>
      <c r="L111" s="1">
        <v>600</v>
      </c>
      <c r="M111" s="1">
        <v>600</v>
      </c>
      <c r="N111" s="1">
        <v>70413.3</v>
      </c>
      <c r="O111" s="1">
        <v>109538.2</v>
      </c>
      <c r="P111" s="1">
        <v>179951.5</v>
      </c>
      <c r="Q111" s="1">
        <v>10625.4</v>
      </c>
      <c r="R111" s="1">
        <v>4297.2</v>
      </c>
      <c r="S111" s="1">
        <v>14922.6</v>
      </c>
      <c r="T111" s="1">
        <v>29.1</v>
      </c>
      <c r="U111" s="1">
        <v>0.22</v>
      </c>
      <c r="V111" s="1">
        <v>4188.1000000000004</v>
      </c>
      <c r="W111" s="1">
        <v>14813.5</v>
      </c>
      <c r="X111" s="1">
        <v>600.22</v>
      </c>
      <c r="Y111" s="1">
        <v>600</v>
      </c>
      <c r="Z111" s="1">
        <v>194765</v>
      </c>
      <c r="AA111" s="1">
        <v>29.14</v>
      </c>
    </row>
    <row r="112" spans="1:27" x14ac:dyDescent="0.4">
      <c r="A112" s="1" t="s">
        <v>42</v>
      </c>
      <c r="B112" s="1">
        <v>2000</v>
      </c>
      <c r="C112" s="1">
        <v>0.3</v>
      </c>
      <c r="D112" s="1">
        <v>0.5</v>
      </c>
      <c r="E112" s="1">
        <v>1000</v>
      </c>
      <c r="F112" s="1">
        <v>3</v>
      </c>
      <c r="G112" s="1">
        <v>3</v>
      </c>
      <c r="H112" s="1" t="s">
        <v>580</v>
      </c>
      <c r="I112" s="1">
        <v>274857.09999999998</v>
      </c>
      <c r="J112" s="1">
        <v>108945.7</v>
      </c>
      <c r="K112" s="1">
        <v>165911.4</v>
      </c>
      <c r="L112" s="1">
        <v>600</v>
      </c>
      <c r="M112" s="1">
        <v>600.72</v>
      </c>
      <c r="N112" s="1">
        <v>69318.2</v>
      </c>
      <c r="O112" s="1">
        <v>107309.2</v>
      </c>
      <c r="P112" s="1">
        <v>176627.4</v>
      </c>
      <c r="Q112" s="1">
        <v>10803.5</v>
      </c>
      <c r="R112" s="1">
        <v>4234</v>
      </c>
      <c r="S112" s="1">
        <v>15037.5</v>
      </c>
      <c r="T112" s="1">
        <v>30.27</v>
      </c>
      <c r="U112" s="1">
        <v>0.21</v>
      </c>
      <c r="V112" s="1">
        <v>4101.1000000000004</v>
      </c>
      <c r="W112" s="1">
        <v>14904.6</v>
      </c>
      <c r="X112" s="1">
        <v>600.92999999999995</v>
      </c>
      <c r="Y112" s="1">
        <v>600</v>
      </c>
      <c r="Z112" s="1">
        <v>191532</v>
      </c>
      <c r="AA112" s="1">
        <v>30.32</v>
      </c>
    </row>
    <row r="113" spans="1:27" x14ac:dyDescent="0.4">
      <c r="A113" s="1" t="s">
        <v>42</v>
      </c>
      <c r="B113" s="1">
        <v>2000</v>
      </c>
      <c r="C113" s="1">
        <v>0.3</v>
      </c>
      <c r="D113" s="1">
        <v>0.5</v>
      </c>
      <c r="E113" s="1">
        <v>1000</v>
      </c>
      <c r="F113" s="1">
        <v>3</v>
      </c>
      <c r="G113" s="1">
        <v>3</v>
      </c>
      <c r="H113" s="1" t="s">
        <v>15</v>
      </c>
      <c r="I113" s="1">
        <v>274857.09999999998</v>
      </c>
      <c r="J113" s="1">
        <v>108945.7</v>
      </c>
      <c r="K113" s="1">
        <v>165911.4</v>
      </c>
      <c r="L113" s="1">
        <v>600</v>
      </c>
      <c r="M113" s="1">
        <v>600.95000000000005</v>
      </c>
      <c r="N113" s="1">
        <v>69698.3</v>
      </c>
      <c r="O113" s="1">
        <v>108858.6</v>
      </c>
      <c r="P113" s="1">
        <v>178556.9</v>
      </c>
      <c r="Q113" s="1">
        <v>10505.6</v>
      </c>
      <c r="R113" s="1">
        <v>3994.4</v>
      </c>
      <c r="S113" s="1">
        <v>14500</v>
      </c>
      <c r="T113" s="1">
        <v>29.76</v>
      </c>
      <c r="U113" s="1">
        <v>0.17</v>
      </c>
      <c r="V113" s="1">
        <v>3911.4</v>
      </c>
      <c r="W113" s="1">
        <v>14417</v>
      </c>
      <c r="X113" s="1">
        <v>601.12</v>
      </c>
      <c r="Y113" s="1">
        <v>600</v>
      </c>
      <c r="Z113" s="1">
        <v>192973.9</v>
      </c>
      <c r="AA113" s="1">
        <v>29.79</v>
      </c>
    </row>
    <row r="114" spans="1:27" x14ac:dyDescent="0.4">
      <c r="A114" s="1" t="s">
        <v>43</v>
      </c>
      <c r="B114" s="1">
        <v>2000</v>
      </c>
      <c r="C114" s="1">
        <v>0.3</v>
      </c>
      <c r="D114" s="1">
        <v>0.5</v>
      </c>
      <c r="E114" s="1">
        <v>1000</v>
      </c>
      <c r="F114" s="1">
        <v>3</v>
      </c>
      <c r="G114" s="1">
        <v>4</v>
      </c>
      <c r="H114" s="1" t="s">
        <v>592</v>
      </c>
      <c r="I114" s="1">
        <v>292725.7</v>
      </c>
      <c r="J114" s="1">
        <v>118548.5</v>
      </c>
      <c r="K114" s="1">
        <v>174177.2</v>
      </c>
      <c r="L114" s="1">
        <v>600</v>
      </c>
      <c r="M114" s="1">
        <v>600</v>
      </c>
      <c r="N114" s="1">
        <v>75698.7</v>
      </c>
      <c r="O114" s="1">
        <v>112148.9</v>
      </c>
      <c r="P114" s="1">
        <v>187847.6</v>
      </c>
      <c r="Q114" s="1">
        <v>10766.9</v>
      </c>
      <c r="R114" s="1">
        <v>3879.7</v>
      </c>
      <c r="S114" s="1">
        <v>14646.6</v>
      </c>
      <c r="T114" s="1">
        <v>30.82</v>
      </c>
      <c r="U114" s="1">
        <v>0.15</v>
      </c>
      <c r="V114" s="1">
        <v>3873.3</v>
      </c>
      <c r="W114" s="1">
        <v>14640.2</v>
      </c>
      <c r="X114" s="1">
        <v>600.15</v>
      </c>
      <c r="Y114" s="1">
        <v>600</v>
      </c>
      <c r="Z114" s="1">
        <v>202487.8</v>
      </c>
      <c r="AA114" s="1">
        <v>30.83</v>
      </c>
    </row>
    <row r="115" spans="1:27" x14ac:dyDescent="0.4">
      <c r="A115" s="1" t="s">
        <v>43</v>
      </c>
      <c r="B115" s="1">
        <v>2000</v>
      </c>
      <c r="C115" s="1">
        <v>0.3</v>
      </c>
      <c r="D115" s="1">
        <v>0.5</v>
      </c>
      <c r="E115" s="1">
        <v>1000</v>
      </c>
      <c r="F115" s="1">
        <v>3</v>
      </c>
      <c r="G115" s="1">
        <v>4</v>
      </c>
      <c r="H115" s="1" t="s">
        <v>14</v>
      </c>
      <c r="I115" s="1">
        <v>292725.7</v>
      </c>
      <c r="J115" s="1">
        <v>118548.5</v>
      </c>
      <c r="K115" s="1">
        <v>174177.2</v>
      </c>
      <c r="L115" s="1">
        <v>600</v>
      </c>
      <c r="M115" s="1">
        <v>600.01</v>
      </c>
      <c r="N115" s="1">
        <v>77480.7</v>
      </c>
      <c r="O115" s="1">
        <v>114203.5</v>
      </c>
      <c r="P115" s="1">
        <v>191684.2</v>
      </c>
      <c r="Q115" s="1">
        <v>10939.8</v>
      </c>
      <c r="R115" s="1">
        <v>4488</v>
      </c>
      <c r="S115" s="1">
        <v>15427.8</v>
      </c>
      <c r="T115" s="1">
        <v>29.25</v>
      </c>
      <c r="U115" s="1">
        <v>0.14000000000000001</v>
      </c>
      <c r="V115" s="1">
        <v>4361.8999999999996</v>
      </c>
      <c r="W115" s="1">
        <v>15301.7</v>
      </c>
      <c r="X115" s="1">
        <v>600.15</v>
      </c>
      <c r="Y115" s="1">
        <v>600</v>
      </c>
      <c r="Z115" s="1">
        <v>206985.9</v>
      </c>
      <c r="AA115" s="1">
        <v>29.29</v>
      </c>
    </row>
    <row r="116" spans="1:27" x14ac:dyDescent="0.4">
      <c r="A116" s="1" t="s">
        <v>43</v>
      </c>
      <c r="B116" s="1">
        <v>2000</v>
      </c>
      <c r="C116" s="1">
        <v>0.3</v>
      </c>
      <c r="D116" s="1">
        <v>0.5</v>
      </c>
      <c r="E116" s="1">
        <v>1000</v>
      </c>
      <c r="F116" s="1">
        <v>3</v>
      </c>
      <c r="G116" s="1">
        <v>4</v>
      </c>
      <c r="H116" s="1" t="s">
        <v>580</v>
      </c>
      <c r="I116" s="1">
        <v>292725.7</v>
      </c>
      <c r="J116" s="1">
        <v>118548.5</v>
      </c>
      <c r="K116" s="1">
        <v>174177.2</v>
      </c>
      <c r="L116" s="1">
        <v>600</v>
      </c>
      <c r="M116" s="1">
        <v>600.24</v>
      </c>
      <c r="N116" s="1">
        <v>76392.600000000006</v>
      </c>
      <c r="O116" s="1">
        <v>112668.6</v>
      </c>
      <c r="P116" s="1">
        <v>189061.2</v>
      </c>
      <c r="Q116" s="1">
        <v>10923.7</v>
      </c>
      <c r="R116" s="1">
        <v>4476.6000000000004</v>
      </c>
      <c r="S116" s="1">
        <v>15400.3</v>
      </c>
      <c r="T116" s="1">
        <v>30.15</v>
      </c>
      <c r="U116" s="1">
        <v>0.25</v>
      </c>
      <c r="V116" s="1">
        <v>4310</v>
      </c>
      <c r="W116" s="1">
        <v>15233.7</v>
      </c>
      <c r="X116" s="1">
        <v>600.49</v>
      </c>
      <c r="Y116" s="1">
        <v>600</v>
      </c>
      <c r="Z116" s="1">
        <v>204294.9</v>
      </c>
      <c r="AA116" s="1">
        <v>30.21</v>
      </c>
    </row>
    <row r="117" spans="1:27" x14ac:dyDescent="0.4">
      <c r="A117" s="1" t="s">
        <v>43</v>
      </c>
      <c r="B117" s="1">
        <v>2000</v>
      </c>
      <c r="C117" s="1">
        <v>0.3</v>
      </c>
      <c r="D117" s="1">
        <v>0.5</v>
      </c>
      <c r="E117" s="1">
        <v>1000</v>
      </c>
      <c r="F117" s="1">
        <v>3</v>
      </c>
      <c r="G117" s="1">
        <v>4</v>
      </c>
      <c r="H117" s="1" t="s">
        <v>15</v>
      </c>
      <c r="I117" s="1">
        <v>292725.7</v>
      </c>
      <c r="J117" s="1">
        <v>118548.5</v>
      </c>
      <c r="K117" s="1">
        <v>174177.2</v>
      </c>
      <c r="L117" s="1">
        <v>600</v>
      </c>
      <c r="M117" s="1">
        <v>600.15</v>
      </c>
      <c r="N117" s="1">
        <v>75833.8</v>
      </c>
      <c r="O117" s="1">
        <v>113510</v>
      </c>
      <c r="P117" s="1">
        <v>189343.8</v>
      </c>
      <c r="Q117" s="1">
        <v>10627.3</v>
      </c>
      <c r="R117" s="1">
        <v>3968.8</v>
      </c>
      <c r="S117" s="1">
        <v>14596.1</v>
      </c>
      <c r="T117" s="1">
        <v>30.33</v>
      </c>
      <c r="U117" s="1">
        <v>0.15</v>
      </c>
      <c r="V117" s="1">
        <v>3877.3</v>
      </c>
      <c r="W117" s="1">
        <v>14504.6</v>
      </c>
      <c r="X117" s="1">
        <v>600.29999999999995</v>
      </c>
      <c r="Y117" s="1">
        <v>600</v>
      </c>
      <c r="Z117" s="1">
        <v>203848.4</v>
      </c>
      <c r="AA117" s="1">
        <v>30.36</v>
      </c>
    </row>
    <row r="118" spans="1:27" x14ac:dyDescent="0.4">
      <c r="A118" s="1" t="s">
        <v>44</v>
      </c>
      <c r="B118" s="1">
        <v>2000</v>
      </c>
      <c r="C118" s="1">
        <v>0.3</v>
      </c>
      <c r="D118" s="1">
        <v>0.5</v>
      </c>
      <c r="E118" s="1">
        <v>1000</v>
      </c>
      <c r="F118" s="1">
        <v>3</v>
      </c>
      <c r="G118" s="1">
        <v>5</v>
      </c>
      <c r="H118" s="1" t="s">
        <v>592</v>
      </c>
      <c r="I118" s="1">
        <v>279635.3</v>
      </c>
      <c r="J118" s="1">
        <v>110407.9</v>
      </c>
      <c r="K118" s="1">
        <v>169227.4</v>
      </c>
      <c r="L118" s="1">
        <v>600</v>
      </c>
      <c r="M118" s="1">
        <v>600.52</v>
      </c>
      <c r="N118" s="1">
        <v>69697.899999999994</v>
      </c>
      <c r="O118" s="1">
        <v>108573.2</v>
      </c>
      <c r="P118" s="1">
        <v>178271.1</v>
      </c>
      <c r="Q118" s="1">
        <v>10815.4</v>
      </c>
      <c r="R118" s="1">
        <v>3988.6</v>
      </c>
      <c r="S118" s="1">
        <v>14804</v>
      </c>
      <c r="T118" s="1">
        <v>30.95</v>
      </c>
      <c r="U118" s="1">
        <v>0.17</v>
      </c>
      <c r="V118" s="1">
        <v>3980.8</v>
      </c>
      <c r="W118" s="1">
        <v>14796.2</v>
      </c>
      <c r="X118" s="1">
        <v>600.69000000000005</v>
      </c>
      <c r="Y118" s="1">
        <v>600</v>
      </c>
      <c r="Z118" s="1">
        <v>193067.3</v>
      </c>
      <c r="AA118" s="1">
        <v>30.96</v>
      </c>
    </row>
    <row r="119" spans="1:27" x14ac:dyDescent="0.4">
      <c r="A119" s="1" t="s">
        <v>44</v>
      </c>
      <c r="B119" s="1">
        <v>2000</v>
      </c>
      <c r="C119" s="1">
        <v>0.3</v>
      </c>
      <c r="D119" s="1">
        <v>0.5</v>
      </c>
      <c r="E119" s="1">
        <v>1000</v>
      </c>
      <c r="F119" s="1">
        <v>3</v>
      </c>
      <c r="G119" s="1">
        <v>5</v>
      </c>
      <c r="H119" s="1" t="s">
        <v>14</v>
      </c>
      <c r="I119" s="1">
        <v>279635.3</v>
      </c>
      <c r="J119" s="1">
        <v>110407.9</v>
      </c>
      <c r="K119" s="1">
        <v>169227.4</v>
      </c>
      <c r="L119" s="1">
        <v>600</v>
      </c>
      <c r="M119" s="1">
        <v>600</v>
      </c>
      <c r="N119" s="1">
        <v>71107.5</v>
      </c>
      <c r="O119" s="1">
        <v>111010.1</v>
      </c>
      <c r="P119" s="1">
        <v>182117.6</v>
      </c>
      <c r="Q119" s="1">
        <v>10779</v>
      </c>
      <c r="R119" s="1">
        <v>4195.2</v>
      </c>
      <c r="S119" s="1">
        <v>14974.2</v>
      </c>
      <c r="T119" s="1">
        <v>29.52</v>
      </c>
      <c r="U119" s="1">
        <v>0.17</v>
      </c>
      <c r="V119" s="1">
        <v>4075.4</v>
      </c>
      <c r="W119" s="1">
        <v>14854.4</v>
      </c>
      <c r="X119" s="1">
        <v>600.16999999999996</v>
      </c>
      <c r="Y119" s="1">
        <v>600</v>
      </c>
      <c r="Z119" s="1">
        <v>196972</v>
      </c>
      <c r="AA119" s="1">
        <v>29.56</v>
      </c>
    </row>
    <row r="120" spans="1:27" x14ac:dyDescent="0.4">
      <c r="A120" s="1" t="s">
        <v>44</v>
      </c>
      <c r="B120" s="1">
        <v>2000</v>
      </c>
      <c r="C120" s="1">
        <v>0.3</v>
      </c>
      <c r="D120" s="1">
        <v>0.5</v>
      </c>
      <c r="E120" s="1">
        <v>1000</v>
      </c>
      <c r="F120" s="1">
        <v>3</v>
      </c>
      <c r="G120" s="1">
        <v>5</v>
      </c>
      <c r="H120" s="1" t="s">
        <v>580</v>
      </c>
      <c r="I120" s="1">
        <v>279635.3</v>
      </c>
      <c r="J120" s="1">
        <v>110407.9</v>
      </c>
      <c r="K120" s="1">
        <v>169227.4</v>
      </c>
      <c r="L120" s="1">
        <v>600</v>
      </c>
      <c r="M120" s="1">
        <v>600.88</v>
      </c>
      <c r="N120" s="1">
        <v>70456.5</v>
      </c>
      <c r="O120" s="1">
        <v>109214.6</v>
      </c>
      <c r="P120" s="1">
        <v>179671.1</v>
      </c>
      <c r="Q120" s="1">
        <v>10565.5</v>
      </c>
      <c r="R120" s="1">
        <v>4465.7</v>
      </c>
      <c r="S120" s="1">
        <v>15031.2</v>
      </c>
      <c r="T120" s="1">
        <v>30.37</v>
      </c>
      <c r="U120" s="1">
        <v>0.25</v>
      </c>
      <c r="V120" s="1">
        <v>4298.2</v>
      </c>
      <c r="W120" s="1">
        <v>14863.7</v>
      </c>
      <c r="X120" s="1">
        <v>601.13</v>
      </c>
      <c r="Y120" s="1">
        <v>600</v>
      </c>
      <c r="Z120" s="1">
        <v>194534.8</v>
      </c>
      <c r="AA120" s="1">
        <v>30.43</v>
      </c>
    </row>
    <row r="121" spans="1:27" x14ac:dyDescent="0.4">
      <c r="A121" s="1" t="s">
        <v>44</v>
      </c>
      <c r="B121" s="1">
        <v>2000</v>
      </c>
      <c r="C121" s="1">
        <v>0.3</v>
      </c>
      <c r="D121" s="1">
        <v>0.5</v>
      </c>
      <c r="E121" s="1">
        <v>1000</v>
      </c>
      <c r="F121" s="1">
        <v>3</v>
      </c>
      <c r="G121" s="1">
        <v>5</v>
      </c>
      <c r="H121" s="1" t="s">
        <v>15</v>
      </c>
      <c r="I121" s="1">
        <v>279635.3</v>
      </c>
      <c r="J121" s="1">
        <v>110407.9</v>
      </c>
      <c r="K121" s="1">
        <v>169227.4</v>
      </c>
      <c r="L121" s="1">
        <v>600</v>
      </c>
      <c r="M121" s="1">
        <v>600.79999999999995</v>
      </c>
      <c r="N121" s="1">
        <v>70162.100000000006</v>
      </c>
      <c r="O121" s="1">
        <v>108515.8</v>
      </c>
      <c r="P121" s="1">
        <v>178677.9</v>
      </c>
      <c r="Q121" s="1">
        <v>10456.700000000001</v>
      </c>
      <c r="R121" s="1">
        <v>3767.6</v>
      </c>
      <c r="S121" s="1">
        <v>14224.3</v>
      </c>
      <c r="T121" s="1">
        <v>31.02</v>
      </c>
      <c r="U121" s="1">
        <v>0.15</v>
      </c>
      <c r="V121" s="1">
        <v>3650.7</v>
      </c>
      <c r="W121" s="1">
        <v>14107.4</v>
      </c>
      <c r="X121" s="1">
        <v>600.95000000000005</v>
      </c>
      <c r="Y121" s="1">
        <v>600</v>
      </c>
      <c r="Z121" s="1">
        <v>192785.3</v>
      </c>
      <c r="AA121" s="1">
        <v>31.06</v>
      </c>
    </row>
    <row r="122" spans="1:27" x14ac:dyDescent="0.4">
      <c r="A122" s="1" t="s">
        <v>45</v>
      </c>
      <c r="B122" s="1">
        <v>2000</v>
      </c>
      <c r="C122" s="1">
        <v>0.4</v>
      </c>
      <c r="D122" s="1">
        <v>0.5</v>
      </c>
      <c r="E122" s="1">
        <v>1000</v>
      </c>
      <c r="F122" s="1">
        <v>1</v>
      </c>
      <c r="G122" s="1">
        <v>1</v>
      </c>
      <c r="H122" s="1" t="s">
        <v>592</v>
      </c>
      <c r="I122" s="1">
        <v>146743.6</v>
      </c>
      <c r="J122" s="1">
        <v>58000.4</v>
      </c>
      <c r="K122" s="1">
        <v>88743.2</v>
      </c>
      <c r="L122" s="1">
        <v>600</v>
      </c>
      <c r="M122" s="1">
        <v>600.77</v>
      </c>
      <c r="N122" s="1">
        <v>32611.4</v>
      </c>
      <c r="O122" s="1">
        <v>48374.3</v>
      </c>
      <c r="P122" s="1">
        <v>80985.7</v>
      </c>
      <c r="Q122" s="1">
        <v>11294.7</v>
      </c>
      <c r="R122" s="1">
        <v>5741.7</v>
      </c>
      <c r="S122" s="1">
        <v>17036.400000000001</v>
      </c>
      <c r="T122" s="1">
        <v>33.200000000000003</v>
      </c>
      <c r="U122" s="1">
        <v>0.13</v>
      </c>
      <c r="V122" s="1">
        <v>5741.7</v>
      </c>
      <c r="W122" s="1">
        <v>17036.400000000001</v>
      </c>
      <c r="X122" s="1">
        <v>600.9</v>
      </c>
      <c r="Y122" s="1">
        <v>600</v>
      </c>
      <c r="Z122" s="1">
        <v>98022.1</v>
      </c>
      <c r="AA122" s="1">
        <v>33.200000000000003</v>
      </c>
    </row>
    <row r="123" spans="1:27" x14ac:dyDescent="0.4">
      <c r="A123" s="1" t="s">
        <v>45</v>
      </c>
      <c r="B123" s="1">
        <v>2000</v>
      </c>
      <c r="C123" s="1">
        <v>0.4</v>
      </c>
      <c r="D123" s="1">
        <v>0.5</v>
      </c>
      <c r="E123" s="1">
        <v>1000</v>
      </c>
      <c r="F123" s="1">
        <v>1</v>
      </c>
      <c r="G123" s="1">
        <v>1</v>
      </c>
      <c r="H123" s="1" t="s">
        <v>14</v>
      </c>
      <c r="I123" s="1">
        <v>146743.6</v>
      </c>
      <c r="J123" s="1">
        <v>58000.4</v>
      </c>
      <c r="K123" s="1">
        <v>88743.2</v>
      </c>
      <c r="L123" s="1">
        <v>600</v>
      </c>
      <c r="M123" s="1">
        <v>600</v>
      </c>
      <c r="N123" s="1">
        <v>32288.2</v>
      </c>
      <c r="O123" s="1">
        <v>48489.2</v>
      </c>
      <c r="P123" s="1">
        <v>80777.399999999994</v>
      </c>
      <c r="Q123" s="1">
        <v>11948.3</v>
      </c>
      <c r="R123" s="1">
        <v>6397.4</v>
      </c>
      <c r="S123" s="1">
        <v>18345.7</v>
      </c>
      <c r="T123" s="1">
        <v>32.450000000000003</v>
      </c>
      <c r="U123" s="1">
        <v>0.23</v>
      </c>
      <c r="V123" s="1">
        <v>6373.1</v>
      </c>
      <c r="W123" s="1">
        <v>18321.400000000001</v>
      </c>
      <c r="X123" s="1">
        <v>600.23</v>
      </c>
      <c r="Y123" s="1">
        <v>600</v>
      </c>
      <c r="Z123" s="1">
        <v>99098.8</v>
      </c>
      <c r="AA123" s="1">
        <v>32.47</v>
      </c>
    </row>
    <row r="124" spans="1:27" x14ac:dyDescent="0.4">
      <c r="A124" s="1" t="s">
        <v>45</v>
      </c>
      <c r="B124" s="1">
        <v>2000</v>
      </c>
      <c r="C124" s="1">
        <v>0.4</v>
      </c>
      <c r="D124" s="1">
        <v>0.5</v>
      </c>
      <c r="E124" s="1">
        <v>1000</v>
      </c>
      <c r="F124" s="1">
        <v>1</v>
      </c>
      <c r="G124" s="1">
        <v>1</v>
      </c>
      <c r="H124" s="1" t="s">
        <v>580</v>
      </c>
      <c r="I124" s="1">
        <v>146743.6</v>
      </c>
      <c r="J124" s="1">
        <v>58000.4</v>
      </c>
      <c r="K124" s="1">
        <v>88743.2</v>
      </c>
      <c r="L124" s="1">
        <v>600</v>
      </c>
      <c r="M124" s="1">
        <v>600.76</v>
      </c>
      <c r="N124" s="1">
        <v>33192.699999999997</v>
      </c>
      <c r="O124" s="1">
        <v>48679.9</v>
      </c>
      <c r="P124" s="1">
        <v>81872.600000000006</v>
      </c>
      <c r="Q124" s="1">
        <v>10740.5</v>
      </c>
      <c r="R124" s="1">
        <v>6592.1</v>
      </c>
      <c r="S124" s="1">
        <v>17332.599999999999</v>
      </c>
      <c r="T124" s="1">
        <v>32.4</v>
      </c>
      <c r="U124" s="1">
        <v>0.32</v>
      </c>
      <c r="V124" s="1">
        <v>6521.8</v>
      </c>
      <c r="W124" s="1">
        <v>17262.3</v>
      </c>
      <c r="X124" s="1">
        <v>601.08000000000004</v>
      </c>
      <c r="Y124" s="1">
        <v>600</v>
      </c>
      <c r="Z124" s="1">
        <v>99134.9</v>
      </c>
      <c r="AA124" s="1">
        <v>32.44</v>
      </c>
    </row>
    <row r="125" spans="1:27" x14ac:dyDescent="0.4">
      <c r="A125" s="1" t="s">
        <v>45</v>
      </c>
      <c r="B125" s="1">
        <v>2000</v>
      </c>
      <c r="C125" s="1">
        <v>0.4</v>
      </c>
      <c r="D125" s="1">
        <v>0.5</v>
      </c>
      <c r="E125" s="1">
        <v>1000</v>
      </c>
      <c r="F125" s="1">
        <v>1</v>
      </c>
      <c r="G125" s="1">
        <v>1</v>
      </c>
      <c r="H125" s="1" t="s">
        <v>15</v>
      </c>
      <c r="I125" s="1">
        <v>146743.6</v>
      </c>
      <c r="J125" s="1">
        <v>58000.4</v>
      </c>
      <c r="K125" s="1">
        <v>88743.2</v>
      </c>
      <c r="L125" s="1">
        <v>600</v>
      </c>
      <c r="M125" s="1">
        <v>600.24</v>
      </c>
      <c r="N125" s="1">
        <v>32558</v>
      </c>
      <c r="O125" s="1">
        <v>48698.400000000001</v>
      </c>
      <c r="P125" s="1">
        <v>81256.399999999994</v>
      </c>
      <c r="Q125" s="1">
        <v>11761.3</v>
      </c>
      <c r="R125" s="1">
        <v>5869.7</v>
      </c>
      <c r="S125" s="1">
        <v>17631</v>
      </c>
      <c r="T125" s="1">
        <v>32.61</v>
      </c>
      <c r="U125" s="1">
        <v>0.15</v>
      </c>
      <c r="V125" s="1">
        <v>5854.3</v>
      </c>
      <c r="W125" s="1">
        <v>17615.599999999999</v>
      </c>
      <c r="X125" s="1">
        <v>600.39</v>
      </c>
      <c r="Y125" s="1">
        <v>599</v>
      </c>
      <c r="Z125" s="1">
        <v>98872</v>
      </c>
      <c r="AA125" s="1">
        <v>32.619999999999997</v>
      </c>
    </row>
    <row r="126" spans="1:27" x14ac:dyDescent="0.4">
      <c r="A126" s="1" t="s">
        <v>46</v>
      </c>
      <c r="B126" s="1">
        <v>2000</v>
      </c>
      <c r="C126" s="1">
        <v>0.4</v>
      </c>
      <c r="D126" s="1">
        <v>0.5</v>
      </c>
      <c r="E126" s="1">
        <v>1000</v>
      </c>
      <c r="F126" s="1">
        <v>1</v>
      </c>
      <c r="G126" s="1">
        <v>2</v>
      </c>
      <c r="H126" s="1" t="s">
        <v>592</v>
      </c>
      <c r="I126" s="1">
        <v>147538.70000000001</v>
      </c>
      <c r="J126" s="1">
        <v>60411.8</v>
      </c>
      <c r="K126" s="1">
        <v>87126.9</v>
      </c>
      <c r="L126" s="1">
        <v>600</v>
      </c>
      <c r="M126" s="1">
        <v>601.04999999999995</v>
      </c>
      <c r="N126" s="1">
        <v>34274.5</v>
      </c>
      <c r="O126" s="1">
        <v>47437.1</v>
      </c>
      <c r="P126" s="1">
        <v>81711.600000000006</v>
      </c>
      <c r="Q126" s="1">
        <v>11371.7</v>
      </c>
      <c r="R126" s="1">
        <v>5441</v>
      </c>
      <c r="S126" s="1">
        <v>16812.7</v>
      </c>
      <c r="T126" s="1">
        <v>33.22</v>
      </c>
      <c r="U126" s="1">
        <v>0.17</v>
      </c>
      <c r="V126" s="1">
        <v>5441</v>
      </c>
      <c r="W126" s="1">
        <v>16812.7</v>
      </c>
      <c r="X126" s="1">
        <v>601.21</v>
      </c>
      <c r="Y126" s="1">
        <v>600</v>
      </c>
      <c r="Z126" s="1">
        <v>98524.3</v>
      </c>
      <c r="AA126" s="1">
        <v>33.22</v>
      </c>
    </row>
    <row r="127" spans="1:27" x14ac:dyDescent="0.4">
      <c r="A127" s="1" t="s">
        <v>46</v>
      </c>
      <c r="B127" s="1">
        <v>2000</v>
      </c>
      <c r="C127" s="1">
        <v>0.4</v>
      </c>
      <c r="D127" s="1">
        <v>0.5</v>
      </c>
      <c r="E127" s="1">
        <v>1000</v>
      </c>
      <c r="F127" s="1">
        <v>1</v>
      </c>
      <c r="G127" s="1">
        <v>2</v>
      </c>
      <c r="H127" s="1" t="s">
        <v>14</v>
      </c>
      <c r="I127" s="1">
        <v>147538.70000000001</v>
      </c>
      <c r="J127" s="1">
        <v>60411.8</v>
      </c>
      <c r="K127" s="1">
        <v>87126.9</v>
      </c>
      <c r="L127" s="1">
        <v>600</v>
      </c>
      <c r="M127" s="1">
        <v>600</v>
      </c>
      <c r="N127" s="1">
        <v>33587.4</v>
      </c>
      <c r="O127" s="1">
        <v>47574.1</v>
      </c>
      <c r="P127" s="1">
        <v>81161.5</v>
      </c>
      <c r="Q127" s="1">
        <v>11810.4</v>
      </c>
      <c r="R127" s="1">
        <v>6297.9</v>
      </c>
      <c r="S127" s="1">
        <v>18108.3</v>
      </c>
      <c r="T127" s="1">
        <v>32.72</v>
      </c>
      <c r="U127" s="1">
        <v>0.25</v>
      </c>
      <c r="V127" s="1">
        <v>6267</v>
      </c>
      <c r="W127" s="1">
        <v>18077.400000000001</v>
      </c>
      <c r="X127" s="1">
        <v>600.25</v>
      </c>
      <c r="Y127" s="1">
        <v>600</v>
      </c>
      <c r="Z127" s="1">
        <v>99238.9</v>
      </c>
      <c r="AA127" s="1">
        <v>32.74</v>
      </c>
    </row>
    <row r="128" spans="1:27" x14ac:dyDescent="0.4">
      <c r="A128" s="1" t="s">
        <v>46</v>
      </c>
      <c r="B128" s="1">
        <v>2000</v>
      </c>
      <c r="C128" s="1">
        <v>0.4</v>
      </c>
      <c r="D128" s="1">
        <v>0.5</v>
      </c>
      <c r="E128" s="1">
        <v>1000</v>
      </c>
      <c r="F128" s="1">
        <v>1</v>
      </c>
      <c r="G128" s="1">
        <v>2</v>
      </c>
      <c r="H128" s="1" t="s">
        <v>580</v>
      </c>
      <c r="I128" s="1">
        <v>147538.70000000001</v>
      </c>
      <c r="J128" s="1">
        <v>60411.8</v>
      </c>
      <c r="K128" s="1">
        <v>87126.9</v>
      </c>
      <c r="L128" s="1">
        <v>600</v>
      </c>
      <c r="M128" s="1">
        <v>600.08000000000004</v>
      </c>
      <c r="N128" s="1">
        <v>34449.1</v>
      </c>
      <c r="O128" s="1">
        <v>47623.7</v>
      </c>
      <c r="P128" s="1">
        <v>82072.800000000003</v>
      </c>
      <c r="Q128" s="1">
        <v>10932.7</v>
      </c>
      <c r="R128" s="1">
        <v>6339.1</v>
      </c>
      <c r="S128" s="1">
        <v>17271.8</v>
      </c>
      <c r="T128" s="1">
        <v>32.67</v>
      </c>
      <c r="U128" s="1">
        <v>0.38</v>
      </c>
      <c r="V128" s="1">
        <v>6239.3</v>
      </c>
      <c r="W128" s="1">
        <v>17172</v>
      </c>
      <c r="X128" s="1">
        <v>600.46</v>
      </c>
      <c r="Y128" s="1">
        <v>599</v>
      </c>
      <c r="Z128" s="1">
        <v>99244.800000000003</v>
      </c>
      <c r="AA128" s="1">
        <v>32.729999999999997</v>
      </c>
    </row>
    <row r="129" spans="1:27" x14ac:dyDescent="0.4">
      <c r="A129" s="1" t="s">
        <v>46</v>
      </c>
      <c r="B129" s="1">
        <v>2000</v>
      </c>
      <c r="C129" s="1">
        <v>0.4</v>
      </c>
      <c r="D129" s="1">
        <v>0.5</v>
      </c>
      <c r="E129" s="1">
        <v>1000</v>
      </c>
      <c r="F129" s="1">
        <v>1</v>
      </c>
      <c r="G129" s="1">
        <v>2</v>
      </c>
      <c r="H129" s="1" t="s">
        <v>15</v>
      </c>
      <c r="I129" s="1">
        <v>147538.70000000001</v>
      </c>
      <c r="J129" s="1">
        <v>60411.8</v>
      </c>
      <c r="K129" s="1">
        <v>87126.9</v>
      </c>
      <c r="L129" s="1">
        <v>600</v>
      </c>
      <c r="M129" s="1">
        <v>600.74</v>
      </c>
      <c r="N129" s="1">
        <v>34071.699999999997</v>
      </c>
      <c r="O129" s="1">
        <v>46811.6</v>
      </c>
      <c r="P129" s="1">
        <v>80883.3</v>
      </c>
      <c r="Q129" s="1">
        <v>11611.3</v>
      </c>
      <c r="R129" s="1">
        <v>5529.8</v>
      </c>
      <c r="S129" s="1">
        <v>17141.099999999999</v>
      </c>
      <c r="T129" s="1">
        <v>33.56</v>
      </c>
      <c r="U129" s="1">
        <v>0.14000000000000001</v>
      </c>
      <c r="V129" s="1">
        <v>5502.6</v>
      </c>
      <c r="W129" s="1">
        <v>17113.900000000001</v>
      </c>
      <c r="X129" s="1">
        <v>600.88</v>
      </c>
      <c r="Y129" s="1">
        <v>600</v>
      </c>
      <c r="Z129" s="1">
        <v>97997.2</v>
      </c>
      <c r="AA129" s="1">
        <v>33.58</v>
      </c>
    </row>
    <row r="130" spans="1:27" x14ac:dyDescent="0.4">
      <c r="A130" s="1" t="s">
        <v>47</v>
      </c>
      <c r="B130" s="1">
        <v>2000</v>
      </c>
      <c r="C130" s="1">
        <v>0.4</v>
      </c>
      <c r="D130" s="1">
        <v>0.5</v>
      </c>
      <c r="E130" s="1">
        <v>1000</v>
      </c>
      <c r="F130" s="1">
        <v>1</v>
      </c>
      <c r="G130" s="1">
        <v>3</v>
      </c>
      <c r="H130" s="1" t="s">
        <v>592</v>
      </c>
      <c r="I130" s="1">
        <v>147212.4</v>
      </c>
      <c r="J130" s="1">
        <v>60036.4</v>
      </c>
      <c r="K130" s="1">
        <v>87176</v>
      </c>
      <c r="L130" s="1">
        <v>600</v>
      </c>
      <c r="M130" s="1">
        <v>600.65</v>
      </c>
      <c r="N130" s="1">
        <v>32734.6</v>
      </c>
      <c r="O130" s="1">
        <v>46620.2</v>
      </c>
      <c r="P130" s="1">
        <v>79354.8</v>
      </c>
      <c r="Q130" s="1">
        <v>11285</v>
      </c>
      <c r="R130" s="1">
        <v>5468.8</v>
      </c>
      <c r="S130" s="1">
        <v>16753.8</v>
      </c>
      <c r="T130" s="1">
        <v>34.71</v>
      </c>
      <c r="U130" s="1">
        <v>0.1</v>
      </c>
      <c r="V130" s="1">
        <v>5468.8</v>
      </c>
      <c r="W130" s="1">
        <v>16753.8</v>
      </c>
      <c r="X130" s="1">
        <v>600.75</v>
      </c>
      <c r="Y130" s="1">
        <v>599</v>
      </c>
      <c r="Z130" s="1">
        <v>96108.6</v>
      </c>
      <c r="AA130" s="1">
        <v>34.71</v>
      </c>
    </row>
    <row r="131" spans="1:27" x14ac:dyDescent="0.4">
      <c r="A131" s="1" t="s">
        <v>47</v>
      </c>
      <c r="B131" s="1">
        <v>2000</v>
      </c>
      <c r="C131" s="1">
        <v>0.4</v>
      </c>
      <c r="D131" s="1">
        <v>0.5</v>
      </c>
      <c r="E131" s="1">
        <v>1000</v>
      </c>
      <c r="F131" s="1">
        <v>1</v>
      </c>
      <c r="G131" s="1">
        <v>3</v>
      </c>
      <c r="H131" s="1" t="s">
        <v>14</v>
      </c>
      <c r="I131" s="1">
        <v>147212.4</v>
      </c>
      <c r="J131" s="1">
        <v>60036.4</v>
      </c>
      <c r="K131" s="1">
        <v>87176</v>
      </c>
      <c r="L131" s="1">
        <v>600</v>
      </c>
      <c r="M131" s="1">
        <v>600.01</v>
      </c>
      <c r="N131" s="1">
        <v>32788.6</v>
      </c>
      <c r="O131" s="1">
        <v>47231.7</v>
      </c>
      <c r="P131" s="1">
        <v>80020.3</v>
      </c>
      <c r="Q131" s="1">
        <v>11471.7</v>
      </c>
      <c r="R131" s="1">
        <v>6079.4</v>
      </c>
      <c r="S131" s="1">
        <v>17551.099999999999</v>
      </c>
      <c r="T131" s="1">
        <v>33.72</v>
      </c>
      <c r="U131" s="1">
        <v>0.16</v>
      </c>
      <c r="V131" s="1">
        <v>6060.1</v>
      </c>
      <c r="W131" s="1">
        <v>17531.8</v>
      </c>
      <c r="X131" s="1">
        <v>600.16999999999996</v>
      </c>
      <c r="Y131" s="1">
        <v>600</v>
      </c>
      <c r="Z131" s="1">
        <v>97552.1</v>
      </c>
      <c r="AA131" s="1">
        <v>33.729999999999997</v>
      </c>
    </row>
    <row r="132" spans="1:27" x14ac:dyDescent="0.4">
      <c r="A132" s="1" t="s">
        <v>47</v>
      </c>
      <c r="B132" s="1">
        <v>2000</v>
      </c>
      <c r="C132" s="1">
        <v>0.4</v>
      </c>
      <c r="D132" s="1">
        <v>0.5</v>
      </c>
      <c r="E132" s="1">
        <v>1000</v>
      </c>
      <c r="F132" s="1">
        <v>1</v>
      </c>
      <c r="G132" s="1">
        <v>3</v>
      </c>
      <c r="H132" s="1" t="s">
        <v>580</v>
      </c>
      <c r="I132" s="1">
        <v>147212.4</v>
      </c>
      <c r="J132" s="1">
        <v>60036.4</v>
      </c>
      <c r="K132" s="1">
        <v>87176</v>
      </c>
      <c r="L132" s="1">
        <v>600</v>
      </c>
      <c r="M132" s="1">
        <v>600.86</v>
      </c>
      <c r="N132" s="1">
        <v>33571.800000000003</v>
      </c>
      <c r="O132" s="1">
        <v>47690.9</v>
      </c>
      <c r="P132" s="1">
        <v>81262.7</v>
      </c>
      <c r="Q132" s="1">
        <v>10433.6</v>
      </c>
      <c r="R132" s="1">
        <v>6379.1</v>
      </c>
      <c r="S132" s="1">
        <v>16812.7</v>
      </c>
      <c r="T132" s="1">
        <v>33.380000000000003</v>
      </c>
      <c r="U132" s="1">
        <v>0.28000000000000003</v>
      </c>
      <c r="V132" s="1">
        <v>6283.2</v>
      </c>
      <c r="W132" s="1">
        <v>16716.8</v>
      </c>
      <c r="X132" s="1">
        <v>601.14</v>
      </c>
      <c r="Y132" s="1">
        <v>600</v>
      </c>
      <c r="Z132" s="1">
        <v>97979.5</v>
      </c>
      <c r="AA132" s="1">
        <v>33.44</v>
      </c>
    </row>
    <row r="133" spans="1:27" x14ac:dyDescent="0.4">
      <c r="A133" s="1" t="s">
        <v>47</v>
      </c>
      <c r="B133" s="1">
        <v>2000</v>
      </c>
      <c r="C133" s="1">
        <v>0.4</v>
      </c>
      <c r="D133" s="1">
        <v>0.5</v>
      </c>
      <c r="E133" s="1">
        <v>1000</v>
      </c>
      <c r="F133" s="1">
        <v>1</v>
      </c>
      <c r="G133" s="1">
        <v>3</v>
      </c>
      <c r="H133" s="1" t="s">
        <v>15</v>
      </c>
      <c r="I133" s="1">
        <v>147212.4</v>
      </c>
      <c r="J133" s="1">
        <v>60036.4</v>
      </c>
      <c r="K133" s="1">
        <v>87176</v>
      </c>
      <c r="L133" s="1">
        <v>600</v>
      </c>
      <c r="M133" s="1">
        <v>600.82000000000005</v>
      </c>
      <c r="N133" s="1">
        <v>32937.9</v>
      </c>
      <c r="O133" s="1">
        <v>47376.2</v>
      </c>
      <c r="P133" s="1">
        <v>80314.100000000006</v>
      </c>
      <c r="Q133" s="1">
        <v>11206.7</v>
      </c>
      <c r="R133" s="1">
        <v>5607.4</v>
      </c>
      <c r="S133" s="1">
        <v>16814.099999999999</v>
      </c>
      <c r="T133" s="1">
        <v>34.020000000000003</v>
      </c>
      <c r="U133" s="1">
        <v>0.11</v>
      </c>
      <c r="V133" s="1">
        <v>5562.6</v>
      </c>
      <c r="W133" s="1">
        <v>16769.3</v>
      </c>
      <c r="X133" s="1">
        <v>600.94000000000005</v>
      </c>
      <c r="Y133" s="1">
        <v>599</v>
      </c>
      <c r="Z133" s="1">
        <v>97083.4</v>
      </c>
      <c r="AA133" s="1">
        <v>34.049999999999997</v>
      </c>
    </row>
    <row r="134" spans="1:27" x14ac:dyDescent="0.4">
      <c r="A134" s="1" t="s">
        <v>48</v>
      </c>
      <c r="B134" s="1">
        <v>2000</v>
      </c>
      <c r="C134" s="1">
        <v>0.4</v>
      </c>
      <c r="D134" s="1">
        <v>0.5</v>
      </c>
      <c r="E134" s="1">
        <v>1000</v>
      </c>
      <c r="F134" s="1">
        <v>1</v>
      </c>
      <c r="G134" s="1">
        <v>4</v>
      </c>
      <c r="H134" s="1" t="s">
        <v>592</v>
      </c>
      <c r="I134" s="1">
        <v>148707.4</v>
      </c>
      <c r="J134" s="1">
        <v>61039</v>
      </c>
      <c r="K134" s="1">
        <v>87668.4</v>
      </c>
      <c r="L134" s="1">
        <v>600</v>
      </c>
      <c r="M134" s="1">
        <v>601.27</v>
      </c>
      <c r="N134" s="1">
        <v>32841.1</v>
      </c>
      <c r="O134" s="1">
        <v>45367</v>
      </c>
      <c r="P134" s="1">
        <v>78208.100000000006</v>
      </c>
      <c r="Q134" s="1">
        <v>12076.4</v>
      </c>
      <c r="R134" s="1">
        <v>6030.1</v>
      </c>
      <c r="S134" s="1">
        <v>18106.5</v>
      </c>
      <c r="T134" s="1">
        <v>35.229999999999997</v>
      </c>
      <c r="U134" s="1">
        <v>0.2</v>
      </c>
      <c r="V134" s="1">
        <v>6017.3</v>
      </c>
      <c r="W134" s="1">
        <v>18093.7</v>
      </c>
      <c r="X134" s="1">
        <v>601.47</v>
      </c>
      <c r="Y134" s="1">
        <v>600</v>
      </c>
      <c r="Z134" s="1">
        <v>96301.8</v>
      </c>
      <c r="AA134" s="1">
        <v>35.24</v>
      </c>
    </row>
    <row r="135" spans="1:27" x14ac:dyDescent="0.4">
      <c r="A135" s="1" t="s">
        <v>48</v>
      </c>
      <c r="B135" s="1">
        <v>2000</v>
      </c>
      <c r="C135" s="1">
        <v>0.4</v>
      </c>
      <c r="D135" s="1">
        <v>0.5</v>
      </c>
      <c r="E135" s="1">
        <v>1000</v>
      </c>
      <c r="F135" s="1">
        <v>1</v>
      </c>
      <c r="G135" s="1">
        <v>4</v>
      </c>
      <c r="H135" s="1" t="s">
        <v>14</v>
      </c>
      <c r="I135" s="1">
        <v>148707.4</v>
      </c>
      <c r="J135" s="1">
        <v>61039</v>
      </c>
      <c r="K135" s="1">
        <v>87668.4</v>
      </c>
      <c r="L135" s="1">
        <v>600</v>
      </c>
      <c r="M135" s="1">
        <v>600</v>
      </c>
      <c r="N135" s="1">
        <v>33526.1</v>
      </c>
      <c r="O135" s="1">
        <v>46348.5</v>
      </c>
      <c r="P135" s="1">
        <v>79874.600000000006</v>
      </c>
      <c r="Q135" s="1">
        <v>11860.2</v>
      </c>
      <c r="R135" s="1">
        <v>6256.9</v>
      </c>
      <c r="S135" s="1">
        <v>18117.099999999999</v>
      </c>
      <c r="T135" s="1">
        <v>34.1</v>
      </c>
      <c r="U135" s="1">
        <v>0.24</v>
      </c>
      <c r="V135" s="1">
        <v>6223.4</v>
      </c>
      <c r="W135" s="1">
        <v>18083.599999999999</v>
      </c>
      <c r="X135" s="1">
        <v>600.24</v>
      </c>
      <c r="Y135" s="1">
        <v>600</v>
      </c>
      <c r="Z135" s="1">
        <v>97958.2</v>
      </c>
      <c r="AA135" s="1">
        <v>34.130000000000003</v>
      </c>
    </row>
    <row r="136" spans="1:27" x14ac:dyDescent="0.4">
      <c r="A136" s="1" t="s">
        <v>48</v>
      </c>
      <c r="B136" s="1">
        <v>2000</v>
      </c>
      <c r="C136" s="1">
        <v>0.4</v>
      </c>
      <c r="D136" s="1">
        <v>0.5</v>
      </c>
      <c r="E136" s="1">
        <v>1000</v>
      </c>
      <c r="F136" s="1">
        <v>1</v>
      </c>
      <c r="G136" s="1">
        <v>4</v>
      </c>
      <c r="H136" s="1" t="s">
        <v>580</v>
      </c>
      <c r="I136" s="1">
        <v>148707.4</v>
      </c>
      <c r="J136" s="1">
        <v>61039</v>
      </c>
      <c r="K136" s="1">
        <v>87668.4</v>
      </c>
      <c r="L136" s="1">
        <v>600</v>
      </c>
      <c r="M136" s="1">
        <v>600.5</v>
      </c>
      <c r="N136" s="1">
        <v>34056.800000000003</v>
      </c>
      <c r="O136" s="1">
        <v>46505.7</v>
      </c>
      <c r="P136" s="1">
        <v>80562.5</v>
      </c>
      <c r="Q136" s="1">
        <v>10845.1</v>
      </c>
      <c r="R136" s="1">
        <v>6449.3</v>
      </c>
      <c r="S136" s="1">
        <v>17294.400000000001</v>
      </c>
      <c r="T136" s="1">
        <v>34.200000000000003</v>
      </c>
      <c r="U136" s="1">
        <v>0.33</v>
      </c>
      <c r="V136" s="1">
        <v>6399.9</v>
      </c>
      <c r="W136" s="1">
        <v>17245</v>
      </c>
      <c r="X136" s="1">
        <v>600.82000000000005</v>
      </c>
      <c r="Y136" s="1">
        <v>600</v>
      </c>
      <c r="Z136" s="1">
        <v>97807.5</v>
      </c>
      <c r="AA136" s="1">
        <v>34.229999999999997</v>
      </c>
    </row>
    <row r="137" spans="1:27" x14ac:dyDescent="0.4">
      <c r="A137" s="1" t="s">
        <v>48</v>
      </c>
      <c r="B137" s="1">
        <v>2000</v>
      </c>
      <c r="C137" s="1">
        <v>0.4</v>
      </c>
      <c r="D137" s="1">
        <v>0.5</v>
      </c>
      <c r="E137" s="1">
        <v>1000</v>
      </c>
      <c r="F137" s="1">
        <v>1</v>
      </c>
      <c r="G137" s="1">
        <v>4</v>
      </c>
      <c r="H137" s="1" t="s">
        <v>15</v>
      </c>
      <c r="I137" s="1">
        <v>148707.4</v>
      </c>
      <c r="J137" s="1">
        <v>61039</v>
      </c>
      <c r="K137" s="1">
        <v>87668.4</v>
      </c>
      <c r="L137" s="1">
        <v>600</v>
      </c>
      <c r="M137" s="1">
        <v>600.62</v>
      </c>
      <c r="N137" s="1">
        <v>33344.9</v>
      </c>
      <c r="O137" s="1">
        <v>46754.3</v>
      </c>
      <c r="P137" s="1">
        <v>80099.199999999997</v>
      </c>
      <c r="Q137" s="1">
        <v>12099.7</v>
      </c>
      <c r="R137" s="1">
        <v>5855.6</v>
      </c>
      <c r="S137" s="1">
        <v>17955.3</v>
      </c>
      <c r="T137" s="1">
        <v>34.06</v>
      </c>
      <c r="U137" s="1">
        <v>0.15</v>
      </c>
      <c r="V137" s="1">
        <v>5823.4</v>
      </c>
      <c r="W137" s="1">
        <v>17923.099999999999</v>
      </c>
      <c r="X137" s="1">
        <v>600.77</v>
      </c>
      <c r="Y137" s="1">
        <v>600</v>
      </c>
      <c r="Z137" s="1">
        <v>98022.3</v>
      </c>
      <c r="AA137" s="1">
        <v>34.08</v>
      </c>
    </row>
    <row r="138" spans="1:27" x14ac:dyDescent="0.4">
      <c r="A138" s="1" t="s">
        <v>49</v>
      </c>
      <c r="B138" s="1">
        <v>2000</v>
      </c>
      <c r="C138" s="1">
        <v>0.4</v>
      </c>
      <c r="D138" s="1">
        <v>0.5</v>
      </c>
      <c r="E138" s="1">
        <v>1000</v>
      </c>
      <c r="F138" s="1">
        <v>1</v>
      </c>
      <c r="G138" s="1">
        <v>5</v>
      </c>
      <c r="H138" s="1" t="s">
        <v>592</v>
      </c>
      <c r="I138" s="1">
        <v>148055.70000000001</v>
      </c>
      <c r="J138" s="1">
        <v>57683</v>
      </c>
      <c r="K138" s="1">
        <v>90372.7</v>
      </c>
      <c r="L138" s="1">
        <v>600</v>
      </c>
      <c r="M138" s="1">
        <v>600.79999999999995</v>
      </c>
      <c r="N138" s="1">
        <v>32460.2</v>
      </c>
      <c r="O138" s="1">
        <v>47842.2</v>
      </c>
      <c r="P138" s="1">
        <v>80302.399999999994</v>
      </c>
      <c r="Q138" s="1">
        <v>11595</v>
      </c>
      <c r="R138" s="1">
        <v>5768.9</v>
      </c>
      <c r="S138" s="1">
        <v>17363.900000000001</v>
      </c>
      <c r="T138" s="1">
        <v>34.03</v>
      </c>
      <c r="U138" s="1">
        <v>0.16</v>
      </c>
      <c r="V138" s="1">
        <v>5768.9</v>
      </c>
      <c r="W138" s="1">
        <v>17363.900000000001</v>
      </c>
      <c r="X138" s="1">
        <v>600.96</v>
      </c>
      <c r="Y138" s="1">
        <v>600</v>
      </c>
      <c r="Z138" s="1">
        <v>97666.3</v>
      </c>
      <c r="AA138" s="1">
        <v>34.03</v>
      </c>
    </row>
    <row r="139" spans="1:27" x14ac:dyDescent="0.4">
      <c r="A139" s="1" t="s">
        <v>49</v>
      </c>
      <c r="B139" s="1">
        <v>2000</v>
      </c>
      <c r="C139" s="1">
        <v>0.4</v>
      </c>
      <c r="D139" s="1">
        <v>0.5</v>
      </c>
      <c r="E139" s="1">
        <v>1000</v>
      </c>
      <c r="F139" s="1">
        <v>1</v>
      </c>
      <c r="G139" s="1">
        <v>5</v>
      </c>
      <c r="H139" s="1" t="s">
        <v>14</v>
      </c>
      <c r="I139" s="1">
        <v>148055.70000000001</v>
      </c>
      <c r="J139" s="1">
        <v>57683</v>
      </c>
      <c r="K139" s="1">
        <v>90372.7</v>
      </c>
      <c r="L139" s="1">
        <v>600</v>
      </c>
      <c r="M139" s="1">
        <v>600</v>
      </c>
      <c r="N139" s="1">
        <v>32000.5</v>
      </c>
      <c r="O139" s="1">
        <v>48026.2</v>
      </c>
      <c r="P139" s="1">
        <v>80026.7</v>
      </c>
      <c r="Q139" s="1">
        <v>11997.7</v>
      </c>
      <c r="R139" s="1">
        <v>6374.3</v>
      </c>
      <c r="S139" s="1">
        <v>18372</v>
      </c>
      <c r="T139" s="1">
        <v>33.54</v>
      </c>
      <c r="U139" s="1">
        <v>0.18</v>
      </c>
      <c r="V139" s="1">
        <v>6353.2</v>
      </c>
      <c r="W139" s="1">
        <v>18350.900000000001</v>
      </c>
      <c r="X139" s="1">
        <v>600.17999999999995</v>
      </c>
      <c r="Y139" s="1">
        <v>600</v>
      </c>
      <c r="Z139" s="1">
        <v>98377.600000000006</v>
      </c>
      <c r="AA139" s="1">
        <v>33.549999999999997</v>
      </c>
    </row>
    <row r="140" spans="1:27" x14ac:dyDescent="0.4">
      <c r="A140" s="1" t="s">
        <v>49</v>
      </c>
      <c r="B140" s="1">
        <v>2000</v>
      </c>
      <c r="C140" s="1">
        <v>0.4</v>
      </c>
      <c r="D140" s="1">
        <v>0.5</v>
      </c>
      <c r="E140" s="1">
        <v>1000</v>
      </c>
      <c r="F140" s="1">
        <v>1</v>
      </c>
      <c r="G140" s="1">
        <v>5</v>
      </c>
      <c r="H140" s="1" t="s">
        <v>580</v>
      </c>
      <c r="I140" s="1">
        <v>148055.70000000001</v>
      </c>
      <c r="J140" s="1">
        <v>57683</v>
      </c>
      <c r="K140" s="1">
        <v>90372.7</v>
      </c>
      <c r="L140" s="1">
        <v>600</v>
      </c>
      <c r="M140" s="1">
        <v>600.01</v>
      </c>
      <c r="N140" s="1">
        <v>33118.9</v>
      </c>
      <c r="O140" s="1">
        <v>48798.400000000001</v>
      </c>
      <c r="P140" s="1">
        <v>81917.3</v>
      </c>
      <c r="Q140" s="1">
        <v>10672</v>
      </c>
      <c r="R140" s="1">
        <v>6671.6</v>
      </c>
      <c r="S140" s="1">
        <v>17343.599999999999</v>
      </c>
      <c r="T140" s="1">
        <v>32.96</v>
      </c>
      <c r="U140" s="1">
        <v>0.48</v>
      </c>
      <c r="V140" s="1">
        <v>6620.8</v>
      </c>
      <c r="W140" s="1">
        <v>17292.8</v>
      </c>
      <c r="X140" s="1">
        <v>600.49</v>
      </c>
      <c r="Y140" s="1">
        <v>600</v>
      </c>
      <c r="Z140" s="1">
        <v>99210.1</v>
      </c>
      <c r="AA140" s="1">
        <v>32.99</v>
      </c>
    </row>
    <row r="141" spans="1:27" x14ac:dyDescent="0.4">
      <c r="A141" s="1" t="s">
        <v>49</v>
      </c>
      <c r="B141" s="1">
        <v>2000</v>
      </c>
      <c r="C141" s="1">
        <v>0.4</v>
      </c>
      <c r="D141" s="1">
        <v>0.5</v>
      </c>
      <c r="E141" s="1">
        <v>1000</v>
      </c>
      <c r="F141" s="1">
        <v>1</v>
      </c>
      <c r="G141" s="1">
        <v>5</v>
      </c>
      <c r="H141" s="1" t="s">
        <v>15</v>
      </c>
      <c r="I141" s="1">
        <v>148055.70000000001</v>
      </c>
      <c r="J141" s="1">
        <v>57683</v>
      </c>
      <c r="K141" s="1">
        <v>90372.7</v>
      </c>
      <c r="L141" s="1">
        <v>600</v>
      </c>
      <c r="M141" s="1">
        <v>600.12</v>
      </c>
      <c r="N141" s="1">
        <v>32883.699999999997</v>
      </c>
      <c r="O141" s="1">
        <v>48259</v>
      </c>
      <c r="P141" s="1">
        <v>81142.7</v>
      </c>
      <c r="Q141" s="1">
        <v>11402.8</v>
      </c>
      <c r="R141" s="1">
        <v>5502.5</v>
      </c>
      <c r="S141" s="1">
        <v>16905.3</v>
      </c>
      <c r="T141" s="1">
        <v>33.78</v>
      </c>
      <c r="U141" s="1">
        <v>0.14000000000000001</v>
      </c>
      <c r="V141" s="1">
        <v>5480</v>
      </c>
      <c r="W141" s="1">
        <v>16882.8</v>
      </c>
      <c r="X141" s="1">
        <v>600.26</v>
      </c>
      <c r="Y141" s="1">
        <v>599</v>
      </c>
      <c r="Z141" s="1">
        <v>98025.5</v>
      </c>
      <c r="AA141" s="1">
        <v>33.79</v>
      </c>
    </row>
    <row r="142" spans="1:27" x14ac:dyDescent="0.4">
      <c r="A142" s="1" t="s">
        <v>50</v>
      </c>
      <c r="B142" s="1">
        <v>2000</v>
      </c>
      <c r="C142" s="1">
        <v>0.4</v>
      </c>
      <c r="D142" s="1">
        <v>0.5</v>
      </c>
      <c r="E142" s="1">
        <v>1000</v>
      </c>
      <c r="F142" s="1">
        <v>2</v>
      </c>
      <c r="G142" s="1">
        <v>1</v>
      </c>
      <c r="H142" s="1" t="s">
        <v>592</v>
      </c>
      <c r="I142" s="1">
        <v>230670.1</v>
      </c>
      <c r="J142" s="1">
        <v>90584.2</v>
      </c>
      <c r="K142" s="1">
        <v>140085.9</v>
      </c>
      <c r="L142" s="1">
        <v>600</v>
      </c>
      <c r="M142" s="1">
        <v>600.54999999999995</v>
      </c>
      <c r="N142" s="1">
        <v>53349.2</v>
      </c>
      <c r="O142" s="1">
        <v>79787.100000000006</v>
      </c>
      <c r="P142" s="1">
        <v>133136.29999999999</v>
      </c>
      <c r="Q142" s="1">
        <v>10778.8</v>
      </c>
      <c r="R142" s="1">
        <v>5028.8</v>
      </c>
      <c r="S142" s="1">
        <v>15807.6</v>
      </c>
      <c r="T142" s="1">
        <v>35.43</v>
      </c>
      <c r="U142" s="1">
        <v>0.22</v>
      </c>
      <c r="V142" s="1">
        <v>5026</v>
      </c>
      <c r="W142" s="1">
        <v>15804.8</v>
      </c>
      <c r="X142" s="1">
        <v>600.77</v>
      </c>
      <c r="Y142" s="1">
        <v>600</v>
      </c>
      <c r="Z142" s="1">
        <v>148941.1</v>
      </c>
      <c r="AA142" s="1">
        <v>35.43</v>
      </c>
    </row>
    <row r="143" spans="1:27" x14ac:dyDescent="0.4">
      <c r="A143" s="1" t="s">
        <v>50</v>
      </c>
      <c r="B143" s="1">
        <v>2000</v>
      </c>
      <c r="C143" s="1">
        <v>0.4</v>
      </c>
      <c r="D143" s="1">
        <v>0.5</v>
      </c>
      <c r="E143" s="1">
        <v>1000</v>
      </c>
      <c r="F143" s="1">
        <v>2</v>
      </c>
      <c r="G143" s="1">
        <v>1</v>
      </c>
      <c r="H143" s="1" t="s">
        <v>14</v>
      </c>
      <c r="I143" s="1">
        <v>230670.1</v>
      </c>
      <c r="J143" s="1">
        <v>90584.2</v>
      </c>
      <c r="K143" s="1">
        <v>140085.9</v>
      </c>
      <c r="L143" s="1">
        <v>600</v>
      </c>
      <c r="M143" s="1">
        <v>600.01</v>
      </c>
      <c r="N143" s="1">
        <v>54095.8</v>
      </c>
      <c r="O143" s="1">
        <v>81321.399999999994</v>
      </c>
      <c r="P143" s="1">
        <v>135417.20000000001</v>
      </c>
      <c r="Q143" s="1">
        <v>10766.2</v>
      </c>
      <c r="R143" s="1">
        <v>5512</v>
      </c>
      <c r="S143" s="1">
        <v>16278.2</v>
      </c>
      <c r="T143" s="1">
        <v>34.24</v>
      </c>
      <c r="U143" s="1">
        <v>0.26</v>
      </c>
      <c r="V143" s="1">
        <v>5425.3</v>
      </c>
      <c r="W143" s="1">
        <v>16191.5</v>
      </c>
      <c r="X143" s="1">
        <v>600.27</v>
      </c>
      <c r="Y143" s="1">
        <v>600</v>
      </c>
      <c r="Z143" s="1">
        <v>151608.70000000001</v>
      </c>
      <c r="AA143" s="1">
        <v>34.270000000000003</v>
      </c>
    </row>
    <row r="144" spans="1:27" x14ac:dyDescent="0.4">
      <c r="A144" s="1" t="s">
        <v>50</v>
      </c>
      <c r="B144" s="1">
        <v>2000</v>
      </c>
      <c r="C144" s="1">
        <v>0.4</v>
      </c>
      <c r="D144" s="1">
        <v>0.5</v>
      </c>
      <c r="E144" s="1">
        <v>1000</v>
      </c>
      <c r="F144" s="1">
        <v>2</v>
      </c>
      <c r="G144" s="1">
        <v>1</v>
      </c>
      <c r="H144" s="1" t="s">
        <v>580</v>
      </c>
      <c r="I144" s="1">
        <v>230670.1</v>
      </c>
      <c r="J144" s="1">
        <v>90584.2</v>
      </c>
      <c r="K144" s="1">
        <v>140085.9</v>
      </c>
      <c r="L144" s="1">
        <v>600</v>
      </c>
      <c r="M144" s="1">
        <v>600.33000000000004</v>
      </c>
      <c r="N144" s="1">
        <v>53341.599999999999</v>
      </c>
      <c r="O144" s="1">
        <v>79321</v>
      </c>
      <c r="P144" s="1">
        <v>132662.6</v>
      </c>
      <c r="Q144" s="1">
        <v>10450.5</v>
      </c>
      <c r="R144" s="1">
        <v>5469.2</v>
      </c>
      <c r="S144" s="1">
        <v>15919.7</v>
      </c>
      <c r="T144" s="1">
        <v>35.590000000000003</v>
      </c>
      <c r="U144" s="1">
        <v>0.37</v>
      </c>
      <c r="V144" s="1">
        <v>5358.2</v>
      </c>
      <c r="W144" s="1">
        <v>15808.7</v>
      </c>
      <c r="X144" s="1">
        <v>600.70000000000005</v>
      </c>
      <c r="Y144" s="1">
        <v>600</v>
      </c>
      <c r="Z144" s="1">
        <v>148471.29999999999</v>
      </c>
      <c r="AA144" s="1">
        <v>35.630000000000003</v>
      </c>
    </row>
    <row r="145" spans="1:27" x14ac:dyDescent="0.4">
      <c r="A145" s="1" t="s">
        <v>50</v>
      </c>
      <c r="B145" s="1">
        <v>2000</v>
      </c>
      <c r="C145" s="1">
        <v>0.4</v>
      </c>
      <c r="D145" s="1">
        <v>0.5</v>
      </c>
      <c r="E145" s="1">
        <v>1000</v>
      </c>
      <c r="F145" s="1">
        <v>2</v>
      </c>
      <c r="G145" s="1">
        <v>1</v>
      </c>
      <c r="H145" s="1" t="s">
        <v>15</v>
      </c>
      <c r="I145" s="1">
        <v>230670.1</v>
      </c>
      <c r="J145" s="1">
        <v>90584.2</v>
      </c>
      <c r="K145" s="1">
        <v>140085.9</v>
      </c>
      <c r="L145" s="1">
        <v>600</v>
      </c>
      <c r="M145" s="1">
        <v>600.04999999999995</v>
      </c>
      <c r="N145" s="1">
        <v>53872</v>
      </c>
      <c r="O145" s="1">
        <v>79920.100000000006</v>
      </c>
      <c r="P145" s="1">
        <v>133792.1</v>
      </c>
      <c r="Q145" s="1">
        <v>10743.6</v>
      </c>
      <c r="R145" s="1">
        <v>5073.8999999999996</v>
      </c>
      <c r="S145" s="1">
        <v>15817.5</v>
      </c>
      <c r="T145" s="1">
        <v>35.14</v>
      </c>
      <c r="U145" s="1">
        <v>0.24</v>
      </c>
      <c r="V145" s="1">
        <v>4957.1000000000004</v>
      </c>
      <c r="W145" s="1">
        <v>15700.7</v>
      </c>
      <c r="X145" s="1">
        <v>600.29</v>
      </c>
      <c r="Y145" s="1">
        <v>600</v>
      </c>
      <c r="Z145" s="1">
        <v>149492.79999999999</v>
      </c>
      <c r="AA145" s="1">
        <v>35.19</v>
      </c>
    </row>
    <row r="146" spans="1:27" x14ac:dyDescent="0.4">
      <c r="A146" s="1" t="s">
        <v>51</v>
      </c>
      <c r="B146" s="1">
        <v>2000</v>
      </c>
      <c r="C146" s="1">
        <v>0.4</v>
      </c>
      <c r="D146" s="1">
        <v>0.5</v>
      </c>
      <c r="E146" s="1">
        <v>1000</v>
      </c>
      <c r="F146" s="1">
        <v>2</v>
      </c>
      <c r="G146" s="1">
        <v>2</v>
      </c>
      <c r="H146" s="1" t="s">
        <v>592</v>
      </c>
      <c r="I146" s="1">
        <v>230566.8</v>
      </c>
      <c r="J146" s="1">
        <v>88402.6</v>
      </c>
      <c r="K146" s="1">
        <v>142164.20000000001</v>
      </c>
      <c r="L146" s="1">
        <v>600</v>
      </c>
      <c r="M146" s="1">
        <v>600</v>
      </c>
      <c r="N146" s="1">
        <v>52016.1</v>
      </c>
      <c r="O146" s="1">
        <v>80980.100000000006</v>
      </c>
      <c r="P146" s="1">
        <v>132996.20000000001</v>
      </c>
      <c r="Q146" s="1">
        <v>10334</v>
      </c>
      <c r="R146" s="1">
        <v>4604.1000000000004</v>
      </c>
      <c r="S146" s="1">
        <v>14938.1</v>
      </c>
      <c r="T146" s="1">
        <v>35.840000000000003</v>
      </c>
      <c r="U146" s="1">
        <v>0.26</v>
      </c>
      <c r="V146" s="1">
        <v>4593.5</v>
      </c>
      <c r="W146" s="1">
        <v>14927.5</v>
      </c>
      <c r="X146" s="1">
        <v>600.26</v>
      </c>
      <c r="Y146" s="1">
        <v>600</v>
      </c>
      <c r="Z146" s="1">
        <v>147923.70000000001</v>
      </c>
      <c r="AA146" s="1">
        <v>35.840000000000003</v>
      </c>
    </row>
    <row r="147" spans="1:27" x14ac:dyDescent="0.4">
      <c r="A147" s="1" t="s">
        <v>51</v>
      </c>
      <c r="B147" s="1">
        <v>2000</v>
      </c>
      <c r="C147" s="1">
        <v>0.4</v>
      </c>
      <c r="D147" s="1">
        <v>0.5</v>
      </c>
      <c r="E147" s="1">
        <v>1000</v>
      </c>
      <c r="F147" s="1">
        <v>2</v>
      </c>
      <c r="G147" s="1">
        <v>2</v>
      </c>
      <c r="H147" s="1" t="s">
        <v>14</v>
      </c>
      <c r="I147" s="1">
        <v>230566.8</v>
      </c>
      <c r="J147" s="1">
        <v>88402.6</v>
      </c>
      <c r="K147" s="1">
        <v>142164.20000000001</v>
      </c>
      <c r="L147" s="1">
        <v>600</v>
      </c>
      <c r="M147" s="1">
        <v>600.01</v>
      </c>
      <c r="N147" s="1">
        <v>51941.7</v>
      </c>
      <c r="O147" s="1">
        <v>82945</v>
      </c>
      <c r="P147" s="1">
        <v>134886.70000000001</v>
      </c>
      <c r="Q147" s="1">
        <v>10702.1</v>
      </c>
      <c r="R147" s="1">
        <v>5206.6000000000004</v>
      </c>
      <c r="S147" s="1">
        <v>15908.7</v>
      </c>
      <c r="T147" s="1">
        <v>34.6</v>
      </c>
      <c r="U147" s="1">
        <v>0.27</v>
      </c>
      <c r="V147" s="1">
        <v>5106.8999999999996</v>
      </c>
      <c r="W147" s="1">
        <v>15809</v>
      </c>
      <c r="X147" s="1">
        <v>600.27</v>
      </c>
      <c r="Y147" s="1">
        <v>600</v>
      </c>
      <c r="Z147" s="1">
        <v>150695.70000000001</v>
      </c>
      <c r="AA147" s="1">
        <v>34.64</v>
      </c>
    </row>
    <row r="148" spans="1:27" x14ac:dyDescent="0.4">
      <c r="A148" s="1" t="s">
        <v>51</v>
      </c>
      <c r="B148" s="1">
        <v>2000</v>
      </c>
      <c r="C148" s="1">
        <v>0.4</v>
      </c>
      <c r="D148" s="1">
        <v>0.5</v>
      </c>
      <c r="E148" s="1">
        <v>1000</v>
      </c>
      <c r="F148" s="1">
        <v>2</v>
      </c>
      <c r="G148" s="1">
        <v>2</v>
      </c>
      <c r="H148" s="1" t="s">
        <v>580</v>
      </c>
      <c r="I148" s="1">
        <v>230566.8</v>
      </c>
      <c r="J148" s="1">
        <v>88402.6</v>
      </c>
      <c r="K148" s="1">
        <v>142164.20000000001</v>
      </c>
      <c r="L148" s="1">
        <v>600</v>
      </c>
      <c r="M148" s="1">
        <v>600.72</v>
      </c>
      <c r="N148" s="1">
        <v>52168.800000000003</v>
      </c>
      <c r="O148" s="1">
        <v>80856</v>
      </c>
      <c r="P148" s="1">
        <v>133024.79999999999</v>
      </c>
      <c r="Q148" s="1">
        <v>10490.7</v>
      </c>
      <c r="R148" s="1">
        <v>5202.5</v>
      </c>
      <c r="S148" s="1">
        <v>15693.2</v>
      </c>
      <c r="T148" s="1">
        <v>35.5</v>
      </c>
      <c r="U148" s="1">
        <v>0.47</v>
      </c>
      <c r="V148" s="1">
        <v>5041</v>
      </c>
      <c r="W148" s="1">
        <v>15531.7</v>
      </c>
      <c r="X148" s="1">
        <v>601.19000000000005</v>
      </c>
      <c r="Y148" s="1">
        <v>600</v>
      </c>
      <c r="Z148" s="1">
        <v>148556.5</v>
      </c>
      <c r="AA148" s="1">
        <v>35.57</v>
      </c>
    </row>
    <row r="149" spans="1:27" x14ac:dyDescent="0.4">
      <c r="A149" s="1" t="s">
        <v>51</v>
      </c>
      <c r="B149" s="1">
        <v>2000</v>
      </c>
      <c r="C149" s="1">
        <v>0.4</v>
      </c>
      <c r="D149" s="1">
        <v>0.5</v>
      </c>
      <c r="E149" s="1">
        <v>1000</v>
      </c>
      <c r="F149" s="1">
        <v>2</v>
      </c>
      <c r="G149" s="1">
        <v>2</v>
      </c>
      <c r="H149" s="1" t="s">
        <v>15</v>
      </c>
      <c r="I149" s="1">
        <v>230566.8</v>
      </c>
      <c r="J149" s="1">
        <v>88402.6</v>
      </c>
      <c r="K149" s="1">
        <v>142164.20000000001</v>
      </c>
      <c r="L149" s="1">
        <v>600</v>
      </c>
      <c r="M149" s="1">
        <v>600.16</v>
      </c>
      <c r="N149" s="1">
        <v>52815.3</v>
      </c>
      <c r="O149" s="1">
        <v>82065.2</v>
      </c>
      <c r="P149" s="1">
        <v>134880.5</v>
      </c>
      <c r="Q149" s="1">
        <v>10600</v>
      </c>
      <c r="R149" s="1">
        <v>4539.6000000000004</v>
      </c>
      <c r="S149" s="1">
        <v>15139.6</v>
      </c>
      <c r="T149" s="1">
        <v>34.93</v>
      </c>
      <c r="U149" s="1">
        <v>0.18</v>
      </c>
      <c r="V149" s="1">
        <v>4452.2</v>
      </c>
      <c r="W149" s="1">
        <v>15052.2</v>
      </c>
      <c r="X149" s="1">
        <v>600.34</v>
      </c>
      <c r="Y149" s="1">
        <v>600</v>
      </c>
      <c r="Z149" s="1">
        <v>149932.70000000001</v>
      </c>
      <c r="AA149" s="1">
        <v>34.97</v>
      </c>
    </row>
    <row r="150" spans="1:27" x14ac:dyDescent="0.4">
      <c r="A150" s="1" t="s">
        <v>52</v>
      </c>
      <c r="B150" s="1">
        <v>2000</v>
      </c>
      <c r="C150" s="1">
        <v>0.4</v>
      </c>
      <c r="D150" s="1">
        <v>0.5</v>
      </c>
      <c r="E150" s="1">
        <v>1000</v>
      </c>
      <c r="F150" s="1">
        <v>2</v>
      </c>
      <c r="G150" s="1">
        <v>3</v>
      </c>
      <c r="H150" s="1" t="s">
        <v>592</v>
      </c>
      <c r="I150" s="1">
        <v>216725.7</v>
      </c>
      <c r="J150" s="1">
        <v>84765.8</v>
      </c>
      <c r="K150" s="1">
        <v>131959.9</v>
      </c>
      <c r="L150" s="1">
        <v>600</v>
      </c>
      <c r="M150" s="1">
        <v>600.29999999999995</v>
      </c>
      <c r="N150" s="1">
        <v>50618.6</v>
      </c>
      <c r="O150" s="1">
        <v>75669.8</v>
      </c>
      <c r="P150" s="1">
        <v>126288.4</v>
      </c>
      <c r="Q150" s="1">
        <v>10261.700000000001</v>
      </c>
      <c r="R150" s="1">
        <v>4629.3999999999996</v>
      </c>
      <c r="S150" s="1">
        <v>14891.1</v>
      </c>
      <c r="T150" s="1">
        <v>34.86</v>
      </c>
      <c r="U150" s="1">
        <v>0.25</v>
      </c>
      <c r="V150" s="1">
        <v>4628</v>
      </c>
      <c r="W150" s="1">
        <v>14889.7</v>
      </c>
      <c r="X150" s="1">
        <v>600.54</v>
      </c>
      <c r="Y150" s="1">
        <v>600</v>
      </c>
      <c r="Z150" s="1">
        <v>141178.1</v>
      </c>
      <c r="AA150" s="1">
        <v>34.86</v>
      </c>
    </row>
    <row r="151" spans="1:27" x14ac:dyDescent="0.4">
      <c r="A151" s="1" t="s">
        <v>52</v>
      </c>
      <c r="B151" s="1">
        <v>2000</v>
      </c>
      <c r="C151" s="1">
        <v>0.4</v>
      </c>
      <c r="D151" s="1">
        <v>0.5</v>
      </c>
      <c r="E151" s="1">
        <v>1000</v>
      </c>
      <c r="F151" s="1">
        <v>2</v>
      </c>
      <c r="G151" s="1">
        <v>3</v>
      </c>
      <c r="H151" s="1" t="s">
        <v>14</v>
      </c>
      <c r="I151" s="1">
        <v>216725.7</v>
      </c>
      <c r="J151" s="1">
        <v>84765.8</v>
      </c>
      <c r="K151" s="1">
        <v>131959.9</v>
      </c>
      <c r="L151" s="1">
        <v>600</v>
      </c>
      <c r="M151" s="1">
        <v>600.01</v>
      </c>
      <c r="N151" s="1">
        <v>49571.8</v>
      </c>
      <c r="O151" s="1">
        <v>76543.5</v>
      </c>
      <c r="P151" s="1">
        <v>126115.3</v>
      </c>
      <c r="Q151" s="1">
        <v>10890.3</v>
      </c>
      <c r="R151" s="1">
        <v>5565.2</v>
      </c>
      <c r="S151" s="1">
        <v>16455.5</v>
      </c>
      <c r="T151" s="1">
        <v>34.22</v>
      </c>
      <c r="U151" s="1">
        <v>0.24</v>
      </c>
      <c r="V151" s="1">
        <v>5429.6</v>
      </c>
      <c r="W151" s="1">
        <v>16319.9</v>
      </c>
      <c r="X151" s="1">
        <v>600.25</v>
      </c>
      <c r="Y151" s="1">
        <v>600</v>
      </c>
      <c r="Z151" s="1">
        <v>142435.20000000001</v>
      </c>
      <c r="AA151" s="1">
        <v>34.28</v>
      </c>
    </row>
    <row r="152" spans="1:27" x14ac:dyDescent="0.4">
      <c r="A152" s="1" t="s">
        <v>52</v>
      </c>
      <c r="B152" s="1">
        <v>2000</v>
      </c>
      <c r="C152" s="1">
        <v>0.4</v>
      </c>
      <c r="D152" s="1">
        <v>0.5</v>
      </c>
      <c r="E152" s="1">
        <v>1000</v>
      </c>
      <c r="F152" s="1">
        <v>2</v>
      </c>
      <c r="G152" s="1">
        <v>3</v>
      </c>
      <c r="H152" s="1" t="s">
        <v>580</v>
      </c>
      <c r="I152" s="1">
        <v>216725.7</v>
      </c>
      <c r="J152" s="1">
        <v>84765.8</v>
      </c>
      <c r="K152" s="1">
        <v>131959.9</v>
      </c>
      <c r="L152" s="1">
        <v>600</v>
      </c>
      <c r="M152" s="1">
        <v>600</v>
      </c>
      <c r="N152" s="1">
        <v>49759.5</v>
      </c>
      <c r="O152" s="1">
        <v>75651</v>
      </c>
      <c r="P152" s="1">
        <v>125410.5</v>
      </c>
      <c r="Q152" s="1">
        <v>10485.700000000001</v>
      </c>
      <c r="R152" s="1">
        <v>5538.3</v>
      </c>
      <c r="S152" s="1">
        <v>16024</v>
      </c>
      <c r="T152" s="1">
        <v>34.74</v>
      </c>
      <c r="U152" s="1">
        <v>0.41</v>
      </c>
      <c r="V152" s="1">
        <v>5404</v>
      </c>
      <c r="W152" s="1">
        <v>15889.7</v>
      </c>
      <c r="X152" s="1">
        <v>600.41</v>
      </c>
      <c r="Y152" s="1">
        <v>600</v>
      </c>
      <c r="Z152" s="1">
        <v>141300.20000000001</v>
      </c>
      <c r="AA152" s="1">
        <v>34.799999999999997</v>
      </c>
    </row>
    <row r="153" spans="1:27" x14ac:dyDescent="0.4">
      <c r="A153" s="1" t="s">
        <v>52</v>
      </c>
      <c r="B153" s="1">
        <v>2000</v>
      </c>
      <c r="C153" s="1">
        <v>0.4</v>
      </c>
      <c r="D153" s="1">
        <v>0.5</v>
      </c>
      <c r="E153" s="1">
        <v>1000</v>
      </c>
      <c r="F153" s="1">
        <v>2</v>
      </c>
      <c r="G153" s="1">
        <v>3</v>
      </c>
      <c r="H153" s="1" t="s">
        <v>15</v>
      </c>
      <c r="I153" s="1">
        <v>216725.7</v>
      </c>
      <c r="J153" s="1">
        <v>84765.8</v>
      </c>
      <c r="K153" s="1">
        <v>131959.9</v>
      </c>
      <c r="L153" s="1">
        <v>600</v>
      </c>
      <c r="M153" s="1">
        <v>600.07000000000005</v>
      </c>
      <c r="N153" s="1">
        <v>49506.8</v>
      </c>
      <c r="O153" s="1">
        <v>76361.2</v>
      </c>
      <c r="P153" s="1">
        <v>125868</v>
      </c>
      <c r="Q153" s="1">
        <v>10578.1</v>
      </c>
      <c r="R153" s="1">
        <v>5029.6000000000004</v>
      </c>
      <c r="S153" s="1">
        <v>15607.7</v>
      </c>
      <c r="T153" s="1">
        <v>34.72</v>
      </c>
      <c r="U153" s="1">
        <v>0.14000000000000001</v>
      </c>
      <c r="V153" s="1">
        <v>4927.1000000000004</v>
      </c>
      <c r="W153" s="1">
        <v>15505.2</v>
      </c>
      <c r="X153" s="1">
        <v>600.20000000000005</v>
      </c>
      <c r="Y153" s="1">
        <v>600</v>
      </c>
      <c r="Z153" s="1">
        <v>141373.20000000001</v>
      </c>
      <c r="AA153" s="1">
        <v>34.770000000000003</v>
      </c>
    </row>
    <row r="154" spans="1:27" x14ac:dyDescent="0.4">
      <c r="A154" s="1" t="s">
        <v>53</v>
      </c>
      <c r="B154" s="1">
        <v>2000</v>
      </c>
      <c r="C154" s="1">
        <v>0.4</v>
      </c>
      <c r="D154" s="1">
        <v>0.5</v>
      </c>
      <c r="E154" s="1">
        <v>1000</v>
      </c>
      <c r="F154" s="1">
        <v>2</v>
      </c>
      <c r="G154" s="1">
        <v>4</v>
      </c>
      <c r="H154" s="1" t="s">
        <v>592</v>
      </c>
      <c r="I154" s="1">
        <v>228249.8</v>
      </c>
      <c r="J154" s="1">
        <v>93670.2</v>
      </c>
      <c r="K154" s="1">
        <v>134579.6</v>
      </c>
      <c r="L154" s="1">
        <v>600</v>
      </c>
      <c r="M154" s="1">
        <v>600.34</v>
      </c>
      <c r="N154" s="1">
        <v>54441</v>
      </c>
      <c r="O154" s="1">
        <v>75856</v>
      </c>
      <c r="P154" s="1">
        <v>130297</v>
      </c>
      <c r="Q154" s="1">
        <v>10565.8</v>
      </c>
      <c r="R154" s="1">
        <v>5120.8</v>
      </c>
      <c r="S154" s="1">
        <v>15686.6</v>
      </c>
      <c r="T154" s="1">
        <v>36.04</v>
      </c>
      <c r="U154" s="1">
        <v>0.24</v>
      </c>
      <c r="V154" s="1">
        <v>5120.8</v>
      </c>
      <c r="W154" s="1">
        <v>15686.6</v>
      </c>
      <c r="X154" s="1">
        <v>600.58000000000004</v>
      </c>
      <c r="Y154" s="1">
        <v>599</v>
      </c>
      <c r="Z154" s="1">
        <v>145983.6</v>
      </c>
      <c r="AA154" s="1">
        <v>36.04</v>
      </c>
    </row>
    <row r="155" spans="1:27" x14ac:dyDescent="0.4">
      <c r="A155" s="1" t="s">
        <v>53</v>
      </c>
      <c r="B155" s="1">
        <v>2000</v>
      </c>
      <c r="C155" s="1">
        <v>0.4</v>
      </c>
      <c r="D155" s="1">
        <v>0.5</v>
      </c>
      <c r="E155" s="1">
        <v>1000</v>
      </c>
      <c r="F155" s="1">
        <v>2</v>
      </c>
      <c r="G155" s="1">
        <v>4</v>
      </c>
      <c r="H155" s="1" t="s">
        <v>14</v>
      </c>
      <c r="I155" s="1">
        <v>228249.8</v>
      </c>
      <c r="J155" s="1">
        <v>93670.2</v>
      </c>
      <c r="K155" s="1">
        <v>134579.6</v>
      </c>
      <c r="L155" s="1">
        <v>600</v>
      </c>
      <c r="M155" s="1">
        <v>600.01</v>
      </c>
      <c r="N155" s="1">
        <v>54449.7</v>
      </c>
      <c r="O155" s="1">
        <v>77050.2</v>
      </c>
      <c r="P155" s="1">
        <v>131499.9</v>
      </c>
      <c r="Q155" s="1">
        <v>11004.3</v>
      </c>
      <c r="R155" s="1">
        <v>5682.7</v>
      </c>
      <c r="S155" s="1">
        <v>16687</v>
      </c>
      <c r="T155" s="1">
        <v>35.08</v>
      </c>
      <c r="U155" s="1">
        <v>0.25</v>
      </c>
      <c r="V155" s="1">
        <v>5606.1</v>
      </c>
      <c r="W155" s="1">
        <v>16610.400000000001</v>
      </c>
      <c r="X155" s="1">
        <v>600.26</v>
      </c>
      <c r="Y155" s="1">
        <v>600</v>
      </c>
      <c r="Z155" s="1">
        <v>148110.29999999999</v>
      </c>
      <c r="AA155" s="1">
        <v>35.11</v>
      </c>
    </row>
    <row r="156" spans="1:27" x14ac:dyDescent="0.4">
      <c r="A156" s="1" t="s">
        <v>53</v>
      </c>
      <c r="B156" s="1">
        <v>2000</v>
      </c>
      <c r="C156" s="1">
        <v>0.4</v>
      </c>
      <c r="D156" s="1">
        <v>0.5</v>
      </c>
      <c r="E156" s="1">
        <v>1000</v>
      </c>
      <c r="F156" s="1">
        <v>2</v>
      </c>
      <c r="G156" s="1">
        <v>4</v>
      </c>
      <c r="H156" s="1" t="s">
        <v>580</v>
      </c>
      <c r="I156" s="1">
        <v>228249.8</v>
      </c>
      <c r="J156" s="1">
        <v>93670.2</v>
      </c>
      <c r="K156" s="1">
        <v>134579.6</v>
      </c>
      <c r="L156" s="1">
        <v>600</v>
      </c>
      <c r="M156" s="1">
        <v>600.85</v>
      </c>
      <c r="N156" s="1">
        <v>53782.5</v>
      </c>
      <c r="O156" s="1">
        <v>76879.100000000006</v>
      </c>
      <c r="P156" s="1">
        <v>130661.6</v>
      </c>
      <c r="Q156" s="1">
        <v>11118.7</v>
      </c>
      <c r="R156" s="1">
        <v>5862.8</v>
      </c>
      <c r="S156" s="1">
        <v>16981.5</v>
      </c>
      <c r="T156" s="1">
        <v>35.32</v>
      </c>
      <c r="U156" s="1">
        <v>0.3</v>
      </c>
      <c r="V156" s="1">
        <v>5746.4</v>
      </c>
      <c r="W156" s="1">
        <v>16865.099999999999</v>
      </c>
      <c r="X156" s="1">
        <v>601.15</v>
      </c>
      <c r="Y156" s="1">
        <v>600</v>
      </c>
      <c r="Z156" s="1">
        <v>147526.70000000001</v>
      </c>
      <c r="AA156" s="1">
        <v>35.369999999999997</v>
      </c>
    </row>
    <row r="157" spans="1:27" x14ac:dyDescent="0.4">
      <c r="A157" s="1" t="s">
        <v>53</v>
      </c>
      <c r="B157" s="1">
        <v>2000</v>
      </c>
      <c r="C157" s="1">
        <v>0.4</v>
      </c>
      <c r="D157" s="1">
        <v>0.5</v>
      </c>
      <c r="E157" s="1">
        <v>1000</v>
      </c>
      <c r="F157" s="1">
        <v>2</v>
      </c>
      <c r="G157" s="1">
        <v>4</v>
      </c>
      <c r="H157" s="1" t="s">
        <v>15</v>
      </c>
      <c r="I157" s="1">
        <v>228249.8</v>
      </c>
      <c r="J157" s="1">
        <v>93670.2</v>
      </c>
      <c r="K157" s="1">
        <v>134579.6</v>
      </c>
      <c r="L157" s="1">
        <v>600</v>
      </c>
      <c r="M157" s="1">
        <v>601.02</v>
      </c>
      <c r="N157" s="1">
        <v>53879.9</v>
      </c>
      <c r="O157" s="1">
        <v>76364</v>
      </c>
      <c r="P157" s="1">
        <v>130243.9</v>
      </c>
      <c r="Q157" s="1">
        <v>10950.7</v>
      </c>
      <c r="R157" s="1">
        <v>5172.5</v>
      </c>
      <c r="S157" s="1">
        <v>16123.2</v>
      </c>
      <c r="T157" s="1">
        <v>35.869999999999997</v>
      </c>
      <c r="U157" s="1">
        <v>0.25</v>
      </c>
      <c r="V157" s="1">
        <v>5106</v>
      </c>
      <c r="W157" s="1">
        <v>16056.7</v>
      </c>
      <c r="X157" s="1">
        <v>601.27</v>
      </c>
      <c r="Y157" s="1">
        <v>600</v>
      </c>
      <c r="Z157" s="1">
        <v>146300.6</v>
      </c>
      <c r="AA157" s="1">
        <v>35.9</v>
      </c>
    </row>
    <row r="158" spans="1:27" x14ac:dyDescent="0.4">
      <c r="A158" s="1" t="s">
        <v>54</v>
      </c>
      <c r="B158" s="1">
        <v>2000</v>
      </c>
      <c r="C158" s="1">
        <v>0.4</v>
      </c>
      <c r="D158" s="1">
        <v>0.5</v>
      </c>
      <c r="E158" s="1">
        <v>1000</v>
      </c>
      <c r="F158" s="1">
        <v>2</v>
      </c>
      <c r="G158" s="1">
        <v>5</v>
      </c>
      <c r="H158" s="1" t="s">
        <v>592</v>
      </c>
      <c r="I158" s="1">
        <v>216003.3</v>
      </c>
      <c r="J158" s="1">
        <v>85862.7</v>
      </c>
      <c r="K158" s="1">
        <v>130140.6</v>
      </c>
      <c r="L158" s="1">
        <v>600</v>
      </c>
      <c r="M158" s="1">
        <v>600.4</v>
      </c>
      <c r="N158" s="1">
        <v>51213.2</v>
      </c>
      <c r="O158" s="1">
        <v>74604.2</v>
      </c>
      <c r="P158" s="1">
        <v>125817.4</v>
      </c>
      <c r="Q158" s="1">
        <v>10575.5</v>
      </c>
      <c r="R158" s="1">
        <v>4913.8999999999996</v>
      </c>
      <c r="S158" s="1">
        <v>15489.4</v>
      </c>
      <c r="T158" s="1">
        <v>34.58</v>
      </c>
      <c r="U158" s="1">
        <v>0.19</v>
      </c>
      <c r="V158" s="1">
        <v>4913.8999999999996</v>
      </c>
      <c r="W158" s="1">
        <v>15489.4</v>
      </c>
      <c r="X158" s="1">
        <v>600.59</v>
      </c>
      <c r="Y158" s="1">
        <v>600</v>
      </c>
      <c r="Z158" s="1">
        <v>141306.79999999999</v>
      </c>
      <c r="AA158" s="1">
        <v>34.58</v>
      </c>
    </row>
    <row r="159" spans="1:27" x14ac:dyDescent="0.4">
      <c r="A159" s="1" t="s">
        <v>54</v>
      </c>
      <c r="B159" s="1">
        <v>2000</v>
      </c>
      <c r="C159" s="1">
        <v>0.4</v>
      </c>
      <c r="D159" s="1">
        <v>0.5</v>
      </c>
      <c r="E159" s="1">
        <v>1000</v>
      </c>
      <c r="F159" s="1">
        <v>2</v>
      </c>
      <c r="G159" s="1">
        <v>5</v>
      </c>
      <c r="H159" s="1" t="s">
        <v>14</v>
      </c>
      <c r="I159" s="1">
        <v>216003.3</v>
      </c>
      <c r="J159" s="1">
        <v>85862.7</v>
      </c>
      <c r="K159" s="1">
        <v>130140.6</v>
      </c>
      <c r="L159" s="1">
        <v>600</v>
      </c>
      <c r="M159" s="1">
        <v>600</v>
      </c>
      <c r="N159" s="1">
        <v>51630</v>
      </c>
      <c r="O159" s="1">
        <v>75577.2</v>
      </c>
      <c r="P159" s="1">
        <v>127207.2</v>
      </c>
      <c r="Q159" s="1">
        <v>10772.7</v>
      </c>
      <c r="R159" s="1">
        <v>5376.8</v>
      </c>
      <c r="S159" s="1">
        <v>16149.5</v>
      </c>
      <c r="T159" s="1">
        <v>33.630000000000003</v>
      </c>
      <c r="U159" s="1">
        <v>0.19</v>
      </c>
      <c r="V159" s="1">
        <v>5292.4</v>
      </c>
      <c r="W159" s="1">
        <v>16065.1</v>
      </c>
      <c r="X159" s="1">
        <v>600.20000000000005</v>
      </c>
      <c r="Y159" s="1">
        <v>600</v>
      </c>
      <c r="Z159" s="1">
        <v>143272.29999999999</v>
      </c>
      <c r="AA159" s="1">
        <v>33.67</v>
      </c>
    </row>
    <row r="160" spans="1:27" x14ac:dyDescent="0.4">
      <c r="A160" s="1" t="s">
        <v>54</v>
      </c>
      <c r="B160" s="1">
        <v>2000</v>
      </c>
      <c r="C160" s="1">
        <v>0.4</v>
      </c>
      <c r="D160" s="1">
        <v>0.5</v>
      </c>
      <c r="E160" s="1">
        <v>1000</v>
      </c>
      <c r="F160" s="1">
        <v>2</v>
      </c>
      <c r="G160" s="1">
        <v>5</v>
      </c>
      <c r="H160" s="1" t="s">
        <v>580</v>
      </c>
      <c r="I160" s="1">
        <v>216003.3</v>
      </c>
      <c r="J160" s="1">
        <v>85862.7</v>
      </c>
      <c r="K160" s="1">
        <v>130140.6</v>
      </c>
      <c r="L160" s="1">
        <v>600</v>
      </c>
      <c r="M160" s="1">
        <v>600.66999999999996</v>
      </c>
      <c r="N160" s="1">
        <v>51815.8</v>
      </c>
      <c r="O160" s="1">
        <v>74824.800000000003</v>
      </c>
      <c r="P160" s="1">
        <v>126640.6</v>
      </c>
      <c r="Q160" s="1">
        <v>10366.5</v>
      </c>
      <c r="R160" s="1">
        <v>5453.5</v>
      </c>
      <c r="S160" s="1">
        <v>15820</v>
      </c>
      <c r="T160" s="1">
        <v>34.049999999999997</v>
      </c>
      <c r="U160" s="1">
        <v>0.35</v>
      </c>
      <c r="V160" s="1">
        <v>5297</v>
      </c>
      <c r="W160" s="1">
        <v>15663.5</v>
      </c>
      <c r="X160" s="1">
        <v>601.02</v>
      </c>
      <c r="Y160" s="1">
        <v>600</v>
      </c>
      <c r="Z160" s="1">
        <v>142304.1</v>
      </c>
      <c r="AA160" s="1">
        <v>34.119999999999997</v>
      </c>
    </row>
    <row r="161" spans="1:27" x14ac:dyDescent="0.4">
      <c r="A161" s="1" t="s">
        <v>54</v>
      </c>
      <c r="B161" s="1">
        <v>2000</v>
      </c>
      <c r="C161" s="1">
        <v>0.4</v>
      </c>
      <c r="D161" s="1">
        <v>0.5</v>
      </c>
      <c r="E161" s="1">
        <v>1000</v>
      </c>
      <c r="F161" s="1">
        <v>2</v>
      </c>
      <c r="G161" s="1">
        <v>5</v>
      </c>
      <c r="H161" s="1" t="s">
        <v>15</v>
      </c>
      <c r="I161" s="1">
        <v>216003.3</v>
      </c>
      <c r="J161" s="1">
        <v>85862.7</v>
      </c>
      <c r="K161" s="1">
        <v>130140.6</v>
      </c>
      <c r="L161" s="1">
        <v>600</v>
      </c>
      <c r="M161" s="1">
        <v>600.24</v>
      </c>
      <c r="N161" s="1">
        <v>51475.199999999997</v>
      </c>
      <c r="O161" s="1">
        <v>74043.5</v>
      </c>
      <c r="P161" s="1">
        <v>125518.7</v>
      </c>
      <c r="Q161" s="1">
        <v>10669.2</v>
      </c>
      <c r="R161" s="1">
        <v>4840.8999999999996</v>
      </c>
      <c r="S161" s="1">
        <v>15510.1</v>
      </c>
      <c r="T161" s="1">
        <v>34.71</v>
      </c>
      <c r="U161" s="1">
        <v>0.26</v>
      </c>
      <c r="V161" s="1">
        <v>4691.8999999999996</v>
      </c>
      <c r="W161" s="1">
        <v>15361.1</v>
      </c>
      <c r="X161" s="1">
        <v>600.51</v>
      </c>
      <c r="Y161" s="1">
        <v>599</v>
      </c>
      <c r="Z161" s="1">
        <v>140879.79999999999</v>
      </c>
      <c r="AA161" s="1">
        <v>34.78</v>
      </c>
    </row>
    <row r="162" spans="1:27" x14ac:dyDescent="0.4">
      <c r="A162" s="1" t="s">
        <v>55</v>
      </c>
      <c r="B162" s="1">
        <v>2000</v>
      </c>
      <c r="C162" s="1">
        <v>0.4</v>
      </c>
      <c r="D162" s="1">
        <v>0.5</v>
      </c>
      <c r="E162" s="1">
        <v>1000</v>
      </c>
      <c r="F162" s="1">
        <v>3</v>
      </c>
      <c r="G162" s="1">
        <v>1</v>
      </c>
      <c r="H162" s="1" t="s">
        <v>592</v>
      </c>
      <c r="I162" s="1">
        <v>276286</v>
      </c>
      <c r="J162" s="1">
        <v>109961</v>
      </c>
      <c r="K162" s="1">
        <v>166325</v>
      </c>
      <c r="L162" s="1">
        <v>600</v>
      </c>
      <c r="M162" s="1">
        <v>600.02</v>
      </c>
      <c r="N162" s="1">
        <v>66242.100000000006</v>
      </c>
      <c r="O162" s="1">
        <v>99229.1</v>
      </c>
      <c r="P162" s="1">
        <v>165471.20000000001</v>
      </c>
      <c r="Q162" s="1">
        <v>10274.200000000001</v>
      </c>
      <c r="R162" s="1">
        <v>4250.3999999999996</v>
      </c>
      <c r="S162" s="1">
        <v>14524.6</v>
      </c>
      <c r="T162" s="1">
        <v>34.85</v>
      </c>
      <c r="U162" s="1">
        <v>0.2</v>
      </c>
      <c r="V162" s="1">
        <v>4250.3999999999996</v>
      </c>
      <c r="W162" s="1">
        <v>14524.6</v>
      </c>
      <c r="X162" s="1">
        <v>600.22</v>
      </c>
      <c r="Y162" s="1">
        <v>600</v>
      </c>
      <c r="Z162" s="1">
        <v>179995.8</v>
      </c>
      <c r="AA162" s="1">
        <v>34.85</v>
      </c>
    </row>
    <row r="163" spans="1:27" x14ac:dyDescent="0.4">
      <c r="A163" s="1" t="s">
        <v>55</v>
      </c>
      <c r="B163" s="1">
        <v>2000</v>
      </c>
      <c r="C163" s="1">
        <v>0.4</v>
      </c>
      <c r="D163" s="1">
        <v>0.5</v>
      </c>
      <c r="E163" s="1">
        <v>1000</v>
      </c>
      <c r="F163" s="1">
        <v>3</v>
      </c>
      <c r="G163" s="1">
        <v>1</v>
      </c>
      <c r="H163" s="1" t="s">
        <v>14</v>
      </c>
      <c r="I163" s="1">
        <v>276286</v>
      </c>
      <c r="J163" s="1">
        <v>109961</v>
      </c>
      <c r="K163" s="1">
        <v>166325</v>
      </c>
      <c r="L163" s="1">
        <v>600</v>
      </c>
      <c r="M163" s="1">
        <v>600.01</v>
      </c>
      <c r="N163" s="1">
        <v>67154.600000000006</v>
      </c>
      <c r="O163" s="1">
        <v>100917.1</v>
      </c>
      <c r="P163" s="1">
        <v>168071.7</v>
      </c>
      <c r="Q163" s="1">
        <v>10223.299999999999</v>
      </c>
      <c r="R163" s="1">
        <v>5019.3999999999996</v>
      </c>
      <c r="S163" s="1">
        <v>15242.7</v>
      </c>
      <c r="T163" s="1">
        <v>33.65</v>
      </c>
      <c r="U163" s="1">
        <v>0.35</v>
      </c>
      <c r="V163" s="1">
        <v>4896.6000000000004</v>
      </c>
      <c r="W163" s="1">
        <v>15119.9</v>
      </c>
      <c r="X163" s="1">
        <v>600.36</v>
      </c>
      <c r="Y163" s="1">
        <v>600</v>
      </c>
      <c r="Z163" s="1">
        <v>183191.6</v>
      </c>
      <c r="AA163" s="1">
        <v>33.69</v>
      </c>
    </row>
    <row r="164" spans="1:27" x14ac:dyDescent="0.4">
      <c r="A164" s="1" t="s">
        <v>55</v>
      </c>
      <c r="B164" s="1">
        <v>2000</v>
      </c>
      <c r="C164" s="1">
        <v>0.4</v>
      </c>
      <c r="D164" s="1">
        <v>0.5</v>
      </c>
      <c r="E164" s="1">
        <v>1000</v>
      </c>
      <c r="F164" s="1">
        <v>3</v>
      </c>
      <c r="G164" s="1">
        <v>1</v>
      </c>
      <c r="H164" s="1" t="s">
        <v>580</v>
      </c>
      <c r="I164" s="1">
        <v>276286</v>
      </c>
      <c r="J164" s="1">
        <v>109961</v>
      </c>
      <c r="K164" s="1">
        <v>166325</v>
      </c>
      <c r="L164" s="1">
        <v>600</v>
      </c>
      <c r="M164" s="1">
        <v>600.16999999999996</v>
      </c>
      <c r="N164" s="1">
        <v>66340.100000000006</v>
      </c>
      <c r="O164" s="1">
        <v>99549.2</v>
      </c>
      <c r="P164" s="1">
        <v>165889.29999999999</v>
      </c>
      <c r="Q164" s="1">
        <v>10504.8</v>
      </c>
      <c r="R164" s="1">
        <v>4613.3999999999996</v>
      </c>
      <c r="S164" s="1">
        <v>15118.2</v>
      </c>
      <c r="T164" s="1">
        <v>34.49</v>
      </c>
      <c r="U164" s="1">
        <v>0.33</v>
      </c>
      <c r="V164" s="1">
        <v>4450.3999999999996</v>
      </c>
      <c r="W164" s="1">
        <v>14955.2</v>
      </c>
      <c r="X164" s="1">
        <v>600.5</v>
      </c>
      <c r="Y164" s="1">
        <v>600</v>
      </c>
      <c r="Z164" s="1">
        <v>180844.5</v>
      </c>
      <c r="AA164" s="1">
        <v>34.54</v>
      </c>
    </row>
    <row r="165" spans="1:27" x14ac:dyDescent="0.4">
      <c r="A165" s="1" t="s">
        <v>55</v>
      </c>
      <c r="B165" s="1">
        <v>2000</v>
      </c>
      <c r="C165" s="1">
        <v>0.4</v>
      </c>
      <c r="D165" s="1">
        <v>0.5</v>
      </c>
      <c r="E165" s="1">
        <v>1000</v>
      </c>
      <c r="F165" s="1">
        <v>3</v>
      </c>
      <c r="G165" s="1">
        <v>1</v>
      </c>
      <c r="H165" s="1" t="s">
        <v>15</v>
      </c>
      <c r="I165" s="1">
        <v>276286</v>
      </c>
      <c r="J165" s="1">
        <v>109961</v>
      </c>
      <c r="K165" s="1">
        <v>166325</v>
      </c>
      <c r="L165" s="1">
        <v>600</v>
      </c>
      <c r="M165" s="1">
        <v>600</v>
      </c>
      <c r="N165" s="1">
        <v>65959.7</v>
      </c>
      <c r="O165" s="1">
        <v>98728.2</v>
      </c>
      <c r="P165" s="1">
        <v>164687.9</v>
      </c>
      <c r="Q165" s="1">
        <v>10399.200000000001</v>
      </c>
      <c r="R165" s="1">
        <v>4565.2</v>
      </c>
      <c r="S165" s="1">
        <v>14964.4</v>
      </c>
      <c r="T165" s="1">
        <v>34.979999999999997</v>
      </c>
      <c r="U165" s="1">
        <v>0.34</v>
      </c>
      <c r="V165" s="1">
        <v>4448</v>
      </c>
      <c r="W165" s="1">
        <v>14847.2</v>
      </c>
      <c r="X165" s="1">
        <v>600.34</v>
      </c>
      <c r="Y165" s="1">
        <v>600</v>
      </c>
      <c r="Z165" s="1">
        <v>179535.1</v>
      </c>
      <c r="AA165" s="1">
        <v>35.020000000000003</v>
      </c>
    </row>
    <row r="166" spans="1:27" x14ac:dyDescent="0.4">
      <c r="A166" s="1" t="s">
        <v>56</v>
      </c>
      <c r="B166" s="1">
        <v>2000</v>
      </c>
      <c r="C166" s="1">
        <v>0.4</v>
      </c>
      <c r="D166" s="1">
        <v>0.5</v>
      </c>
      <c r="E166" s="1">
        <v>1000</v>
      </c>
      <c r="F166" s="1">
        <v>3</v>
      </c>
      <c r="G166" s="1">
        <v>2</v>
      </c>
      <c r="H166" s="1" t="s">
        <v>592</v>
      </c>
      <c r="I166" s="1">
        <v>279729.59999999998</v>
      </c>
      <c r="J166" s="1">
        <v>113230.9</v>
      </c>
      <c r="K166" s="1">
        <v>166498.70000000001</v>
      </c>
      <c r="L166" s="1">
        <v>600</v>
      </c>
      <c r="M166" s="1">
        <v>600.35</v>
      </c>
      <c r="N166" s="1">
        <v>66266.2</v>
      </c>
      <c r="O166" s="1">
        <v>96219.9</v>
      </c>
      <c r="P166" s="1">
        <v>162486.1</v>
      </c>
      <c r="Q166" s="1">
        <v>10447.1</v>
      </c>
      <c r="R166" s="1">
        <v>4448.3</v>
      </c>
      <c r="S166" s="1">
        <v>14895.4</v>
      </c>
      <c r="T166" s="1">
        <v>36.590000000000003</v>
      </c>
      <c r="U166" s="1">
        <v>0.18</v>
      </c>
      <c r="V166" s="1">
        <v>4448.3</v>
      </c>
      <c r="W166" s="1">
        <v>14895.4</v>
      </c>
      <c r="X166" s="1">
        <v>600.54</v>
      </c>
      <c r="Y166" s="1">
        <v>600</v>
      </c>
      <c r="Z166" s="1">
        <v>177381.5</v>
      </c>
      <c r="AA166" s="1">
        <v>36.590000000000003</v>
      </c>
    </row>
    <row r="167" spans="1:27" x14ac:dyDescent="0.4">
      <c r="A167" s="1" t="s">
        <v>56</v>
      </c>
      <c r="B167" s="1">
        <v>2000</v>
      </c>
      <c r="C167" s="1">
        <v>0.4</v>
      </c>
      <c r="D167" s="1">
        <v>0.5</v>
      </c>
      <c r="E167" s="1">
        <v>1000</v>
      </c>
      <c r="F167" s="1">
        <v>3</v>
      </c>
      <c r="G167" s="1">
        <v>2</v>
      </c>
      <c r="H167" s="1" t="s">
        <v>14</v>
      </c>
      <c r="I167" s="1">
        <v>279729.59999999998</v>
      </c>
      <c r="J167" s="1">
        <v>113230.9</v>
      </c>
      <c r="K167" s="1">
        <v>166498.70000000001</v>
      </c>
      <c r="L167" s="1">
        <v>600</v>
      </c>
      <c r="M167" s="1">
        <v>600</v>
      </c>
      <c r="N167" s="1">
        <v>67364.100000000006</v>
      </c>
      <c r="O167" s="1">
        <v>99288.2</v>
      </c>
      <c r="P167" s="1">
        <v>166652.29999999999</v>
      </c>
      <c r="Q167" s="1">
        <v>10394.6</v>
      </c>
      <c r="R167" s="1">
        <v>5055.6000000000004</v>
      </c>
      <c r="S167" s="1">
        <v>15450.2</v>
      </c>
      <c r="T167" s="1">
        <v>34.9</v>
      </c>
      <c r="U167" s="1">
        <v>0.26</v>
      </c>
      <c r="V167" s="1">
        <v>4951.7</v>
      </c>
      <c r="W167" s="1">
        <v>15346.3</v>
      </c>
      <c r="X167" s="1">
        <v>600.26</v>
      </c>
      <c r="Y167" s="1">
        <v>600</v>
      </c>
      <c r="Z167" s="1">
        <v>181998.6</v>
      </c>
      <c r="AA167" s="1">
        <v>34.94</v>
      </c>
    </row>
    <row r="168" spans="1:27" x14ac:dyDescent="0.4">
      <c r="A168" s="1" t="s">
        <v>56</v>
      </c>
      <c r="B168" s="1">
        <v>2000</v>
      </c>
      <c r="C168" s="1">
        <v>0.4</v>
      </c>
      <c r="D168" s="1">
        <v>0.5</v>
      </c>
      <c r="E168" s="1">
        <v>1000</v>
      </c>
      <c r="F168" s="1">
        <v>3</v>
      </c>
      <c r="G168" s="1">
        <v>2</v>
      </c>
      <c r="H168" s="1" t="s">
        <v>580</v>
      </c>
      <c r="I168" s="1">
        <v>279729.59999999998</v>
      </c>
      <c r="J168" s="1">
        <v>113230.9</v>
      </c>
      <c r="K168" s="1">
        <v>166498.70000000001</v>
      </c>
      <c r="L168" s="1">
        <v>600</v>
      </c>
      <c r="M168" s="1">
        <v>600.19000000000005</v>
      </c>
      <c r="N168" s="1">
        <v>66321.7</v>
      </c>
      <c r="O168" s="1">
        <v>96741.5</v>
      </c>
      <c r="P168" s="1">
        <v>163063.20000000001</v>
      </c>
      <c r="Q168" s="1">
        <v>10512.7</v>
      </c>
      <c r="R168" s="1">
        <v>5121.8</v>
      </c>
      <c r="S168" s="1">
        <v>15634.5</v>
      </c>
      <c r="T168" s="1">
        <v>36.119999999999997</v>
      </c>
      <c r="U168" s="1">
        <v>0.36</v>
      </c>
      <c r="V168" s="1">
        <v>4990.1000000000004</v>
      </c>
      <c r="W168" s="1">
        <v>15502.8</v>
      </c>
      <c r="X168" s="1">
        <v>600.54999999999995</v>
      </c>
      <c r="Y168" s="1">
        <v>600</v>
      </c>
      <c r="Z168" s="1">
        <v>178566</v>
      </c>
      <c r="AA168" s="1">
        <v>36.159999999999997</v>
      </c>
    </row>
    <row r="169" spans="1:27" x14ac:dyDescent="0.4">
      <c r="A169" s="1" t="s">
        <v>56</v>
      </c>
      <c r="B169" s="1">
        <v>2000</v>
      </c>
      <c r="C169" s="1">
        <v>0.4</v>
      </c>
      <c r="D169" s="1">
        <v>0.5</v>
      </c>
      <c r="E169" s="1">
        <v>1000</v>
      </c>
      <c r="F169" s="1">
        <v>3</v>
      </c>
      <c r="G169" s="1">
        <v>2</v>
      </c>
      <c r="H169" s="1" t="s">
        <v>15</v>
      </c>
      <c r="I169" s="1">
        <v>279729.59999999998</v>
      </c>
      <c r="J169" s="1">
        <v>113230.9</v>
      </c>
      <c r="K169" s="1">
        <v>166498.70000000001</v>
      </c>
      <c r="L169" s="1">
        <v>600</v>
      </c>
      <c r="M169" s="1">
        <v>600.01</v>
      </c>
      <c r="N169" s="1">
        <v>66230.2</v>
      </c>
      <c r="O169" s="1">
        <v>96336</v>
      </c>
      <c r="P169" s="1">
        <v>162566.20000000001</v>
      </c>
      <c r="Q169" s="1">
        <v>10785.1</v>
      </c>
      <c r="R169" s="1">
        <v>4696.2</v>
      </c>
      <c r="S169" s="1">
        <v>15481.3</v>
      </c>
      <c r="T169" s="1">
        <v>36.35</v>
      </c>
      <c r="U169" s="1">
        <v>0.19</v>
      </c>
      <c r="V169" s="1">
        <v>4562.8</v>
      </c>
      <c r="W169" s="1">
        <v>15347.9</v>
      </c>
      <c r="X169" s="1">
        <v>600.19000000000005</v>
      </c>
      <c r="Y169" s="1">
        <v>600</v>
      </c>
      <c r="Z169" s="1">
        <v>177914.1</v>
      </c>
      <c r="AA169" s="1">
        <v>36.4</v>
      </c>
    </row>
    <row r="170" spans="1:27" x14ac:dyDescent="0.4">
      <c r="A170" s="1" t="s">
        <v>57</v>
      </c>
      <c r="B170" s="1">
        <v>2000</v>
      </c>
      <c r="C170" s="1">
        <v>0.4</v>
      </c>
      <c r="D170" s="1">
        <v>0.5</v>
      </c>
      <c r="E170" s="1">
        <v>1000</v>
      </c>
      <c r="F170" s="1">
        <v>3</v>
      </c>
      <c r="G170" s="1">
        <v>3</v>
      </c>
      <c r="H170" s="1" t="s">
        <v>592</v>
      </c>
      <c r="I170" s="1">
        <v>279169.2</v>
      </c>
      <c r="J170" s="1">
        <v>112698.4</v>
      </c>
      <c r="K170" s="1">
        <v>166470.79999999999</v>
      </c>
      <c r="L170" s="1">
        <v>600</v>
      </c>
      <c r="M170" s="1">
        <v>600</v>
      </c>
      <c r="N170" s="1">
        <v>67846</v>
      </c>
      <c r="O170" s="1">
        <v>98748.7</v>
      </c>
      <c r="P170" s="1">
        <v>166594.70000000001</v>
      </c>
      <c r="Q170" s="1">
        <v>10412.4</v>
      </c>
      <c r="R170" s="1">
        <v>4674</v>
      </c>
      <c r="S170" s="1">
        <v>15086.4</v>
      </c>
      <c r="T170" s="1">
        <v>34.92</v>
      </c>
      <c r="U170" s="1">
        <v>0.23</v>
      </c>
      <c r="V170" s="1">
        <v>4674</v>
      </c>
      <c r="W170" s="1">
        <v>15086.4</v>
      </c>
      <c r="X170" s="1">
        <v>600.24</v>
      </c>
      <c r="Y170" s="1">
        <v>600</v>
      </c>
      <c r="Z170" s="1">
        <v>181681.1</v>
      </c>
      <c r="AA170" s="1">
        <v>34.92</v>
      </c>
    </row>
    <row r="171" spans="1:27" x14ac:dyDescent="0.4">
      <c r="A171" s="1" t="s">
        <v>57</v>
      </c>
      <c r="B171" s="1">
        <v>2000</v>
      </c>
      <c r="C171" s="1">
        <v>0.4</v>
      </c>
      <c r="D171" s="1">
        <v>0.5</v>
      </c>
      <c r="E171" s="1">
        <v>1000</v>
      </c>
      <c r="F171" s="1">
        <v>3</v>
      </c>
      <c r="G171" s="1">
        <v>3</v>
      </c>
      <c r="H171" s="1" t="s">
        <v>14</v>
      </c>
      <c r="I171" s="1">
        <v>279169.2</v>
      </c>
      <c r="J171" s="1">
        <v>112698.4</v>
      </c>
      <c r="K171" s="1">
        <v>166470.79999999999</v>
      </c>
      <c r="L171" s="1">
        <v>600</v>
      </c>
      <c r="M171" s="1">
        <v>600</v>
      </c>
      <c r="N171" s="1">
        <v>68306.600000000006</v>
      </c>
      <c r="O171" s="1">
        <v>100205.9</v>
      </c>
      <c r="P171" s="1">
        <v>168512.5</v>
      </c>
      <c r="Q171" s="1">
        <v>10752.3</v>
      </c>
      <c r="R171" s="1">
        <v>5176.8</v>
      </c>
      <c r="S171" s="1">
        <v>15929.1</v>
      </c>
      <c r="T171" s="1">
        <v>33.93</v>
      </c>
      <c r="U171" s="1">
        <v>0.28999999999999998</v>
      </c>
      <c r="V171" s="1">
        <v>5053.2</v>
      </c>
      <c r="W171" s="1">
        <v>15805.5</v>
      </c>
      <c r="X171" s="1">
        <v>600.29999999999995</v>
      </c>
      <c r="Y171" s="1">
        <v>600</v>
      </c>
      <c r="Z171" s="1">
        <v>184318</v>
      </c>
      <c r="AA171" s="1">
        <v>33.979999999999997</v>
      </c>
    </row>
    <row r="172" spans="1:27" x14ac:dyDescent="0.4">
      <c r="A172" s="1" t="s">
        <v>57</v>
      </c>
      <c r="B172" s="1">
        <v>2000</v>
      </c>
      <c r="C172" s="1">
        <v>0.4</v>
      </c>
      <c r="D172" s="1">
        <v>0.5</v>
      </c>
      <c r="E172" s="1">
        <v>1000</v>
      </c>
      <c r="F172" s="1">
        <v>3</v>
      </c>
      <c r="G172" s="1">
        <v>3</v>
      </c>
      <c r="H172" s="1" t="s">
        <v>580</v>
      </c>
      <c r="I172" s="1">
        <v>279169.2</v>
      </c>
      <c r="J172" s="1">
        <v>112698.4</v>
      </c>
      <c r="K172" s="1">
        <v>166470.79999999999</v>
      </c>
      <c r="L172" s="1">
        <v>600</v>
      </c>
      <c r="M172" s="1">
        <v>600.26</v>
      </c>
      <c r="N172" s="1">
        <v>67904</v>
      </c>
      <c r="O172" s="1">
        <v>98764.6</v>
      </c>
      <c r="P172" s="1">
        <v>166668.6</v>
      </c>
      <c r="Q172" s="1">
        <v>10392</v>
      </c>
      <c r="R172" s="1">
        <v>5100.3999999999996</v>
      </c>
      <c r="S172" s="1">
        <v>15492.4</v>
      </c>
      <c r="T172" s="1">
        <v>34.75</v>
      </c>
      <c r="U172" s="1">
        <v>0.22</v>
      </c>
      <c r="V172" s="1">
        <v>4940.5</v>
      </c>
      <c r="W172" s="1">
        <v>15332.5</v>
      </c>
      <c r="X172" s="1">
        <v>600.48</v>
      </c>
      <c r="Y172" s="1">
        <v>600</v>
      </c>
      <c r="Z172" s="1">
        <v>182001.1</v>
      </c>
      <c r="AA172" s="1">
        <v>34.81</v>
      </c>
    </row>
    <row r="173" spans="1:27" x14ac:dyDescent="0.4">
      <c r="A173" s="1" t="s">
        <v>57</v>
      </c>
      <c r="B173" s="1">
        <v>2000</v>
      </c>
      <c r="C173" s="1">
        <v>0.4</v>
      </c>
      <c r="D173" s="1">
        <v>0.5</v>
      </c>
      <c r="E173" s="1">
        <v>1000</v>
      </c>
      <c r="F173" s="1">
        <v>3</v>
      </c>
      <c r="G173" s="1">
        <v>3</v>
      </c>
      <c r="H173" s="1" t="s">
        <v>15</v>
      </c>
      <c r="I173" s="1">
        <v>279169.2</v>
      </c>
      <c r="J173" s="1">
        <v>112698.4</v>
      </c>
      <c r="K173" s="1">
        <v>166470.79999999999</v>
      </c>
      <c r="L173" s="1">
        <v>600</v>
      </c>
      <c r="M173" s="1">
        <v>600.41</v>
      </c>
      <c r="N173" s="1">
        <v>68128.899999999994</v>
      </c>
      <c r="O173" s="1">
        <v>98794.9</v>
      </c>
      <c r="P173" s="1">
        <v>166923.79999999999</v>
      </c>
      <c r="Q173" s="1">
        <v>10619.1</v>
      </c>
      <c r="R173" s="1">
        <v>4728.5</v>
      </c>
      <c r="S173" s="1">
        <v>15347.6</v>
      </c>
      <c r="T173" s="1">
        <v>34.71</v>
      </c>
      <c r="U173" s="1">
        <v>0.22</v>
      </c>
      <c r="V173" s="1">
        <v>4594.3999999999996</v>
      </c>
      <c r="W173" s="1">
        <v>15213.5</v>
      </c>
      <c r="X173" s="1">
        <v>600.64</v>
      </c>
      <c r="Y173" s="1">
        <v>600</v>
      </c>
      <c r="Z173" s="1">
        <v>182137.3</v>
      </c>
      <c r="AA173" s="1">
        <v>34.76</v>
      </c>
    </row>
    <row r="174" spans="1:27" x14ac:dyDescent="0.4">
      <c r="A174" s="1" t="s">
        <v>58</v>
      </c>
      <c r="B174" s="1">
        <v>2000</v>
      </c>
      <c r="C174" s="1">
        <v>0.4</v>
      </c>
      <c r="D174" s="1">
        <v>0.5</v>
      </c>
      <c r="E174" s="1">
        <v>1000</v>
      </c>
      <c r="F174" s="1">
        <v>3</v>
      </c>
      <c r="G174" s="1">
        <v>4</v>
      </c>
      <c r="H174" s="1" t="s">
        <v>592</v>
      </c>
      <c r="I174" s="1">
        <v>283603</v>
      </c>
      <c r="J174" s="1">
        <v>106923.5</v>
      </c>
      <c r="K174" s="1">
        <v>176679.5</v>
      </c>
      <c r="L174" s="1">
        <v>600</v>
      </c>
      <c r="M174" s="1">
        <v>601.02</v>
      </c>
      <c r="N174" s="1">
        <v>63485.5</v>
      </c>
      <c r="O174" s="1">
        <v>103236.3</v>
      </c>
      <c r="P174" s="1">
        <v>166721.79999999999</v>
      </c>
      <c r="Q174" s="1">
        <v>10715.5</v>
      </c>
      <c r="R174" s="1">
        <v>4707.2</v>
      </c>
      <c r="S174" s="1">
        <v>15422.7</v>
      </c>
      <c r="T174" s="1">
        <v>35.770000000000003</v>
      </c>
      <c r="U174" s="1">
        <v>0.23</v>
      </c>
      <c r="V174" s="1">
        <v>4707.2</v>
      </c>
      <c r="W174" s="1">
        <v>15422.7</v>
      </c>
      <c r="X174" s="1">
        <v>601.25</v>
      </c>
      <c r="Y174" s="1">
        <v>600</v>
      </c>
      <c r="Z174" s="1">
        <v>182144.5</v>
      </c>
      <c r="AA174" s="1">
        <v>35.770000000000003</v>
      </c>
    </row>
    <row r="175" spans="1:27" x14ac:dyDescent="0.4">
      <c r="A175" s="1" t="s">
        <v>58</v>
      </c>
      <c r="B175" s="1">
        <v>2000</v>
      </c>
      <c r="C175" s="1">
        <v>0.4</v>
      </c>
      <c r="D175" s="1">
        <v>0.5</v>
      </c>
      <c r="E175" s="1">
        <v>1000</v>
      </c>
      <c r="F175" s="1">
        <v>3</v>
      </c>
      <c r="G175" s="1">
        <v>4</v>
      </c>
      <c r="H175" s="1" t="s">
        <v>14</v>
      </c>
      <c r="I175" s="1">
        <v>283603</v>
      </c>
      <c r="J175" s="1">
        <v>106923.5</v>
      </c>
      <c r="K175" s="1">
        <v>176679.5</v>
      </c>
      <c r="L175" s="1">
        <v>600</v>
      </c>
      <c r="M175" s="1">
        <v>600.01</v>
      </c>
      <c r="N175" s="1">
        <v>63467.5</v>
      </c>
      <c r="O175" s="1">
        <v>105200.8</v>
      </c>
      <c r="P175" s="1">
        <v>168668.3</v>
      </c>
      <c r="Q175" s="1">
        <v>10552.9</v>
      </c>
      <c r="R175" s="1">
        <v>5461.8</v>
      </c>
      <c r="S175" s="1">
        <v>16014.7</v>
      </c>
      <c r="T175" s="1">
        <v>34.880000000000003</v>
      </c>
      <c r="U175" s="1">
        <v>0.31</v>
      </c>
      <c r="V175" s="1">
        <v>5323.1</v>
      </c>
      <c r="W175" s="1">
        <v>15876</v>
      </c>
      <c r="X175" s="1">
        <v>600.32000000000005</v>
      </c>
      <c r="Y175" s="1">
        <v>600</v>
      </c>
      <c r="Z175" s="1">
        <v>184544.3</v>
      </c>
      <c r="AA175" s="1">
        <v>34.93</v>
      </c>
    </row>
    <row r="176" spans="1:27" x14ac:dyDescent="0.4">
      <c r="A176" s="1" t="s">
        <v>58</v>
      </c>
      <c r="B176" s="1">
        <v>2000</v>
      </c>
      <c r="C176" s="1">
        <v>0.4</v>
      </c>
      <c r="D176" s="1">
        <v>0.5</v>
      </c>
      <c r="E176" s="1">
        <v>1000</v>
      </c>
      <c r="F176" s="1">
        <v>3</v>
      </c>
      <c r="G176" s="1">
        <v>4</v>
      </c>
      <c r="H176" s="1" t="s">
        <v>580</v>
      </c>
      <c r="I176" s="1">
        <v>283603</v>
      </c>
      <c r="J176" s="1">
        <v>106923.5</v>
      </c>
      <c r="K176" s="1">
        <v>176679.5</v>
      </c>
      <c r="L176" s="1">
        <v>600</v>
      </c>
      <c r="M176" s="1">
        <v>600.45000000000005</v>
      </c>
      <c r="N176" s="1">
        <v>63153.8</v>
      </c>
      <c r="O176" s="1">
        <v>103933.8</v>
      </c>
      <c r="P176" s="1">
        <v>167087.6</v>
      </c>
      <c r="Q176" s="1">
        <v>10791.9</v>
      </c>
      <c r="R176" s="1">
        <v>5199.6000000000004</v>
      </c>
      <c r="S176" s="1">
        <v>15991.5</v>
      </c>
      <c r="T176" s="1">
        <v>35.450000000000003</v>
      </c>
      <c r="U176" s="1">
        <v>0.22</v>
      </c>
      <c r="V176" s="1">
        <v>4969.8</v>
      </c>
      <c r="W176" s="1">
        <v>15761.7</v>
      </c>
      <c r="X176" s="1">
        <v>600.66999999999996</v>
      </c>
      <c r="Y176" s="1">
        <v>600</v>
      </c>
      <c r="Z176" s="1">
        <v>182849.3</v>
      </c>
      <c r="AA176" s="1">
        <v>35.53</v>
      </c>
    </row>
    <row r="177" spans="1:27" x14ac:dyDescent="0.4">
      <c r="A177" s="1" t="s">
        <v>58</v>
      </c>
      <c r="B177" s="1">
        <v>2000</v>
      </c>
      <c r="C177" s="1">
        <v>0.4</v>
      </c>
      <c r="D177" s="1">
        <v>0.5</v>
      </c>
      <c r="E177" s="1">
        <v>1000</v>
      </c>
      <c r="F177" s="1">
        <v>3</v>
      </c>
      <c r="G177" s="1">
        <v>4</v>
      </c>
      <c r="H177" s="1" t="s">
        <v>15</v>
      </c>
      <c r="I177" s="1">
        <v>283603</v>
      </c>
      <c r="J177" s="1">
        <v>106923.5</v>
      </c>
      <c r="K177" s="1">
        <v>176679.5</v>
      </c>
      <c r="L177" s="1">
        <v>600</v>
      </c>
      <c r="M177" s="1">
        <v>600.04</v>
      </c>
      <c r="N177" s="1">
        <v>63198.3</v>
      </c>
      <c r="O177" s="1">
        <v>104289.2</v>
      </c>
      <c r="P177" s="1">
        <v>167487.5</v>
      </c>
      <c r="Q177" s="1">
        <v>10874.8</v>
      </c>
      <c r="R177" s="1">
        <v>4702</v>
      </c>
      <c r="S177" s="1">
        <v>15576.8</v>
      </c>
      <c r="T177" s="1">
        <v>35.450000000000003</v>
      </c>
      <c r="U177" s="1">
        <v>0.21</v>
      </c>
      <c r="V177" s="1">
        <v>4542.8999999999996</v>
      </c>
      <c r="W177" s="1">
        <v>15417.7</v>
      </c>
      <c r="X177" s="1">
        <v>600.24</v>
      </c>
      <c r="Y177" s="1">
        <v>600</v>
      </c>
      <c r="Z177" s="1">
        <v>182905.2</v>
      </c>
      <c r="AA177" s="1">
        <v>35.51</v>
      </c>
    </row>
    <row r="178" spans="1:27" x14ac:dyDescent="0.4">
      <c r="A178" s="1" t="s">
        <v>59</v>
      </c>
      <c r="B178" s="1">
        <v>2000</v>
      </c>
      <c r="C178" s="1">
        <v>0.4</v>
      </c>
      <c r="D178" s="1">
        <v>0.5</v>
      </c>
      <c r="E178" s="1">
        <v>1000</v>
      </c>
      <c r="F178" s="1">
        <v>3</v>
      </c>
      <c r="G178" s="1">
        <v>5</v>
      </c>
      <c r="H178" s="1" t="s">
        <v>592</v>
      </c>
      <c r="I178" s="1">
        <v>280909.3</v>
      </c>
      <c r="J178" s="1">
        <v>115396.7</v>
      </c>
      <c r="K178" s="1">
        <v>165512.6</v>
      </c>
      <c r="L178" s="1">
        <v>600</v>
      </c>
      <c r="M178" s="1">
        <v>600.52</v>
      </c>
      <c r="N178" s="1">
        <v>68440.3</v>
      </c>
      <c r="O178" s="1">
        <v>97543.5</v>
      </c>
      <c r="P178" s="1">
        <v>165983.79999999999</v>
      </c>
      <c r="Q178" s="1">
        <v>11078.5</v>
      </c>
      <c r="R178" s="1">
        <v>4828.1000000000004</v>
      </c>
      <c r="S178" s="1">
        <v>15906.6</v>
      </c>
      <c r="T178" s="1">
        <v>35.25</v>
      </c>
      <c r="U178" s="1">
        <v>0.15</v>
      </c>
      <c r="V178" s="1">
        <v>4828.1000000000004</v>
      </c>
      <c r="W178" s="1">
        <v>15906.6</v>
      </c>
      <c r="X178" s="1">
        <v>600.66999999999996</v>
      </c>
      <c r="Y178" s="1">
        <v>600</v>
      </c>
      <c r="Z178" s="1">
        <v>181890.4</v>
      </c>
      <c r="AA178" s="1">
        <v>35.25</v>
      </c>
    </row>
    <row r="179" spans="1:27" x14ac:dyDescent="0.4">
      <c r="A179" s="1" t="s">
        <v>59</v>
      </c>
      <c r="B179" s="1">
        <v>2000</v>
      </c>
      <c r="C179" s="1">
        <v>0.4</v>
      </c>
      <c r="D179" s="1">
        <v>0.5</v>
      </c>
      <c r="E179" s="1">
        <v>1000</v>
      </c>
      <c r="F179" s="1">
        <v>3</v>
      </c>
      <c r="G179" s="1">
        <v>5</v>
      </c>
      <c r="H179" s="1" t="s">
        <v>14</v>
      </c>
      <c r="I179" s="1">
        <v>280909.3</v>
      </c>
      <c r="J179" s="1">
        <v>115396.7</v>
      </c>
      <c r="K179" s="1">
        <v>165512.6</v>
      </c>
      <c r="L179" s="1">
        <v>600</v>
      </c>
      <c r="M179" s="1">
        <v>600.02</v>
      </c>
      <c r="N179" s="1">
        <v>70175.899999999994</v>
      </c>
      <c r="O179" s="1">
        <v>99064</v>
      </c>
      <c r="P179" s="1">
        <v>169239.9</v>
      </c>
      <c r="Q179" s="1">
        <v>10851.3</v>
      </c>
      <c r="R179" s="1">
        <v>5320.6</v>
      </c>
      <c r="S179" s="1">
        <v>16171.9</v>
      </c>
      <c r="T179" s="1">
        <v>34</v>
      </c>
      <c r="U179" s="1">
        <v>0.32</v>
      </c>
      <c r="V179" s="1">
        <v>5279.8</v>
      </c>
      <c r="W179" s="1">
        <v>16131.1</v>
      </c>
      <c r="X179" s="1">
        <v>600.33000000000004</v>
      </c>
      <c r="Y179" s="1">
        <v>600</v>
      </c>
      <c r="Z179" s="1">
        <v>185371</v>
      </c>
      <c r="AA179" s="1">
        <v>34.01</v>
      </c>
    </row>
    <row r="180" spans="1:27" x14ac:dyDescent="0.4">
      <c r="A180" s="1" t="s">
        <v>59</v>
      </c>
      <c r="B180" s="1">
        <v>2000</v>
      </c>
      <c r="C180" s="1">
        <v>0.4</v>
      </c>
      <c r="D180" s="1">
        <v>0.5</v>
      </c>
      <c r="E180" s="1">
        <v>1000</v>
      </c>
      <c r="F180" s="1">
        <v>3</v>
      </c>
      <c r="G180" s="1">
        <v>5</v>
      </c>
      <c r="H180" s="1" t="s">
        <v>580</v>
      </c>
      <c r="I180" s="1">
        <v>280909.3</v>
      </c>
      <c r="J180" s="1">
        <v>115396.7</v>
      </c>
      <c r="K180" s="1">
        <v>165512.6</v>
      </c>
      <c r="L180" s="1">
        <v>600</v>
      </c>
      <c r="M180" s="1">
        <v>600.24</v>
      </c>
      <c r="N180" s="1">
        <v>69043.8</v>
      </c>
      <c r="O180" s="1">
        <v>99222.399999999994</v>
      </c>
      <c r="P180" s="1">
        <v>168266.2</v>
      </c>
      <c r="Q180" s="1">
        <v>10653.9</v>
      </c>
      <c r="R180" s="1">
        <v>5124.3</v>
      </c>
      <c r="S180" s="1">
        <v>15778.2</v>
      </c>
      <c r="T180" s="1">
        <v>34.479999999999997</v>
      </c>
      <c r="U180" s="1">
        <v>0.27</v>
      </c>
      <c r="V180" s="1">
        <v>5039.5</v>
      </c>
      <c r="W180" s="1">
        <v>15693.4</v>
      </c>
      <c r="X180" s="1">
        <v>600.51</v>
      </c>
      <c r="Y180" s="1">
        <v>600</v>
      </c>
      <c r="Z180" s="1">
        <v>183959.6</v>
      </c>
      <c r="AA180" s="1">
        <v>34.51</v>
      </c>
    </row>
    <row r="181" spans="1:27" x14ac:dyDescent="0.4">
      <c r="A181" s="1" t="s">
        <v>59</v>
      </c>
      <c r="B181" s="1">
        <v>2000</v>
      </c>
      <c r="C181" s="1">
        <v>0.4</v>
      </c>
      <c r="D181" s="1">
        <v>0.5</v>
      </c>
      <c r="E181" s="1">
        <v>1000</v>
      </c>
      <c r="F181" s="1">
        <v>3</v>
      </c>
      <c r="G181" s="1">
        <v>5</v>
      </c>
      <c r="H181" s="1" t="s">
        <v>15</v>
      </c>
      <c r="I181" s="1">
        <v>280909.3</v>
      </c>
      <c r="J181" s="1">
        <v>115396.7</v>
      </c>
      <c r="K181" s="1">
        <v>165512.6</v>
      </c>
      <c r="L181" s="1">
        <v>600</v>
      </c>
      <c r="M181" s="1">
        <v>600.66</v>
      </c>
      <c r="N181" s="1">
        <v>69022</v>
      </c>
      <c r="O181" s="1">
        <v>98037.7</v>
      </c>
      <c r="P181" s="1">
        <v>167059.70000000001</v>
      </c>
      <c r="Q181" s="1">
        <v>10533.4</v>
      </c>
      <c r="R181" s="1">
        <v>4551.1000000000004</v>
      </c>
      <c r="S181" s="1">
        <v>15084.5</v>
      </c>
      <c r="T181" s="1">
        <v>35.159999999999997</v>
      </c>
      <c r="U181" s="1">
        <v>0.23</v>
      </c>
      <c r="V181" s="1">
        <v>4470.6000000000004</v>
      </c>
      <c r="W181" s="1">
        <v>15004</v>
      </c>
      <c r="X181" s="1">
        <v>600.89</v>
      </c>
      <c r="Y181" s="1">
        <v>600</v>
      </c>
      <c r="Z181" s="1">
        <v>182063.7</v>
      </c>
      <c r="AA181" s="1">
        <v>35.19</v>
      </c>
    </row>
    <row r="182" spans="1:27" x14ac:dyDescent="0.4">
      <c r="A182" s="1" t="s">
        <v>60</v>
      </c>
      <c r="B182" s="1">
        <v>4000</v>
      </c>
      <c r="C182" s="1">
        <v>0.2</v>
      </c>
      <c r="D182" s="1">
        <v>0.5</v>
      </c>
      <c r="E182" s="1">
        <v>1000</v>
      </c>
      <c r="F182" s="1">
        <v>1</v>
      </c>
      <c r="G182" s="1">
        <v>1</v>
      </c>
      <c r="H182" s="1" t="s">
        <v>592</v>
      </c>
      <c r="I182" s="1">
        <v>176793.4</v>
      </c>
      <c r="J182" s="1">
        <v>69235.899999999994</v>
      </c>
      <c r="K182" s="1">
        <v>107557.5</v>
      </c>
      <c r="L182" s="1">
        <v>1200</v>
      </c>
      <c r="M182" s="1">
        <v>600.58000000000004</v>
      </c>
      <c r="N182" s="1">
        <v>43185.3</v>
      </c>
      <c r="O182" s="1">
        <v>65614.600000000006</v>
      </c>
      <c r="P182" s="1">
        <v>108799.9</v>
      </c>
      <c r="Q182" s="1">
        <v>20775.7</v>
      </c>
      <c r="R182" s="1">
        <v>4180.6000000000004</v>
      </c>
      <c r="S182" s="1">
        <v>24956.3</v>
      </c>
      <c r="T182" s="1">
        <v>24.34</v>
      </c>
      <c r="U182" s="1">
        <v>0.1</v>
      </c>
      <c r="V182" s="1">
        <v>4132.2</v>
      </c>
      <c r="W182" s="1">
        <v>24907.9</v>
      </c>
      <c r="X182" s="1">
        <v>600.67999999999995</v>
      </c>
      <c r="Y182" s="1">
        <v>1199</v>
      </c>
      <c r="Z182" s="1">
        <v>133707.79999999999</v>
      </c>
      <c r="AA182" s="1">
        <v>24.37</v>
      </c>
    </row>
    <row r="183" spans="1:27" x14ac:dyDescent="0.4">
      <c r="A183" s="1" t="s">
        <v>60</v>
      </c>
      <c r="B183" s="1">
        <v>4000</v>
      </c>
      <c r="C183" s="1">
        <v>0.2</v>
      </c>
      <c r="D183" s="1">
        <v>0.5</v>
      </c>
      <c r="E183" s="1">
        <v>1000</v>
      </c>
      <c r="F183" s="1">
        <v>1</v>
      </c>
      <c r="G183" s="1">
        <v>1</v>
      </c>
      <c r="H183" s="1" t="s">
        <v>14</v>
      </c>
      <c r="I183" s="1">
        <v>176793.4</v>
      </c>
      <c r="J183" s="1">
        <v>69235.899999999994</v>
      </c>
      <c r="K183" s="1">
        <v>107557.5</v>
      </c>
      <c r="L183" s="1">
        <v>1200</v>
      </c>
      <c r="M183" s="1">
        <v>600.01</v>
      </c>
      <c r="N183" s="1">
        <v>43244.6</v>
      </c>
      <c r="O183" s="1">
        <v>65890.8</v>
      </c>
      <c r="P183" s="1">
        <v>109135.4</v>
      </c>
      <c r="Q183" s="1">
        <v>21427.3</v>
      </c>
      <c r="R183" s="1">
        <v>4860.1000000000004</v>
      </c>
      <c r="S183" s="1">
        <v>26287.4</v>
      </c>
      <c r="T183" s="1">
        <v>23.4</v>
      </c>
      <c r="U183" s="1">
        <v>0.11</v>
      </c>
      <c r="V183" s="1">
        <v>4801.3</v>
      </c>
      <c r="W183" s="1">
        <v>26228.6</v>
      </c>
      <c r="X183" s="1">
        <v>600.11</v>
      </c>
      <c r="Y183" s="1">
        <v>1199</v>
      </c>
      <c r="Z183" s="1">
        <v>135364</v>
      </c>
      <c r="AA183" s="1">
        <v>23.43</v>
      </c>
    </row>
    <row r="184" spans="1:27" x14ac:dyDescent="0.4">
      <c r="A184" s="1" t="s">
        <v>60</v>
      </c>
      <c r="B184" s="1">
        <v>4000</v>
      </c>
      <c r="C184" s="1">
        <v>0.2</v>
      </c>
      <c r="D184" s="1">
        <v>0.5</v>
      </c>
      <c r="E184" s="1">
        <v>1000</v>
      </c>
      <c r="F184" s="1">
        <v>1</v>
      </c>
      <c r="G184" s="1">
        <v>1</v>
      </c>
      <c r="H184" s="1" t="s">
        <v>580</v>
      </c>
      <c r="I184" s="1">
        <v>176793.4</v>
      </c>
      <c r="J184" s="1">
        <v>69235.899999999994</v>
      </c>
      <c r="K184" s="1">
        <v>107557.5</v>
      </c>
      <c r="L184" s="1">
        <v>1200</v>
      </c>
      <c r="M184" s="1">
        <v>600.79999999999995</v>
      </c>
      <c r="N184" s="1">
        <v>44636.4</v>
      </c>
      <c r="O184" s="1">
        <v>68021.7</v>
      </c>
      <c r="P184" s="1">
        <v>112658.1</v>
      </c>
      <c r="Q184" s="1">
        <v>17101.400000000001</v>
      </c>
      <c r="R184" s="1">
        <v>7426.1</v>
      </c>
      <c r="S184" s="1">
        <v>24527.5</v>
      </c>
      <c r="T184" s="1">
        <v>22.4</v>
      </c>
      <c r="U184" s="1">
        <v>1.39</v>
      </c>
      <c r="V184" s="1">
        <v>7020.2</v>
      </c>
      <c r="W184" s="1">
        <v>24121.599999999999</v>
      </c>
      <c r="X184" s="1">
        <v>602.19000000000005</v>
      </c>
      <c r="Y184" s="1">
        <v>1199</v>
      </c>
      <c r="Z184" s="1">
        <v>136779.70000000001</v>
      </c>
      <c r="AA184" s="1">
        <v>22.63</v>
      </c>
    </row>
    <row r="185" spans="1:27" x14ac:dyDescent="0.4">
      <c r="A185" s="1" t="s">
        <v>60</v>
      </c>
      <c r="B185" s="1">
        <v>4000</v>
      </c>
      <c r="C185" s="1">
        <v>0.2</v>
      </c>
      <c r="D185" s="1">
        <v>0.5</v>
      </c>
      <c r="E185" s="1">
        <v>1000</v>
      </c>
      <c r="F185" s="1">
        <v>1</v>
      </c>
      <c r="G185" s="1">
        <v>1</v>
      </c>
      <c r="H185" s="1" t="s">
        <v>15</v>
      </c>
      <c r="I185" s="1">
        <v>176793.4</v>
      </c>
      <c r="J185" s="1">
        <v>69235.899999999994</v>
      </c>
      <c r="K185" s="1">
        <v>107557.5</v>
      </c>
      <c r="L185" s="1">
        <v>1200</v>
      </c>
      <c r="M185" s="1">
        <v>600.71</v>
      </c>
      <c r="N185" s="1">
        <v>43610.5</v>
      </c>
      <c r="O185" s="1">
        <v>65847.600000000006</v>
      </c>
      <c r="P185" s="1">
        <v>109458.1</v>
      </c>
      <c r="Q185" s="1">
        <v>21229.7</v>
      </c>
      <c r="R185" s="1">
        <v>4237.3</v>
      </c>
      <c r="S185" s="1">
        <v>25467</v>
      </c>
      <c r="T185" s="1">
        <v>23.68</v>
      </c>
      <c r="U185" s="1">
        <v>7.0000000000000007E-2</v>
      </c>
      <c r="V185" s="1">
        <v>4109</v>
      </c>
      <c r="W185" s="1">
        <v>25338.7</v>
      </c>
      <c r="X185" s="1">
        <v>600.78</v>
      </c>
      <c r="Y185" s="1">
        <v>1200</v>
      </c>
      <c r="Z185" s="1">
        <v>134796.79999999999</v>
      </c>
      <c r="AA185" s="1">
        <v>23.75</v>
      </c>
    </row>
    <row r="186" spans="1:27" x14ac:dyDescent="0.4">
      <c r="A186" s="1" t="s">
        <v>61</v>
      </c>
      <c r="B186" s="1">
        <v>4000</v>
      </c>
      <c r="C186" s="1">
        <v>0.2</v>
      </c>
      <c r="D186" s="1">
        <v>0.5</v>
      </c>
      <c r="E186" s="1">
        <v>1000</v>
      </c>
      <c r="F186" s="1">
        <v>1</v>
      </c>
      <c r="G186" s="1">
        <v>2</v>
      </c>
      <c r="H186" s="1" t="s">
        <v>592</v>
      </c>
      <c r="I186" s="1">
        <v>172246.7</v>
      </c>
      <c r="J186" s="1">
        <v>71438.100000000006</v>
      </c>
      <c r="K186" s="1">
        <v>100808.6</v>
      </c>
      <c r="L186" s="1">
        <v>1200</v>
      </c>
      <c r="M186" s="1">
        <v>601.64</v>
      </c>
      <c r="N186" s="1">
        <v>45089.599999999999</v>
      </c>
      <c r="O186" s="1">
        <v>61402.5</v>
      </c>
      <c r="P186" s="1">
        <v>106492.1</v>
      </c>
      <c r="Q186" s="1">
        <v>20780.8</v>
      </c>
      <c r="R186" s="1">
        <v>4266.3999999999996</v>
      </c>
      <c r="S186" s="1">
        <v>25047.200000000001</v>
      </c>
      <c r="T186" s="1">
        <v>23.63</v>
      </c>
      <c r="U186" s="1">
        <v>0.17</v>
      </c>
      <c r="V186" s="1">
        <v>4180.6000000000004</v>
      </c>
      <c r="W186" s="1">
        <v>24961.4</v>
      </c>
      <c r="X186" s="1">
        <v>601.80999999999995</v>
      </c>
      <c r="Y186" s="1">
        <v>1198</v>
      </c>
      <c r="Z186" s="1">
        <v>131453.5</v>
      </c>
      <c r="AA186" s="1">
        <v>23.68</v>
      </c>
    </row>
    <row r="187" spans="1:27" x14ac:dyDescent="0.4">
      <c r="A187" s="1" t="s">
        <v>61</v>
      </c>
      <c r="B187" s="1">
        <v>4000</v>
      </c>
      <c r="C187" s="1">
        <v>0.2</v>
      </c>
      <c r="D187" s="1">
        <v>0.5</v>
      </c>
      <c r="E187" s="1">
        <v>1000</v>
      </c>
      <c r="F187" s="1">
        <v>1</v>
      </c>
      <c r="G187" s="1">
        <v>2</v>
      </c>
      <c r="H187" s="1" t="s">
        <v>14</v>
      </c>
      <c r="I187" s="1">
        <v>172246.7</v>
      </c>
      <c r="J187" s="1">
        <v>71438.100000000006</v>
      </c>
      <c r="K187" s="1">
        <v>100808.6</v>
      </c>
      <c r="L187" s="1">
        <v>1200</v>
      </c>
      <c r="M187" s="1">
        <v>600</v>
      </c>
      <c r="N187" s="1">
        <v>44858.400000000001</v>
      </c>
      <c r="O187" s="1">
        <v>60897.4</v>
      </c>
      <c r="P187" s="1">
        <v>105755.8</v>
      </c>
      <c r="Q187" s="1">
        <v>22118.7</v>
      </c>
      <c r="R187" s="1">
        <v>4653.2</v>
      </c>
      <c r="S187" s="1">
        <v>26771.9</v>
      </c>
      <c r="T187" s="1">
        <v>23.06</v>
      </c>
      <c r="U187" s="1">
        <v>0.09</v>
      </c>
      <c r="V187" s="1">
        <v>4562.7</v>
      </c>
      <c r="W187" s="1">
        <v>26681.4</v>
      </c>
      <c r="X187" s="1">
        <v>600.09</v>
      </c>
      <c r="Y187" s="1">
        <v>1200</v>
      </c>
      <c r="Z187" s="1">
        <v>132437.20000000001</v>
      </c>
      <c r="AA187" s="1">
        <v>23.11</v>
      </c>
    </row>
    <row r="188" spans="1:27" x14ac:dyDescent="0.4">
      <c r="A188" s="1" t="s">
        <v>61</v>
      </c>
      <c r="B188" s="1">
        <v>4000</v>
      </c>
      <c r="C188" s="1">
        <v>0.2</v>
      </c>
      <c r="D188" s="1">
        <v>0.5</v>
      </c>
      <c r="E188" s="1">
        <v>1000</v>
      </c>
      <c r="F188" s="1">
        <v>1</v>
      </c>
      <c r="G188" s="1">
        <v>2</v>
      </c>
      <c r="H188" s="1" t="s">
        <v>580</v>
      </c>
      <c r="I188" s="1">
        <v>172246.7</v>
      </c>
      <c r="J188" s="1">
        <v>71438.100000000006</v>
      </c>
      <c r="K188" s="1">
        <v>100808.6</v>
      </c>
      <c r="L188" s="1">
        <v>1200</v>
      </c>
      <c r="M188" s="1">
        <v>600.96</v>
      </c>
      <c r="N188" s="1">
        <v>46122.9</v>
      </c>
      <c r="O188" s="1">
        <v>63654.9</v>
      </c>
      <c r="P188" s="1">
        <v>109777.8</v>
      </c>
      <c r="Q188" s="1">
        <v>17399.3</v>
      </c>
      <c r="R188" s="1">
        <v>7205.8</v>
      </c>
      <c r="S188" s="1">
        <v>24605.1</v>
      </c>
      <c r="T188" s="1">
        <v>21.98</v>
      </c>
      <c r="U188" s="1">
        <v>1.58</v>
      </c>
      <c r="V188" s="1">
        <v>6909.7</v>
      </c>
      <c r="W188" s="1">
        <v>24309</v>
      </c>
      <c r="X188" s="1">
        <v>602.54</v>
      </c>
      <c r="Y188" s="1">
        <v>1200</v>
      </c>
      <c r="Z188" s="1">
        <v>134086.79999999999</v>
      </c>
      <c r="AA188" s="1">
        <v>22.15</v>
      </c>
    </row>
    <row r="189" spans="1:27" x14ac:dyDescent="0.4">
      <c r="A189" s="1" t="s">
        <v>61</v>
      </c>
      <c r="B189" s="1">
        <v>4000</v>
      </c>
      <c r="C189" s="1">
        <v>0.2</v>
      </c>
      <c r="D189" s="1">
        <v>0.5</v>
      </c>
      <c r="E189" s="1">
        <v>1000</v>
      </c>
      <c r="F189" s="1">
        <v>1</v>
      </c>
      <c r="G189" s="1">
        <v>2</v>
      </c>
      <c r="H189" s="1" t="s">
        <v>15</v>
      </c>
      <c r="I189" s="1">
        <v>172246.7</v>
      </c>
      <c r="J189" s="1">
        <v>71438.100000000006</v>
      </c>
      <c r="K189" s="1">
        <v>100808.6</v>
      </c>
      <c r="L189" s="1">
        <v>1200</v>
      </c>
      <c r="M189" s="1">
        <v>600.46</v>
      </c>
      <c r="N189" s="1">
        <v>45198.5</v>
      </c>
      <c r="O189" s="1">
        <v>61605</v>
      </c>
      <c r="P189" s="1">
        <v>106803.5</v>
      </c>
      <c r="Q189" s="1">
        <v>21963</v>
      </c>
      <c r="R189" s="1">
        <v>3699.5</v>
      </c>
      <c r="S189" s="1">
        <v>25662.5</v>
      </c>
      <c r="T189" s="1">
        <v>23.1</v>
      </c>
      <c r="U189" s="1">
        <v>0.05</v>
      </c>
      <c r="V189" s="1">
        <v>3647.6</v>
      </c>
      <c r="W189" s="1">
        <v>25610.6</v>
      </c>
      <c r="X189" s="1">
        <v>600.51</v>
      </c>
      <c r="Y189" s="1">
        <v>1199</v>
      </c>
      <c r="Z189" s="1">
        <v>132414.1</v>
      </c>
      <c r="AA189" s="1">
        <v>23.13</v>
      </c>
    </row>
    <row r="190" spans="1:27" x14ac:dyDescent="0.4">
      <c r="A190" s="1" t="s">
        <v>62</v>
      </c>
      <c r="B190" s="1">
        <v>4000</v>
      </c>
      <c r="C190" s="1">
        <v>0.2</v>
      </c>
      <c r="D190" s="1">
        <v>0.5</v>
      </c>
      <c r="E190" s="1">
        <v>1000</v>
      </c>
      <c r="F190" s="1">
        <v>1</v>
      </c>
      <c r="G190" s="1">
        <v>3</v>
      </c>
      <c r="H190" s="1" t="s">
        <v>592</v>
      </c>
      <c r="I190" s="1">
        <v>172482.6</v>
      </c>
      <c r="J190" s="1">
        <v>70991</v>
      </c>
      <c r="K190" s="1">
        <v>101491.6</v>
      </c>
      <c r="L190" s="1">
        <v>1200</v>
      </c>
      <c r="M190" s="1">
        <v>600.94000000000005</v>
      </c>
      <c r="N190" s="1">
        <v>43603.199999999997</v>
      </c>
      <c r="O190" s="1">
        <v>62297.3</v>
      </c>
      <c r="P190" s="1">
        <v>105900.5</v>
      </c>
      <c r="Q190" s="1">
        <v>20925.099999999999</v>
      </c>
      <c r="R190" s="1">
        <v>4219.3999999999996</v>
      </c>
      <c r="S190" s="1">
        <v>25144.5</v>
      </c>
      <c r="T190" s="1">
        <v>24.02</v>
      </c>
      <c r="U190" s="1">
        <v>0.13</v>
      </c>
      <c r="V190" s="1">
        <v>4134.3999999999996</v>
      </c>
      <c r="W190" s="1">
        <v>25059.5</v>
      </c>
      <c r="X190" s="1">
        <v>601.07000000000005</v>
      </c>
      <c r="Y190" s="1">
        <v>1197</v>
      </c>
      <c r="Z190" s="1">
        <v>130960</v>
      </c>
      <c r="AA190" s="1">
        <v>24.07</v>
      </c>
    </row>
    <row r="191" spans="1:27" x14ac:dyDescent="0.4">
      <c r="A191" s="1" t="s">
        <v>62</v>
      </c>
      <c r="B191" s="1">
        <v>4000</v>
      </c>
      <c r="C191" s="1">
        <v>0.2</v>
      </c>
      <c r="D191" s="1">
        <v>0.5</v>
      </c>
      <c r="E191" s="1">
        <v>1000</v>
      </c>
      <c r="F191" s="1">
        <v>1</v>
      </c>
      <c r="G191" s="1">
        <v>3</v>
      </c>
      <c r="H191" s="1" t="s">
        <v>14</v>
      </c>
      <c r="I191" s="1">
        <v>172482.6</v>
      </c>
      <c r="J191" s="1">
        <v>70991</v>
      </c>
      <c r="K191" s="1">
        <v>101491.6</v>
      </c>
      <c r="L191" s="1">
        <v>1200</v>
      </c>
      <c r="M191" s="1">
        <v>600</v>
      </c>
      <c r="N191" s="1">
        <v>44206.2</v>
      </c>
      <c r="O191" s="1">
        <v>62238.2</v>
      </c>
      <c r="P191" s="1">
        <v>106444.4</v>
      </c>
      <c r="Q191" s="1">
        <v>21725.1</v>
      </c>
      <c r="R191" s="1">
        <v>4676.2</v>
      </c>
      <c r="S191" s="1">
        <v>26401.3</v>
      </c>
      <c r="T191" s="1">
        <v>22.98</v>
      </c>
      <c r="U191" s="1">
        <v>0.1</v>
      </c>
      <c r="V191" s="1">
        <v>4595.8</v>
      </c>
      <c r="W191" s="1">
        <v>26320.9</v>
      </c>
      <c r="X191" s="1">
        <v>600.11</v>
      </c>
      <c r="Y191" s="1">
        <v>1200</v>
      </c>
      <c r="Z191" s="1">
        <v>132765.29999999999</v>
      </c>
      <c r="AA191" s="1">
        <v>23.03</v>
      </c>
    </row>
    <row r="192" spans="1:27" x14ac:dyDescent="0.4">
      <c r="A192" s="1" t="s">
        <v>62</v>
      </c>
      <c r="B192" s="1">
        <v>4000</v>
      </c>
      <c r="C192" s="1">
        <v>0.2</v>
      </c>
      <c r="D192" s="1">
        <v>0.5</v>
      </c>
      <c r="E192" s="1">
        <v>1000</v>
      </c>
      <c r="F192" s="1">
        <v>1</v>
      </c>
      <c r="G192" s="1">
        <v>3</v>
      </c>
      <c r="H192" s="1" t="s">
        <v>580</v>
      </c>
      <c r="I192" s="1">
        <v>172482.6</v>
      </c>
      <c r="J192" s="1">
        <v>70991</v>
      </c>
      <c r="K192" s="1">
        <v>101491.6</v>
      </c>
      <c r="L192" s="1">
        <v>1200</v>
      </c>
      <c r="M192" s="1">
        <v>600.05999999999995</v>
      </c>
      <c r="N192" s="1">
        <v>44417</v>
      </c>
      <c r="O192" s="1">
        <v>64752.2</v>
      </c>
      <c r="P192" s="1">
        <v>109169.2</v>
      </c>
      <c r="Q192" s="1">
        <v>17305.8</v>
      </c>
      <c r="R192" s="1">
        <v>7333.1</v>
      </c>
      <c r="S192" s="1">
        <v>24638.9</v>
      </c>
      <c r="T192" s="1">
        <v>22.42</v>
      </c>
      <c r="U192" s="1">
        <v>1.48</v>
      </c>
      <c r="V192" s="1">
        <v>7004</v>
      </c>
      <c r="W192" s="1">
        <v>24309.8</v>
      </c>
      <c r="X192" s="1">
        <v>601.54</v>
      </c>
      <c r="Y192" s="1">
        <v>1200</v>
      </c>
      <c r="Z192" s="1">
        <v>133479</v>
      </c>
      <c r="AA192" s="1">
        <v>22.61</v>
      </c>
    </row>
    <row r="193" spans="1:27" x14ac:dyDescent="0.4">
      <c r="A193" s="1" t="s">
        <v>62</v>
      </c>
      <c r="B193" s="1">
        <v>4000</v>
      </c>
      <c r="C193" s="1">
        <v>0.2</v>
      </c>
      <c r="D193" s="1">
        <v>0.5</v>
      </c>
      <c r="E193" s="1">
        <v>1000</v>
      </c>
      <c r="F193" s="1">
        <v>1</v>
      </c>
      <c r="G193" s="1">
        <v>3</v>
      </c>
      <c r="H193" s="1" t="s">
        <v>15</v>
      </c>
      <c r="I193" s="1">
        <v>172482.6</v>
      </c>
      <c r="J193" s="1">
        <v>70991</v>
      </c>
      <c r="K193" s="1">
        <v>101491.6</v>
      </c>
      <c r="L193" s="1">
        <v>1200</v>
      </c>
      <c r="M193" s="1">
        <v>600.02</v>
      </c>
      <c r="N193" s="1">
        <v>43478.3</v>
      </c>
      <c r="O193" s="1">
        <v>62554.6</v>
      </c>
      <c r="P193" s="1">
        <v>106032.9</v>
      </c>
      <c r="Q193" s="1">
        <v>21869.3</v>
      </c>
      <c r="R193" s="1">
        <v>3847.5</v>
      </c>
      <c r="S193" s="1">
        <v>25716.799999999999</v>
      </c>
      <c r="T193" s="1">
        <v>23.62</v>
      </c>
      <c r="U193" s="1">
        <v>0.06</v>
      </c>
      <c r="V193" s="1">
        <v>3719.7</v>
      </c>
      <c r="W193" s="1">
        <v>25589</v>
      </c>
      <c r="X193" s="1">
        <v>600.09</v>
      </c>
      <c r="Y193" s="1">
        <v>1200</v>
      </c>
      <c r="Z193" s="1">
        <v>131621.9</v>
      </c>
      <c r="AA193" s="1">
        <v>23.69</v>
      </c>
    </row>
    <row r="194" spans="1:27" x14ac:dyDescent="0.4">
      <c r="A194" s="1" t="s">
        <v>63</v>
      </c>
      <c r="B194" s="1">
        <v>4000</v>
      </c>
      <c r="C194" s="1">
        <v>0.2</v>
      </c>
      <c r="D194" s="1">
        <v>0.5</v>
      </c>
      <c r="E194" s="1">
        <v>1000</v>
      </c>
      <c r="F194" s="1">
        <v>1</v>
      </c>
      <c r="G194" s="1">
        <v>4</v>
      </c>
      <c r="H194" s="1" t="s">
        <v>592</v>
      </c>
      <c r="I194" s="1">
        <v>178110.7</v>
      </c>
      <c r="J194" s="1">
        <v>73274.7</v>
      </c>
      <c r="K194" s="1">
        <v>104836</v>
      </c>
      <c r="L194" s="1">
        <v>1200</v>
      </c>
      <c r="M194" s="1">
        <v>600</v>
      </c>
      <c r="N194" s="1">
        <v>44972.6</v>
      </c>
      <c r="O194" s="1">
        <v>64064.5</v>
      </c>
      <c r="P194" s="1">
        <v>109037.1</v>
      </c>
      <c r="Q194" s="1">
        <v>21843.4</v>
      </c>
      <c r="R194" s="1">
        <v>4152.3</v>
      </c>
      <c r="S194" s="1">
        <v>25995.7</v>
      </c>
      <c r="T194" s="1">
        <v>24.19</v>
      </c>
      <c r="U194" s="1">
        <v>0.15</v>
      </c>
      <c r="V194" s="1">
        <v>4086.4</v>
      </c>
      <c r="W194" s="1">
        <v>25929.8</v>
      </c>
      <c r="X194" s="1">
        <v>600.16</v>
      </c>
      <c r="Y194" s="1">
        <v>1200</v>
      </c>
      <c r="Z194" s="1">
        <v>134966.9</v>
      </c>
      <c r="AA194" s="1">
        <v>24.22</v>
      </c>
    </row>
    <row r="195" spans="1:27" x14ac:dyDescent="0.4">
      <c r="A195" s="1" t="s">
        <v>63</v>
      </c>
      <c r="B195" s="1">
        <v>4000</v>
      </c>
      <c r="C195" s="1">
        <v>0.2</v>
      </c>
      <c r="D195" s="1">
        <v>0.5</v>
      </c>
      <c r="E195" s="1">
        <v>1000</v>
      </c>
      <c r="F195" s="1">
        <v>1</v>
      </c>
      <c r="G195" s="1">
        <v>4</v>
      </c>
      <c r="H195" s="1" t="s">
        <v>14</v>
      </c>
      <c r="I195" s="1">
        <v>178110.7</v>
      </c>
      <c r="J195" s="1">
        <v>73274.7</v>
      </c>
      <c r="K195" s="1">
        <v>104836</v>
      </c>
      <c r="L195" s="1">
        <v>1200</v>
      </c>
      <c r="M195" s="1">
        <v>600</v>
      </c>
      <c r="N195" s="1">
        <v>45224.4</v>
      </c>
      <c r="O195" s="1">
        <v>64091.9</v>
      </c>
      <c r="P195" s="1">
        <v>109316.3</v>
      </c>
      <c r="Q195" s="1">
        <v>21772</v>
      </c>
      <c r="R195" s="1">
        <v>5307.8</v>
      </c>
      <c r="S195" s="1">
        <v>27079.8</v>
      </c>
      <c r="T195" s="1">
        <v>23.42</v>
      </c>
      <c r="U195" s="1">
        <v>0.09</v>
      </c>
      <c r="V195" s="1">
        <v>5223.6000000000004</v>
      </c>
      <c r="W195" s="1">
        <v>26995.599999999999</v>
      </c>
      <c r="X195" s="1">
        <v>600.1</v>
      </c>
      <c r="Y195" s="1">
        <v>1199</v>
      </c>
      <c r="Z195" s="1">
        <v>136311.9</v>
      </c>
      <c r="AA195" s="1">
        <v>23.47</v>
      </c>
    </row>
    <row r="196" spans="1:27" x14ac:dyDescent="0.4">
      <c r="A196" s="1" t="s">
        <v>63</v>
      </c>
      <c r="B196" s="1">
        <v>4000</v>
      </c>
      <c r="C196" s="1">
        <v>0.2</v>
      </c>
      <c r="D196" s="1">
        <v>0.5</v>
      </c>
      <c r="E196" s="1">
        <v>1000</v>
      </c>
      <c r="F196" s="1">
        <v>1</v>
      </c>
      <c r="G196" s="1">
        <v>4</v>
      </c>
      <c r="H196" s="1" t="s">
        <v>580</v>
      </c>
      <c r="I196" s="1">
        <v>178110.7</v>
      </c>
      <c r="J196" s="1">
        <v>73274.7</v>
      </c>
      <c r="K196" s="1">
        <v>104836</v>
      </c>
      <c r="L196" s="1">
        <v>1200</v>
      </c>
      <c r="M196" s="1">
        <v>600.04999999999995</v>
      </c>
      <c r="N196" s="1">
        <v>47000</v>
      </c>
      <c r="O196" s="1">
        <v>66282</v>
      </c>
      <c r="P196" s="1">
        <v>113282</v>
      </c>
      <c r="Q196" s="1">
        <v>17355.5</v>
      </c>
      <c r="R196" s="1">
        <v>7689.5</v>
      </c>
      <c r="S196" s="1">
        <v>25045</v>
      </c>
      <c r="T196" s="1">
        <v>22.34</v>
      </c>
      <c r="U196" s="1">
        <v>1.53</v>
      </c>
      <c r="V196" s="1">
        <v>7322.1</v>
      </c>
      <c r="W196" s="1">
        <v>24677.599999999999</v>
      </c>
      <c r="X196" s="1">
        <v>601.57000000000005</v>
      </c>
      <c r="Y196" s="1">
        <v>1200</v>
      </c>
      <c r="Z196" s="1">
        <v>137959.6</v>
      </c>
      <c r="AA196" s="1">
        <v>22.54</v>
      </c>
    </row>
    <row r="197" spans="1:27" x14ac:dyDescent="0.4">
      <c r="A197" s="1" t="s">
        <v>63</v>
      </c>
      <c r="B197" s="1">
        <v>4000</v>
      </c>
      <c r="C197" s="1">
        <v>0.2</v>
      </c>
      <c r="D197" s="1">
        <v>0.5</v>
      </c>
      <c r="E197" s="1">
        <v>1000</v>
      </c>
      <c r="F197" s="1">
        <v>1</v>
      </c>
      <c r="G197" s="1">
        <v>4</v>
      </c>
      <c r="H197" s="1" t="s">
        <v>15</v>
      </c>
      <c r="I197" s="1">
        <v>178110.7</v>
      </c>
      <c r="J197" s="1">
        <v>73274.7</v>
      </c>
      <c r="K197" s="1">
        <v>104836</v>
      </c>
      <c r="L197" s="1">
        <v>1200</v>
      </c>
      <c r="M197" s="1">
        <v>600</v>
      </c>
      <c r="N197" s="1">
        <v>45419.7</v>
      </c>
      <c r="O197" s="1">
        <v>64605.5</v>
      </c>
      <c r="P197" s="1">
        <v>110025.2</v>
      </c>
      <c r="Q197" s="1">
        <v>22144.7</v>
      </c>
      <c r="R197" s="1">
        <v>3992.3</v>
      </c>
      <c r="S197" s="1">
        <v>26137</v>
      </c>
      <c r="T197" s="1">
        <v>23.55</v>
      </c>
      <c r="U197" s="1">
        <v>0.08</v>
      </c>
      <c r="V197" s="1">
        <v>3892.6</v>
      </c>
      <c r="W197" s="1">
        <v>26037.3</v>
      </c>
      <c r="X197" s="1">
        <v>600.08000000000004</v>
      </c>
      <c r="Y197" s="1">
        <v>1200</v>
      </c>
      <c r="Z197" s="1">
        <v>136062.5</v>
      </c>
      <c r="AA197" s="1">
        <v>23.61</v>
      </c>
    </row>
    <row r="198" spans="1:27" x14ac:dyDescent="0.4">
      <c r="A198" s="1" t="s">
        <v>64</v>
      </c>
      <c r="B198" s="1">
        <v>4000</v>
      </c>
      <c r="C198" s="1">
        <v>0.2</v>
      </c>
      <c r="D198" s="1">
        <v>0.5</v>
      </c>
      <c r="E198" s="1">
        <v>1000</v>
      </c>
      <c r="F198" s="1">
        <v>1</v>
      </c>
      <c r="G198" s="1">
        <v>5</v>
      </c>
      <c r="H198" s="1" t="s">
        <v>592</v>
      </c>
      <c r="I198" s="1">
        <v>179070</v>
      </c>
      <c r="J198" s="1">
        <v>69970.8</v>
      </c>
      <c r="K198" s="1">
        <v>109099.2</v>
      </c>
      <c r="L198" s="1">
        <v>1200</v>
      </c>
      <c r="M198" s="1">
        <v>601.07000000000005</v>
      </c>
      <c r="N198" s="1">
        <v>44497.3</v>
      </c>
      <c r="O198" s="1">
        <v>66326.100000000006</v>
      </c>
      <c r="P198" s="1">
        <v>110823.4</v>
      </c>
      <c r="Q198" s="1">
        <v>21594.9</v>
      </c>
      <c r="R198" s="1">
        <v>4151.3</v>
      </c>
      <c r="S198" s="1">
        <v>25746.2</v>
      </c>
      <c r="T198" s="1">
        <v>23.73</v>
      </c>
      <c r="U198" s="1">
        <v>0.11</v>
      </c>
      <c r="V198" s="1">
        <v>4133.7</v>
      </c>
      <c r="W198" s="1">
        <v>25728.6</v>
      </c>
      <c r="X198" s="1">
        <v>601.17999999999995</v>
      </c>
      <c r="Y198" s="1">
        <v>1200</v>
      </c>
      <c r="Z198" s="1">
        <v>136552</v>
      </c>
      <c r="AA198" s="1">
        <v>23.74</v>
      </c>
    </row>
    <row r="199" spans="1:27" x14ac:dyDescent="0.4">
      <c r="A199" s="1" t="s">
        <v>64</v>
      </c>
      <c r="B199" s="1">
        <v>4000</v>
      </c>
      <c r="C199" s="1">
        <v>0.2</v>
      </c>
      <c r="D199" s="1">
        <v>0.5</v>
      </c>
      <c r="E199" s="1">
        <v>1000</v>
      </c>
      <c r="F199" s="1">
        <v>1</v>
      </c>
      <c r="G199" s="1">
        <v>5</v>
      </c>
      <c r="H199" s="1" t="s">
        <v>14</v>
      </c>
      <c r="I199" s="1">
        <v>179070</v>
      </c>
      <c r="J199" s="1">
        <v>69970.8</v>
      </c>
      <c r="K199" s="1">
        <v>109099.2</v>
      </c>
      <c r="L199" s="1">
        <v>1200</v>
      </c>
      <c r="M199" s="1">
        <v>600</v>
      </c>
      <c r="N199" s="1">
        <v>44975.3</v>
      </c>
      <c r="O199" s="1">
        <v>66370.7</v>
      </c>
      <c r="P199" s="1">
        <v>111346</v>
      </c>
      <c r="Q199" s="1">
        <v>21897.7</v>
      </c>
      <c r="R199" s="1">
        <v>4828.3</v>
      </c>
      <c r="S199" s="1">
        <v>26726</v>
      </c>
      <c r="T199" s="1">
        <v>22.89</v>
      </c>
      <c r="U199" s="1">
        <v>7.0000000000000007E-2</v>
      </c>
      <c r="V199" s="1">
        <v>4712.2</v>
      </c>
      <c r="W199" s="1">
        <v>26609.9</v>
      </c>
      <c r="X199" s="1">
        <v>600.07000000000005</v>
      </c>
      <c r="Y199" s="1">
        <v>1200</v>
      </c>
      <c r="Z199" s="1">
        <v>137955.9</v>
      </c>
      <c r="AA199" s="1">
        <v>22.96</v>
      </c>
    </row>
    <row r="200" spans="1:27" x14ac:dyDescent="0.4">
      <c r="A200" s="1" t="s">
        <v>64</v>
      </c>
      <c r="B200" s="1">
        <v>4000</v>
      </c>
      <c r="C200" s="1">
        <v>0.2</v>
      </c>
      <c r="D200" s="1">
        <v>0.5</v>
      </c>
      <c r="E200" s="1">
        <v>1000</v>
      </c>
      <c r="F200" s="1">
        <v>1</v>
      </c>
      <c r="G200" s="1">
        <v>5</v>
      </c>
      <c r="H200" s="1" t="s">
        <v>580</v>
      </c>
      <c r="I200" s="1">
        <v>179070</v>
      </c>
      <c r="J200" s="1">
        <v>69970.8</v>
      </c>
      <c r="K200" s="1">
        <v>109099.2</v>
      </c>
      <c r="L200" s="1">
        <v>1200</v>
      </c>
      <c r="M200" s="1">
        <v>600.33000000000004</v>
      </c>
      <c r="N200" s="1">
        <v>45881.3</v>
      </c>
      <c r="O200" s="1">
        <v>68307.5</v>
      </c>
      <c r="P200" s="1">
        <v>114188.8</v>
      </c>
      <c r="Q200" s="1">
        <v>17921.3</v>
      </c>
      <c r="R200" s="1">
        <v>7264.1</v>
      </c>
      <c r="S200" s="1">
        <v>25185.4</v>
      </c>
      <c r="T200" s="1">
        <v>22.17</v>
      </c>
      <c r="U200" s="1">
        <v>1.63</v>
      </c>
      <c r="V200" s="1">
        <v>6943.1</v>
      </c>
      <c r="W200" s="1">
        <v>24864.400000000001</v>
      </c>
      <c r="X200" s="1">
        <v>601.95000000000005</v>
      </c>
      <c r="Y200" s="1">
        <v>1200</v>
      </c>
      <c r="Z200" s="1">
        <v>139053.20000000001</v>
      </c>
      <c r="AA200" s="1">
        <v>22.35</v>
      </c>
    </row>
    <row r="201" spans="1:27" x14ac:dyDescent="0.4">
      <c r="A201" s="1" t="s">
        <v>64</v>
      </c>
      <c r="B201" s="1">
        <v>4000</v>
      </c>
      <c r="C201" s="1">
        <v>0.2</v>
      </c>
      <c r="D201" s="1">
        <v>0.5</v>
      </c>
      <c r="E201" s="1">
        <v>1000</v>
      </c>
      <c r="F201" s="1">
        <v>1</v>
      </c>
      <c r="G201" s="1">
        <v>5</v>
      </c>
      <c r="H201" s="1" t="s">
        <v>15</v>
      </c>
      <c r="I201" s="1">
        <v>179070</v>
      </c>
      <c r="J201" s="1">
        <v>69970.8</v>
      </c>
      <c r="K201" s="1">
        <v>109099.2</v>
      </c>
      <c r="L201" s="1">
        <v>1200</v>
      </c>
      <c r="M201" s="1">
        <v>600.97</v>
      </c>
      <c r="N201" s="1">
        <v>45373.5</v>
      </c>
      <c r="O201" s="1">
        <v>66470.8</v>
      </c>
      <c r="P201" s="1">
        <v>111844.3</v>
      </c>
      <c r="Q201" s="1">
        <v>21615.599999999999</v>
      </c>
      <c r="R201" s="1">
        <v>3986.5</v>
      </c>
      <c r="S201" s="1">
        <v>25602.1</v>
      </c>
      <c r="T201" s="1">
        <v>23.24</v>
      </c>
      <c r="U201" s="1">
        <v>7.0000000000000007E-2</v>
      </c>
      <c r="V201" s="1">
        <v>3914.7</v>
      </c>
      <c r="W201" s="1">
        <v>25530.3</v>
      </c>
      <c r="X201" s="1">
        <v>601.04</v>
      </c>
      <c r="Y201" s="1">
        <v>1200</v>
      </c>
      <c r="Z201" s="1">
        <v>137374.6</v>
      </c>
      <c r="AA201" s="1">
        <v>23.28</v>
      </c>
    </row>
    <row r="202" spans="1:27" x14ac:dyDescent="0.4">
      <c r="A202" s="1" t="s">
        <v>65</v>
      </c>
      <c r="B202" s="1">
        <v>4000</v>
      </c>
      <c r="C202" s="1">
        <v>0.2</v>
      </c>
      <c r="D202" s="1">
        <v>0.5</v>
      </c>
      <c r="E202" s="1">
        <v>1000</v>
      </c>
      <c r="F202" s="1">
        <v>2</v>
      </c>
      <c r="G202" s="1">
        <v>1</v>
      </c>
      <c r="H202" s="1" t="s">
        <v>592</v>
      </c>
      <c r="I202" s="1">
        <v>266347.90000000002</v>
      </c>
      <c r="J202" s="1">
        <v>100159.7</v>
      </c>
      <c r="K202" s="1">
        <v>166188.20000000001</v>
      </c>
      <c r="L202" s="1">
        <v>1200</v>
      </c>
      <c r="M202" s="1">
        <v>600.79</v>
      </c>
      <c r="N202" s="1">
        <v>67274.2</v>
      </c>
      <c r="O202" s="1">
        <v>103646.8</v>
      </c>
      <c r="P202" s="1">
        <v>170921</v>
      </c>
      <c r="Q202" s="1">
        <v>20551.8</v>
      </c>
      <c r="R202" s="1">
        <v>4846.5</v>
      </c>
      <c r="S202" s="1">
        <v>25398.3</v>
      </c>
      <c r="T202" s="1">
        <v>26.29</v>
      </c>
      <c r="U202" s="1">
        <v>0.14000000000000001</v>
      </c>
      <c r="V202" s="1">
        <v>4825.3999999999996</v>
      </c>
      <c r="W202" s="1">
        <v>25377.200000000001</v>
      </c>
      <c r="X202" s="1">
        <v>600.92999999999995</v>
      </c>
      <c r="Y202" s="1">
        <v>1199</v>
      </c>
      <c r="Z202" s="1">
        <v>196298.2</v>
      </c>
      <c r="AA202" s="1">
        <v>26.3</v>
      </c>
    </row>
    <row r="203" spans="1:27" x14ac:dyDescent="0.4">
      <c r="A203" s="1" t="s">
        <v>65</v>
      </c>
      <c r="B203" s="1">
        <v>4000</v>
      </c>
      <c r="C203" s="1">
        <v>0.2</v>
      </c>
      <c r="D203" s="1">
        <v>0.5</v>
      </c>
      <c r="E203" s="1">
        <v>1000</v>
      </c>
      <c r="F203" s="1">
        <v>2</v>
      </c>
      <c r="G203" s="1">
        <v>1</v>
      </c>
      <c r="H203" s="1" t="s">
        <v>14</v>
      </c>
      <c r="I203" s="1">
        <v>266347.90000000002</v>
      </c>
      <c r="J203" s="1">
        <v>100159.7</v>
      </c>
      <c r="K203" s="1">
        <v>166188.20000000001</v>
      </c>
      <c r="L203" s="1">
        <v>1200</v>
      </c>
      <c r="M203" s="1">
        <v>600.02</v>
      </c>
      <c r="N203" s="1">
        <v>67940.5</v>
      </c>
      <c r="O203" s="1">
        <v>106755.9</v>
      </c>
      <c r="P203" s="1">
        <v>174696.4</v>
      </c>
      <c r="Q203" s="1">
        <v>20481.5</v>
      </c>
      <c r="R203" s="1">
        <v>5711.3</v>
      </c>
      <c r="S203" s="1">
        <v>26192.799999999999</v>
      </c>
      <c r="T203" s="1">
        <v>24.58</v>
      </c>
      <c r="U203" s="1">
        <v>0.22</v>
      </c>
      <c r="V203" s="1">
        <v>5611.3</v>
      </c>
      <c r="W203" s="1">
        <v>26092.799999999999</v>
      </c>
      <c r="X203" s="1">
        <v>600.23</v>
      </c>
      <c r="Y203" s="1">
        <v>1199</v>
      </c>
      <c r="Z203" s="1">
        <v>200789.2</v>
      </c>
      <c r="AA203" s="1">
        <v>24.61</v>
      </c>
    </row>
    <row r="204" spans="1:27" x14ac:dyDescent="0.4">
      <c r="A204" s="1" t="s">
        <v>65</v>
      </c>
      <c r="B204" s="1">
        <v>4000</v>
      </c>
      <c r="C204" s="1">
        <v>0.2</v>
      </c>
      <c r="D204" s="1">
        <v>0.5</v>
      </c>
      <c r="E204" s="1">
        <v>1000</v>
      </c>
      <c r="F204" s="1">
        <v>2</v>
      </c>
      <c r="G204" s="1">
        <v>1</v>
      </c>
      <c r="H204" s="1" t="s">
        <v>580</v>
      </c>
      <c r="I204" s="1">
        <v>266347.90000000002</v>
      </c>
      <c r="J204" s="1">
        <v>100159.7</v>
      </c>
      <c r="K204" s="1">
        <v>166188.20000000001</v>
      </c>
      <c r="L204" s="1">
        <v>1200</v>
      </c>
      <c r="M204" s="1">
        <v>600.49</v>
      </c>
      <c r="N204" s="1">
        <v>68304.600000000006</v>
      </c>
      <c r="O204" s="1">
        <v>108024.2</v>
      </c>
      <c r="P204" s="1">
        <v>176328.8</v>
      </c>
      <c r="Q204" s="1">
        <v>17800.599999999999</v>
      </c>
      <c r="R204" s="1">
        <v>6567.9</v>
      </c>
      <c r="S204" s="1">
        <v>24368.5</v>
      </c>
      <c r="T204" s="1">
        <v>24.65</v>
      </c>
      <c r="U204" s="1">
        <v>0.95</v>
      </c>
      <c r="V204" s="1">
        <v>6108.3</v>
      </c>
      <c r="W204" s="1">
        <v>23908.9</v>
      </c>
      <c r="X204" s="1">
        <v>601.44000000000005</v>
      </c>
      <c r="Y204" s="1">
        <v>1199</v>
      </c>
      <c r="Z204" s="1">
        <v>200237.7</v>
      </c>
      <c r="AA204" s="1">
        <v>24.82</v>
      </c>
    </row>
    <row r="205" spans="1:27" x14ac:dyDescent="0.4">
      <c r="A205" s="1" t="s">
        <v>65</v>
      </c>
      <c r="B205" s="1">
        <v>4000</v>
      </c>
      <c r="C205" s="1">
        <v>0.2</v>
      </c>
      <c r="D205" s="1">
        <v>0.5</v>
      </c>
      <c r="E205" s="1">
        <v>1000</v>
      </c>
      <c r="F205" s="1">
        <v>2</v>
      </c>
      <c r="G205" s="1">
        <v>1</v>
      </c>
      <c r="H205" s="1" t="s">
        <v>15</v>
      </c>
      <c r="I205" s="1">
        <v>266347.90000000002</v>
      </c>
      <c r="J205" s="1">
        <v>100159.7</v>
      </c>
      <c r="K205" s="1">
        <v>166188.20000000001</v>
      </c>
      <c r="L205" s="1">
        <v>1200</v>
      </c>
      <c r="M205" s="1">
        <v>600.66999999999996</v>
      </c>
      <c r="N205" s="1">
        <v>67169.8</v>
      </c>
      <c r="O205" s="1">
        <v>104664.2</v>
      </c>
      <c r="P205" s="1">
        <v>171834</v>
      </c>
      <c r="Q205" s="1">
        <v>21002.1</v>
      </c>
      <c r="R205" s="1">
        <v>5006.2</v>
      </c>
      <c r="S205" s="1">
        <v>26008.3</v>
      </c>
      <c r="T205" s="1">
        <v>25.72</v>
      </c>
      <c r="U205" s="1">
        <v>0.14000000000000001</v>
      </c>
      <c r="V205" s="1">
        <v>4912.2</v>
      </c>
      <c r="W205" s="1">
        <v>25914.3</v>
      </c>
      <c r="X205" s="1">
        <v>600.79999999999995</v>
      </c>
      <c r="Y205" s="1">
        <v>1200</v>
      </c>
      <c r="Z205" s="1">
        <v>197748.3</v>
      </c>
      <c r="AA205" s="1">
        <v>25.76</v>
      </c>
    </row>
    <row r="206" spans="1:27" x14ac:dyDescent="0.4">
      <c r="A206" s="1" t="s">
        <v>66</v>
      </c>
      <c r="B206" s="1">
        <v>4000</v>
      </c>
      <c r="C206" s="1">
        <v>0.2</v>
      </c>
      <c r="D206" s="1">
        <v>0.5</v>
      </c>
      <c r="E206" s="1">
        <v>1000</v>
      </c>
      <c r="F206" s="1">
        <v>2</v>
      </c>
      <c r="G206" s="1">
        <v>2</v>
      </c>
      <c r="H206" s="1" t="s">
        <v>592</v>
      </c>
      <c r="I206" s="1">
        <v>265499.59999999998</v>
      </c>
      <c r="J206" s="1">
        <v>100358.1</v>
      </c>
      <c r="K206" s="1">
        <v>165141.5</v>
      </c>
      <c r="L206" s="1">
        <v>1200</v>
      </c>
      <c r="M206" s="1">
        <v>600.66</v>
      </c>
      <c r="N206" s="1">
        <v>63770.3</v>
      </c>
      <c r="O206" s="1">
        <v>101171.6</v>
      </c>
      <c r="P206" s="1">
        <v>164941.9</v>
      </c>
      <c r="Q206" s="1">
        <v>21644.6</v>
      </c>
      <c r="R206" s="1">
        <v>4875.8</v>
      </c>
      <c r="S206" s="1">
        <v>26520.400000000001</v>
      </c>
      <c r="T206" s="1">
        <v>27.89</v>
      </c>
      <c r="U206" s="1">
        <v>0.16</v>
      </c>
      <c r="V206" s="1">
        <v>4869.3999999999996</v>
      </c>
      <c r="W206" s="1">
        <v>26514</v>
      </c>
      <c r="X206" s="1">
        <v>600.82000000000005</v>
      </c>
      <c r="Y206" s="1">
        <v>1199</v>
      </c>
      <c r="Z206" s="1">
        <v>191455.9</v>
      </c>
      <c r="AA206" s="1">
        <v>27.89</v>
      </c>
    </row>
    <row r="207" spans="1:27" x14ac:dyDescent="0.4">
      <c r="A207" s="1" t="s">
        <v>66</v>
      </c>
      <c r="B207" s="1">
        <v>4000</v>
      </c>
      <c r="C207" s="1">
        <v>0.2</v>
      </c>
      <c r="D207" s="1">
        <v>0.5</v>
      </c>
      <c r="E207" s="1">
        <v>1000</v>
      </c>
      <c r="F207" s="1">
        <v>2</v>
      </c>
      <c r="G207" s="1">
        <v>2</v>
      </c>
      <c r="H207" s="1" t="s">
        <v>14</v>
      </c>
      <c r="I207" s="1">
        <v>265499.59999999998</v>
      </c>
      <c r="J207" s="1">
        <v>100358.1</v>
      </c>
      <c r="K207" s="1">
        <v>165141.5</v>
      </c>
      <c r="L207" s="1">
        <v>1200</v>
      </c>
      <c r="M207" s="1">
        <v>600.02</v>
      </c>
      <c r="N207" s="1">
        <v>65228.6</v>
      </c>
      <c r="O207" s="1">
        <v>103425.3</v>
      </c>
      <c r="P207" s="1">
        <v>168653.9</v>
      </c>
      <c r="Q207" s="1">
        <v>21357.8</v>
      </c>
      <c r="R207" s="1">
        <v>5495</v>
      </c>
      <c r="S207" s="1">
        <v>26852.799999999999</v>
      </c>
      <c r="T207" s="1">
        <v>26.36</v>
      </c>
      <c r="U207" s="1">
        <v>0.18</v>
      </c>
      <c r="V207" s="1">
        <v>5347.6</v>
      </c>
      <c r="W207" s="1">
        <v>26705.4</v>
      </c>
      <c r="X207" s="1">
        <v>600.19000000000005</v>
      </c>
      <c r="Y207" s="1">
        <v>1200</v>
      </c>
      <c r="Z207" s="1">
        <v>195359.3</v>
      </c>
      <c r="AA207" s="1">
        <v>26.42</v>
      </c>
    </row>
    <row r="208" spans="1:27" x14ac:dyDescent="0.4">
      <c r="A208" s="1" t="s">
        <v>66</v>
      </c>
      <c r="B208" s="1">
        <v>4000</v>
      </c>
      <c r="C208" s="1">
        <v>0.2</v>
      </c>
      <c r="D208" s="1">
        <v>0.5</v>
      </c>
      <c r="E208" s="1">
        <v>1000</v>
      </c>
      <c r="F208" s="1">
        <v>2</v>
      </c>
      <c r="G208" s="1">
        <v>2</v>
      </c>
      <c r="H208" s="1" t="s">
        <v>580</v>
      </c>
      <c r="I208" s="1">
        <v>265499.59999999998</v>
      </c>
      <c r="J208" s="1">
        <v>100358.1</v>
      </c>
      <c r="K208" s="1">
        <v>165141.5</v>
      </c>
      <c r="L208" s="1">
        <v>1200</v>
      </c>
      <c r="M208" s="1">
        <v>600.30999999999995</v>
      </c>
      <c r="N208" s="1">
        <v>66138.600000000006</v>
      </c>
      <c r="O208" s="1">
        <v>106612</v>
      </c>
      <c r="P208" s="1">
        <v>172750.6</v>
      </c>
      <c r="Q208" s="1">
        <v>17903.7</v>
      </c>
      <c r="R208" s="1">
        <v>7145.9</v>
      </c>
      <c r="S208" s="1">
        <v>25049.599999999999</v>
      </c>
      <c r="T208" s="1">
        <v>25.5</v>
      </c>
      <c r="U208" s="1">
        <v>1.0900000000000001</v>
      </c>
      <c r="V208" s="1">
        <v>6736.5</v>
      </c>
      <c r="W208" s="1">
        <v>24640.2</v>
      </c>
      <c r="X208" s="1">
        <v>601.4</v>
      </c>
      <c r="Y208" s="1">
        <v>1200</v>
      </c>
      <c r="Z208" s="1">
        <v>197390.8</v>
      </c>
      <c r="AA208" s="1">
        <v>25.65</v>
      </c>
    </row>
    <row r="209" spans="1:27" x14ac:dyDescent="0.4">
      <c r="A209" s="1" t="s">
        <v>66</v>
      </c>
      <c r="B209" s="1">
        <v>4000</v>
      </c>
      <c r="C209" s="1">
        <v>0.2</v>
      </c>
      <c r="D209" s="1">
        <v>0.5</v>
      </c>
      <c r="E209" s="1">
        <v>1000</v>
      </c>
      <c r="F209" s="1">
        <v>2</v>
      </c>
      <c r="G209" s="1">
        <v>2</v>
      </c>
      <c r="H209" s="1" t="s">
        <v>15</v>
      </c>
      <c r="I209" s="1">
        <v>265499.59999999998</v>
      </c>
      <c r="J209" s="1">
        <v>100358.1</v>
      </c>
      <c r="K209" s="1">
        <v>165141.5</v>
      </c>
      <c r="L209" s="1">
        <v>1200</v>
      </c>
      <c r="M209" s="1">
        <v>600.51</v>
      </c>
      <c r="N209" s="1">
        <v>64554</v>
      </c>
      <c r="O209" s="1">
        <v>102130.3</v>
      </c>
      <c r="P209" s="1">
        <v>166684.29999999999</v>
      </c>
      <c r="Q209" s="1">
        <v>21867.8</v>
      </c>
      <c r="R209" s="1">
        <v>4912.6000000000004</v>
      </c>
      <c r="S209" s="1">
        <v>26780.400000000001</v>
      </c>
      <c r="T209" s="1">
        <v>27.13</v>
      </c>
      <c r="U209" s="1">
        <v>0.12</v>
      </c>
      <c r="V209" s="1">
        <v>4826.5</v>
      </c>
      <c r="W209" s="1">
        <v>26694.3</v>
      </c>
      <c r="X209" s="1">
        <v>600.63</v>
      </c>
      <c r="Y209" s="1">
        <v>1200</v>
      </c>
      <c r="Z209" s="1">
        <v>193378.6</v>
      </c>
      <c r="AA209" s="1">
        <v>27.16</v>
      </c>
    </row>
    <row r="210" spans="1:27" x14ac:dyDescent="0.4">
      <c r="A210" s="1" t="s">
        <v>67</v>
      </c>
      <c r="B210" s="1">
        <v>4000</v>
      </c>
      <c r="C210" s="1">
        <v>0.2</v>
      </c>
      <c r="D210" s="1">
        <v>0.5</v>
      </c>
      <c r="E210" s="1">
        <v>1000</v>
      </c>
      <c r="F210" s="1">
        <v>2</v>
      </c>
      <c r="G210" s="1">
        <v>3</v>
      </c>
      <c r="H210" s="1" t="s">
        <v>592</v>
      </c>
      <c r="I210" s="1">
        <v>256640.4</v>
      </c>
      <c r="J210" s="1">
        <v>100148.3</v>
      </c>
      <c r="K210" s="1">
        <v>156492.1</v>
      </c>
      <c r="L210" s="1">
        <v>1200</v>
      </c>
      <c r="M210" s="1">
        <v>601.29999999999995</v>
      </c>
      <c r="N210" s="1">
        <v>65771.8</v>
      </c>
      <c r="O210" s="1">
        <v>95621.7</v>
      </c>
      <c r="P210" s="1">
        <v>161393.5</v>
      </c>
      <c r="Q210" s="1">
        <v>21457.599999999999</v>
      </c>
      <c r="R210" s="1">
        <v>5053.5</v>
      </c>
      <c r="S210" s="1">
        <v>26511.1</v>
      </c>
      <c r="T210" s="1">
        <v>26.78</v>
      </c>
      <c r="U210" s="1">
        <v>0.18</v>
      </c>
      <c r="V210" s="1">
        <v>5015.3999999999996</v>
      </c>
      <c r="W210" s="1">
        <v>26473</v>
      </c>
      <c r="X210" s="1">
        <v>601.49</v>
      </c>
      <c r="Y210" s="1">
        <v>1199</v>
      </c>
      <c r="Z210" s="1">
        <v>187866.5</v>
      </c>
      <c r="AA210" s="1">
        <v>26.8</v>
      </c>
    </row>
    <row r="211" spans="1:27" x14ac:dyDescent="0.4">
      <c r="A211" s="1" t="s">
        <v>67</v>
      </c>
      <c r="B211" s="1">
        <v>4000</v>
      </c>
      <c r="C211" s="1">
        <v>0.2</v>
      </c>
      <c r="D211" s="1">
        <v>0.5</v>
      </c>
      <c r="E211" s="1">
        <v>1000</v>
      </c>
      <c r="F211" s="1">
        <v>2</v>
      </c>
      <c r="G211" s="1">
        <v>3</v>
      </c>
      <c r="H211" s="1" t="s">
        <v>14</v>
      </c>
      <c r="I211" s="1">
        <v>256640.4</v>
      </c>
      <c r="J211" s="1">
        <v>100148.3</v>
      </c>
      <c r="K211" s="1">
        <v>156492.1</v>
      </c>
      <c r="L211" s="1">
        <v>1200</v>
      </c>
      <c r="M211" s="1">
        <v>600.02</v>
      </c>
      <c r="N211" s="1">
        <v>67335.8</v>
      </c>
      <c r="O211" s="1">
        <v>97580.1</v>
      </c>
      <c r="P211" s="1">
        <v>164915.9</v>
      </c>
      <c r="Q211" s="1">
        <v>21265.5</v>
      </c>
      <c r="R211" s="1">
        <v>5551.9</v>
      </c>
      <c r="S211" s="1">
        <v>26817.4</v>
      </c>
      <c r="T211" s="1">
        <v>25.29</v>
      </c>
      <c r="U211" s="1">
        <v>0.18</v>
      </c>
      <c r="V211" s="1">
        <v>5388</v>
      </c>
      <c r="W211" s="1">
        <v>26653.5</v>
      </c>
      <c r="X211" s="1">
        <v>600.19000000000005</v>
      </c>
      <c r="Y211" s="1">
        <v>1200</v>
      </c>
      <c r="Z211" s="1">
        <v>191569.4</v>
      </c>
      <c r="AA211" s="1">
        <v>25.35</v>
      </c>
    </row>
    <row r="212" spans="1:27" x14ac:dyDescent="0.4">
      <c r="A212" s="1" t="s">
        <v>67</v>
      </c>
      <c r="B212" s="1">
        <v>4000</v>
      </c>
      <c r="C212" s="1">
        <v>0.2</v>
      </c>
      <c r="D212" s="1">
        <v>0.5</v>
      </c>
      <c r="E212" s="1">
        <v>1000</v>
      </c>
      <c r="F212" s="1">
        <v>2</v>
      </c>
      <c r="G212" s="1">
        <v>3</v>
      </c>
      <c r="H212" s="1" t="s">
        <v>580</v>
      </c>
      <c r="I212" s="1">
        <v>256640.4</v>
      </c>
      <c r="J212" s="1">
        <v>100148.3</v>
      </c>
      <c r="K212" s="1">
        <v>156492.1</v>
      </c>
      <c r="L212" s="1">
        <v>1200</v>
      </c>
      <c r="M212" s="1">
        <v>600.73</v>
      </c>
      <c r="N212" s="1">
        <v>67666.3</v>
      </c>
      <c r="O212" s="1">
        <v>99867</v>
      </c>
      <c r="P212" s="1">
        <v>167533.29999999999</v>
      </c>
      <c r="Q212" s="1">
        <v>18117.400000000001</v>
      </c>
      <c r="R212" s="1">
        <v>7354</v>
      </c>
      <c r="S212" s="1">
        <v>25471.4</v>
      </c>
      <c r="T212" s="1">
        <v>24.8</v>
      </c>
      <c r="U212" s="1">
        <v>1.04</v>
      </c>
      <c r="V212" s="1">
        <v>6861.5</v>
      </c>
      <c r="W212" s="1">
        <v>24978.9</v>
      </c>
      <c r="X212" s="1">
        <v>601.77</v>
      </c>
      <c r="Y212" s="1">
        <v>1200</v>
      </c>
      <c r="Z212" s="1">
        <v>192512.2</v>
      </c>
      <c r="AA212" s="1">
        <v>24.99</v>
      </c>
    </row>
    <row r="213" spans="1:27" x14ac:dyDescent="0.4">
      <c r="A213" s="1" t="s">
        <v>67</v>
      </c>
      <c r="B213" s="1">
        <v>4000</v>
      </c>
      <c r="C213" s="1">
        <v>0.2</v>
      </c>
      <c r="D213" s="1">
        <v>0.5</v>
      </c>
      <c r="E213" s="1">
        <v>1000</v>
      </c>
      <c r="F213" s="1">
        <v>2</v>
      </c>
      <c r="G213" s="1">
        <v>3</v>
      </c>
      <c r="H213" s="1" t="s">
        <v>15</v>
      </c>
      <c r="I213" s="1">
        <v>256640.4</v>
      </c>
      <c r="J213" s="1">
        <v>100148.3</v>
      </c>
      <c r="K213" s="1">
        <v>156492.1</v>
      </c>
      <c r="L213" s="1">
        <v>1200</v>
      </c>
      <c r="M213" s="1">
        <v>600.61</v>
      </c>
      <c r="N213" s="1">
        <v>67450.7</v>
      </c>
      <c r="O213" s="1">
        <v>98487.3</v>
      </c>
      <c r="P213" s="1">
        <v>165938</v>
      </c>
      <c r="Q213" s="1">
        <v>21256.2</v>
      </c>
      <c r="R213" s="1">
        <v>4630.6000000000004</v>
      </c>
      <c r="S213" s="1">
        <v>25886.799999999999</v>
      </c>
      <c r="T213" s="1">
        <v>25.26</v>
      </c>
      <c r="U213" s="1">
        <v>0.12</v>
      </c>
      <c r="V213" s="1">
        <v>4557.3</v>
      </c>
      <c r="W213" s="1">
        <v>25813.5</v>
      </c>
      <c r="X213" s="1">
        <v>600.72</v>
      </c>
      <c r="Y213" s="1">
        <v>1198</v>
      </c>
      <c r="Z213" s="1">
        <v>191751.5</v>
      </c>
      <c r="AA213" s="1">
        <v>25.28</v>
      </c>
    </row>
    <row r="214" spans="1:27" x14ac:dyDescent="0.4">
      <c r="A214" s="1" t="s">
        <v>68</v>
      </c>
      <c r="B214" s="1">
        <v>4000</v>
      </c>
      <c r="C214" s="1">
        <v>0.2</v>
      </c>
      <c r="D214" s="1">
        <v>0.5</v>
      </c>
      <c r="E214" s="1">
        <v>1000</v>
      </c>
      <c r="F214" s="1">
        <v>2</v>
      </c>
      <c r="G214" s="1">
        <v>4</v>
      </c>
      <c r="H214" s="1" t="s">
        <v>592</v>
      </c>
      <c r="I214" s="1">
        <v>266529.09999999998</v>
      </c>
      <c r="J214" s="1">
        <v>102759</v>
      </c>
      <c r="K214" s="1">
        <v>163770.1</v>
      </c>
      <c r="L214" s="1">
        <v>1200</v>
      </c>
      <c r="M214" s="1">
        <v>600.96</v>
      </c>
      <c r="N214" s="1">
        <v>66675</v>
      </c>
      <c r="O214" s="1">
        <v>100941.1</v>
      </c>
      <c r="P214" s="1">
        <v>167616.1</v>
      </c>
      <c r="Q214" s="1">
        <v>21508.5</v>
      </c>
      <c r="R214" s="1">
        <v>4894.3999999999996</v>
      </c>
      <c r="S214" s="1">
        <v>26402.9</v>
      </c>
      <c r="T214" s="1">
        <v>27.21</v>
      </c>
      <c r="U214" s="1">
        <v>0.14000000000000001</v>
      </c>
      <c r="V214" s="1">
        <v>4870.2</v>
      </c>
      <c r="W214" s="1">
        <v>26378.7</v>
      </c>
      <c r="X214" s="1">
        <v>601.1</v>
      </c>
      <c r="Y214" s="1">
        <v>1200</v>
      </c>
      <c r="Z214" s="1">
        <v>193994.8</v>
      </c>
      <c r="AA214" s="1">
        <v>27.21</v>
      </c>
    </row>
    <row r="215" spans="1:27" x14ac:dyDescent="0.4">
      <c r="A215" s="1" t="s">
        <v>68</v>
      </c>
      <c r="B215" s="1">
        <v>4000</v>
      </c>
      <c r="C215" s="1">
        <v>0.2</v>
      </c>
      <c r="D215" s="1">
        <v>0.5</v>
      </c>
      <c r="E215" s="1">
        <v>1000</v>
      </c>
      <c r="F215" s="1">
        <v>2</v>
      </c>
      <c r="G215" s="1">
        <v>4</v>
      </c>
      <c r="H215" s="1" t="s">
        <v>14</v>
      </c>
      <c r="I215" s="1">
        <v>266529.09999999998</v>
      </c>
      <c r="J215" s="1">
        <v>102759</v>
      </c>
      <c r="K215" s="1">
        <v>163770.1</v>
      </c>
      <c r="L215" s="1">
        <v>1200</v>
      </c>
      <c r="M215" s="1">
        <v>600.01</v>
      </c>
      <c r="N215" s="1">
        <v>67981.2</v>
      </c>
      <c r="O215" s="1">
        <v>103651.7</v>
      </c>
      <c r="P215" s="1">
        <v>171632.9</v>
      </c>
      <c r="Q215" s="1">
        <v>21418.5</v>
      </c>
      <c r="R215" s="1">
        <v>5450.7</v>
      </c>
      <c r="S215" s="1">
        <v>26869.200000000001</v>
      </c>
      <c r="T215" s="1">
        <v>25.52</v>
      </c>
      <c r="U215" s="1">
        <v>0.25</v>
      </c>
      <c r="V215" s="1">
        <v>5302.3</v>
      </c>
      <c r="W215" s="1">
        <v>26720.799999999999</v>
      </c>
      <c r="X215" s="1">
        <v>600.25</v>
      </c>
      <c r="Y215" s="1">
        <v>1200</v>
      </c>
      <c r="Z215" s="1">
        <v>198353.7</v>
      </c>
      <c r="AA215" s="1">
        <v>25.58</v>
      </c>
    </row>
    <row r="216" spans="1:27" x14ac:dyDescent="0.4">
      <c r="A216" s="1" t="s">
        <v>68</v>
      </c>
      <c r="B216" s="1">
        <v>4000</v>
      </c>
      <c r="C216" s="1">
        <v>0.2</v>
      </c>
      <c r="D216" s="1">
        <v>0.5</v>
      </c>
      <c r="E216" s="1">
        <v>1000</v>
      </c>
      <c r="F216" s="1">
        <v>2</v>
      </c>
      <c r="G216" s="1">
        <v>4</v>
      </c>
      <c r="H216" s="1" t="s">
        <v>580</v>
      </c>
      <c r="I216" s="1">
        <v>266529.09999999998</v>
      </c>
      <c r="J216" s="1">
        <v>102759</v>
      </c>
      <c r="K216" s="1">
        <v>163770.1</v>
      </c>
      <c r="L216" s="1">
        <v>1200</v>
      </c>
      <c r="M216" s="1">
        <v>600.16</v>
      </c>
      <c r="N216" s="1">
        <v>68783.899999999994</v>
      </c>
      <c r="O216" s="1">
        <v>105416.1</v>
      </c>
      <c r="P216" s="1">
        <v>174200</v>
      </c>
      <c r="Q216" s="1">
        <v>18494.900000000001</v>
      </c>
      <c r="R216" s="1">
        <v>7019.8</v>
      </c>
      <c r="S216" s="1">
        <v>25514.7</v>
      </c>
      <c r="T216" s="1">
        <v>25.07</v>
      </c>
      <c r="U216" s="1">
        <v>0.99</v>
      </c>
      <c r="V216" s="1">
        <v>6621</v>
      </c>
      <c r="W216" s="1">
        <v>25115.9</v>
      </c>
      <c r="X216" s="1">
        <v>601.15</v>
      </c>
      <c r="Y216" s="1">
        <v>1199</v>
      </c>
      <c r="Z216" s="1">
        <v>199315.9</v>
      </c>
      <c r="AA216" s="1">
        <v>25.22</v>
      </c>
    </row>
    <row r="217" spans="1:27" x14ac:dyDescent="0.4">
      <c r="A217" s="1" t="s">
        <v>68</v>
      </c>
      <c r="B217" s="1">
        <v>4000</v>
      </c>
      <c r="C217" s="1">
        <v>0.2</v>
      </c>
      <c r="D217" s="1">
        <v>0.5</v>
      </c>
      <c r="E217" s="1">
        <v>1000</v>
      </c>
      <c r="F217" s="1">
        <v>2</v>
      </c>
      <c r="G217" s="1">
        <v>4</v>
      </c>
      <c r="H217" s="1" t="s">
        <v>15</v>
      </c>
      <c r="I217" s="1">
        <v>266529.09999999998</v>
      </c>
      <c r="J217" s="1">
        <v>102759</v>
      </c>
      <c r="K217" s="1">
        <v>163770.1</v>
      </c>
      <c r="L217" s="1">
        <v>1200</v>
      </c>
      <c r="M217" s="1">
        <v>600.94000000000005</v>
      </c>
      <c r="N217" s="1">
        <v>68186.600000000006</v>
      </c>
      <c r="O217" s="1">
        <v>102861.9</v>
      </c>
      <c r="P217" s="1">
        <v>171048.5</v>
      </c>
      <c r="Q217" s="1">
        <v>21419.7</v>
      </c>
      <c r="R217" s="1">
        <v>4820.5</v>
      </c>
      <c r="S217" s="1">
        <v>26240.2</v>
      </c>
      <c r="T217" s="1">
        <v>25.98</v>
      </c>
      <c r="U217" s="1">
        <v>0.13</v>
      </c>
      <c r="V217" s="1">
        <v>4665.2</v>
      </c>
      <c r="W217" s="1">
        <v>26084.9</v>
      </c>
      <c r="X217" s="1">
        <v>601.07000000000005</v>
      </c>
      <c r="Y217" s="1">
        <v>1199</v>
      </c>
      <c r="Z217" s="1">
        <v>197133.4</v>
      </c>
      <c r="AA217" s="1">
        <v>26.04</v>
      </c>
    </row>
    <row r="218" spans="1:27" x14ac:dyDescent="0.4">
      <c r="A218" s="1" t="s">
        <v>69</v>
      </c>
      <c r="B218" s="1">
        <v>4000</v>
      </c>
      <c r="C218" s="1">
        <v>0.2</v>
      </c>
      <c r="D218" s="1">
        <v>0.5</v>
      </c>
      <c r="E218" s="1">
        <v>1000</v>
      </c>
      <c r="F218" s="1">
        <v>2</v>
      </c>
      <c r="G218" s="1">
        <v>5</v>
      </c>
      <c r="H218" s="1" t="s">
        <v>592</v>
      </c>
      <c r="I218" s="1">
        <v>269546.8</v>
      </c>
      <c r="J218" s="1">
        <v>106410.2</v>
      </c>
      <c r="K218" s="1">
        <v>163136.6</v>
      </c>
      <c r="L218" s="1">
        <v>1200</v>
      </c>
      <c r="M218" s="1">
        <v>600.97</v>
      </c>
      <c r="N218" s="1">
        <v>67466.8</v>
      </c>
      <c r="O218" s="1">
        <v>101691.3</v>
      </c>
      <c r="P218" s="1">
        <v>169158.1</v>
      </c>
      <c r="Q218" s="1">
        <v>21181</v>
      </c>
      <c r="R218" s="1">
        <v>5244.4</v>
      </c>
      <c r="S218" s="1">
        <v>26425.4</v>
      </c>
      <c r="T218" s="1">
        <v>27.44</v>
      </c>
      <c r="U218" s="1">
        <v>0.2</v>
      </c>
      <c r="V218" s="1">
        <v>5239.3999999999996</v>
      </c>
      <c r="W218" s="1">
        <v>26420.400000000001</v>
      </c>
      <c r="X218" s="1">
        <v>601.16999999999996</v>
      </c>
      <c r="Y218" s="1">
        <v>1198</v>
      </c>
      <c r="Z218" s="1">
        <v>195578.5</v>
      </c>
      <c r="AA218" s="1">
        <v>27.44</v>
      </c>
    </row>
    <row r="219" spans="1:27" x14ac:dyDescent="0.4">
      <c r="A219" s="1" t="s">
        <v>69</v>
      </c>
      <c r="B219" s="1">
        <v>4000</v>
      </c>
      <c r="C219" s="1">
        <v>0.2</v>
      </c>
      <c r="D219" s="1">
        <v>0.5</v>
      </c>
      <c r="E219" s="1">
        <v>1000</v>
      </c>
      <c r="F219" s="1">
        <v>2</v>
      </c>
      <c r="G219" s="1">
        <v>5</v>
      </c>
      <c r="H219" s="1" t="s">
        <v>14</v>
      </c>
      <c r="I219" s="1">
        <v>269546.8</v>
      </c>
      <c r="J219" s="1">
        <v>106410.2</v>
      </c>
      <c r="K219" s="1">
        <v>163136.6</v>
      </c>
      <c r="L219" s="1">
        <v>1200</v>
      </c>
      <c r="M219" s="1">
        <v>600.01</v>
      </c>
      <c r="N219" s="1">
        <v>69437</v>
      </c>
      <c r="O219" s="1">
        <v>103943.2</v>
      </c>
      <c r="P219" s="1">
        <v>173380.2</v>
      </c>
      <c r="Q219" s="1">
        <v>21410.2</v>
      </c>
      <c r="R219" s="1">
        <v>6204.3</v>
      </c>
      <c r="S219" s="1">
        <v>27614.5</v>
      </c>
      <c r="T219" s="1">
        <v>25.43</v>
      </c>
      <c r="U219" s="1">
        <v>0.23</v>
      </c>
      <c r="V219" s="1">
        <v>5926.3</v>
      </c>
      <c r="W219" s="1">
        <v>27336.5</v>
      </c>
      <c r="X219" s="1">
        <v>600.24</v>
      </c>
      <c r="Y219" s="1">
        <v>1200</v>
      </c>
      <c r="Z219" s="1">
        <v>200716.7</v>
      </c>
      <c r="AA219" s="1">
        <v>25.54</v>
      </c>
    </row>
    <row r="220" spans="1:27" x14ac:dyDescent="0.4">
      <c r="A220" s="1" t="s">
        <v>69</v>
      </c>
      <c r="B220" s="1">
        <v>4000</v>
      </c>
      <c r="C220" s="1">
        <v>0.2</v>
      </c>
      <c r="D220" s="1">
        <v>0.5</v>
      </c>
      <c r="E220" s="1">
        <v>1000</v>
      </c>
      <c r="F220" s="1">
        <v>2</v>
      </c>
      <c r="G220" s="1">
        <v>5</v>
      </c>
      <c r="H220" s="1" t="s">
        <v>580</v>
      </c>
      <c r="I220" s="1">
        <v>269546.8</v>
      </c>
      <c r="J220" s="1">
        <v>106410.2</v>
      </c>
      <c r="K220" s="1">
        <v>163136.6</v>
      </c>
      <c r="L220" s="1">
        <v>1200</v>
      </c>
      <c r="M220" s="1">
        <v>600.87</v>
      </c>
      <c r="N220" s="1">
        <v>70111.5</v>
      </c>
      <c r="O220" s="1">
        <v>105625.60000000001</v>
      </c>
      <c r="P220" s="1">
        <v>175737.1</v>
      </c>
      <c r="Q220" s="1">
        <v>18459.5</v>
      </c>
      <c r="R220" s="1">
        <v>7445.9</v>
      </c>
      <c r="S220" s="1">
        <v>25905.4</v>
      </c>
      <c r="T220" s="1">
        <v>25.19</v>
      </c>
      <c r="U220" s="1">
        <v>1.1000000000000001</v>
      </c>
      <c r="V220" s="1">
        <v>7056.4</v>
      </c>
      <c r="W220" s="1">
        <v>25515.9</v>
      </c>
      <c r="X220" s="1">
        <v>601.97</v>
      </c>
      <c r="Y220" s="1">
        <v>1200</v>
      </c>
      <c r="Z220" s="1">
        <v>201253</v>
      </c>
      <c r="AA220" s="1">
        <v>25.34</v>
      </c>
    </row>
    <row r="221" spans="1:27" x14ac:dyDescent="0.4">
      <c r="A221" s="1" t="s">
        <v>69</v>
      </c>
      <c r="B221" s="1">
        <v>4000</v>
      </c>
      <c r="C221" s="1">
        <v>0.2</v>
      </c>
      <c r="D221" s="1">
        <v>0.5</v>
      </c>
      <c r="E221" s="1">
        <v>1000</v>
      </c>
      <c r="F221" s="1">
        <v>2</v>
      </c>
      <c r="G221" s="1">
        <v>5</v>
      </c>
      <c r="H221" s="1" t="s">
        <v>15</v>
      </c>
      <c r="I221" s="1">
        <v>269546.8</v>
      </c>
      <c r="J221" s="1">
        <v>106410.2</v>
      </c>
      <c r="K221" s="1">
        <v>163136.6</v>
      </c>
      <c r="L221" s="1">
        <v>1200</v>
      </c>
      <c r="M221" s="1">
        <v>600.78</v>
      </c>
      <c r="N221" s="1">
        <v>69476.3</v>
      </c>
      <c r="O221" s="1">
        <v>102560.3</v>
      </c>
      <c r="P221" s="1">
        <v>172036.6</v>
      </c>
      <c r="Q221" s="1">
        <v>21217.3</v>
      </c>
      <c r="R221" s="1">
        <v>5245.4</v>
      </c>
      <c r="S221" s="1">
        <v>26462.7</v>
      </c>
      <c r="T221" s="1">
        <v>26.36</v>
      </c>
      <c r="U221" s="1">
        <v>0.18</v>
      </c>
      <c r="V221" s="1">
        <v>5094.6000000000004</v>
      </c>
      <c r="W221" s="1">
        <v>26311.9</v>
      </c>
      <c r="X221" s="1">
        <v>600.96</v>
      </c>
      <c r="Y221" s="1">
        <v>1200</v>
      </c>
      <c r="Z221" s="1">
        <v>198348.5</v>
      </c>
      <c r="AA221" s="1">
        <v>26.41</v>
      </c>
    </row>
    <row r="222" spans="1:27" x14ac:dyDescent="0.4">
      <c r="A222" s="1" t="s">
        <v>70</v>
      </c>
      <c r="B222" s="1">
        <v>4000</v>
      </c>
      <c r="C222" s="1">
        <v>0.2</v>
      </c>
      <c r="D222" s="1">
        <v>0.5</v>
      </c>
      <c r="E222" s="1">
        <v>1000</v>
      </c>
      <c r="F222" s="1">
        <v>3</v>
      </c>
      <c r="G222" s="1">
        <v>1</v>
      </c>
      <c r="H222" s="1" t="s">
        <v>592</v>
      </c>
      <c r="I222" s="1">
        <v>351445</v>
      </c>
      <c r="J222" s="1">
        <v>133205</v>
      </c>
      <c r="K222" s="1">
        <v>218240</v>
      </c>
      <c r="L222" s="1">
        <v>1200</v>
      </c>
      <c r="M222" s="1">
        <v>600</v>
      </c>
      <c r="N222" s="1">
        <v>88987.199999999997</v>
      </c>
      <c r="O222" s="1">
        <v>139861.4</v>
      </c>
      <c r="P222" s="1">
        <v>228848.6</v>
      </c>
      <c r="Q222" s="1">
        <v>21277.1</v>
      </c>
      <c r="R222" s="1">
        <v>5387.3</v>
      </c>
      <c r="S222" s="1">
        <v>26664.400000000001</v>
      </c>
      <c r="T222" s="1">
        <v>27.3</v>
      </c>
      <c r="U222" s="1">
        <v>0.21</v>
      </c>
      <c r="V222" s="1">
        <v>5354.6</v>
      </c>
      <c r="W222" s="1">
        <v>26631.7</v>
      </c>
      <c r="X222" s="1">
        <v>600.22</v>
      </c>
      <c r="Y222" s="1">
        <v>1200</v>
      </c>
      <c r="Z222" s="1">
        <v>255480.3</v>
      </c>
      <c r="AA222" s="1">
        <v>27.31</v>
      </c>
    </row>
    <row r="223" spans="1:27" x14ac:dyDescent="0.4">
      <c r="A223" s="1" t="s">
        <v>70</v>
      </c>
      <c r="B223" s="1">
        <v>4000</v>
      </c>
      <c r="C223" s="1">
        <v>0.2</v>
      </c>
      <c r="D223" s="1">
        <v>0.5</v>
      </c>
      <c r="E223" s="1">
        <v>1000</v>
      </c>
      <c r="F223" s="1">
        <v>3</v>
      </c>
      <c r="G223" s="1">
        <v>1</v>
      </c>
      <c r="H223" s="1" t="s">
        <v>14</v>
      </c>
      <c r="I223" s="1">
        <v>351445</v>
      </c>
      <c r="J223" s="1">
        <v>133205</v>
      </c>
      <c r="K223" s="1">
        <v>218240</v>
      </c>
      <c r="L223" s="1">
        <v>1200</v>
      </c>
      <c r="M223" s="1">
        <v>600.02</v>
      </c>
      <c r="N223" s="1">
        <v>91733.9</v>
      </c>
      <c r="O223" s="1">
        <v>145381.4</v>
      </c>
      <c r="P223" s="1">
        <v>237115.3</v>
      </c>
      <c r="Q223" s="1">
        <v>21275.9</v>
      </c>
      <c r="R223" s="1">
        <v>5868.2</v>
      </c>
      <c r="S223" s="1">
        <v>27144.1</v>
      </c>
      <c r="T223" s="1">
        <v>24.81</v>
      </c>
      <c r="U223" s="1">
        <v>0.22</v>
      </c>
      <c r="V223" s="1">
        <v>5680.5</v>
      </c>
      <c r="W223" s="1">
        <v>26956.400000000001</v>
      </c>
      <c r="X223" s="1">
        <v>600.24</v>
      </c>
      <c r="Y223" s="1">
        <v>1200</v>
      </c>
      <c r="Z223" s="1">
        <v>264071.7</v>
      </c>
      <c r="AA223" s="1">
        <v>24.86</v>
      </c>
    </row>
    <row r="224" spans="1:27" x14ac:dyDescent="0.4">
      <c r="A224" s="1" t="s">
        <v>70</v>
      </c>
      <c r="B224" s="1">
        <v>4000</v>
      </c>
      <c r="C224" s="1">
        <v>0.2</v>
      </c>
      <c r="D224" s="1">
        <v>0.5</v>
      </c>
      <c r="E224" s="1">
        <v>1000</v>
      </c>
      <c r="F224" s="1">
        <v>3</v>
      </c>
      <c r="G224" s="1">
        <v>1</v>
      </c>
      <c r="H224" s="1" t="s">
        <v>580</v>
      </c>
      <c r="I224" s="1">
        <v>351445</v>
      </c>
      <c r="J224" s="1">
        <v>133205</v>
      </c>
      <c r="K224" s="1">
        <v>218240</v>
      </c>
      <c r="L224" s="1">
        <v>1200</v>
      </c>
      <c r="M224" s="1">
        <v>600.03</v>
      </c>
      <c r="N224" s="1">
        <v>91192.1</v>
      </c>
      <c r="O224" s="1">
        <v>145200.20000000001</v>
      </c>
      <c r="P224" s="1">
        <v>236392.3</v>
      </c>
      <c r="Q224" s="1">
        <v>18697.3</v>
      </c>
      <c r="R224" s="1">
        <v>6672.9</v>
      </c>
      <c r="S224" s="1">
        <v>25370.2</v>
      </c>
      <c r="T224" s="1">
        <v>25.52</v>
      </c>
      <c r="U224" s="1">
        <v>0.86</v>
      </c>
      <c r="V224" s="1">
        <v>6224</v>
      </c>
      <c r="W224" s="1">
        <v>24921.3</v>
      </c>
      <c r="X224" s="1">
        <v>600.89</v>
      </c>
      <c r="Y224" s="1">
        <v>1200</v>
      </c>
      <c r="Z224" s="1">
        <v>261313.6</v>
      </c>
      <c r="AA224" s="1">
        <v>25.65</v>
      </c>
    </row>
    <row r="225" spans="1:27" x14ac:dyDescent="0.4">
      <c r="A225" s="1" t="s">
        <v>70</v>
      </c>
      <c r="B225" s="1">
        <v>4000</v>
      </c>
      <c r="C225" s="1">
        <v>0.2</v>
      </c>
      <c r="D225" s="1">
        <v>0.5</v>
      </c>
      <c r="E225" s="1">
        <v>1000</v>
      </c>
      <c r="F225" s="1">
        <v>3</v>
      </c>
      <c r="G225" s="1">
        <v>1</v>
      </c>
      <c r="H225" s="1" t="s">
        <v>15</v>
      </c>
      <c r="I225" s="1">
        <v>351445</v>
      </c>
      <c r="J225" s="1">
        <v>133205</v>
      </c>
      <c r="K225" s="1">
        <v>218240</v>
      </c>
      <c r="L225" s="1">
        <v>1200</v>
      </c>
      <c r="M225" s="1">
        <v>600.65</v>
      </c>
      <c r="N225" s="1">
        <v>88750.399999999994</v>
      </c>
      <c r="O225" s="1">
        <v>141288.79999999999</v>
      </c>
      <c r="P225" s="1">
        <v>230039.2</v>
      </c>
      <c r="Q225" s="1">
        <v>22003.3</v>
      </c>
      <c r="R225" s="1">
        <v>5288.3</v>
      </c>
      <c r="S225" s="1">
        <v>27291.599999999999</v>
      </c>
      <c r="T225" s="1">
        <v>26.78</v>
      </c>
      <c r="U225" s="1">
        <v>0.15</v>
      </c>
      <c r="V225" s="1">
        <v>5141.8</v>
      </c>
      <c r="W225" s="1">
        <v>27145.1</v>
      </c>
      <c r="X225" s="1">
        <v>600.79999999999995</v>
      </c>
      <c r="Y225" s="1">
        <v>1200</v>
      </c>
      <c r="Z225" s="1">
        <v>257184.3</v>
      </c>
      <c r="AA225" s="1">
        <v>26.82</v>
      </c>
    </row>
    <row r="226" spans="1:27" x14ac:dyDescent="0.4">
      <c r="A226" s="1" t="s">
        <v>71</v>
      </c>
      <c r="B226" s="1">
        <v>4000</v>
      </c>
      <c r="C226" s="1">
        <v>0.2</v>
      </c>
      <c r="D226" s="1">
        <v>0.5</v>
      </c>
      <c r="E226" s="1">
        <v>1000</v>
      </c>
      <c r="F226" s="1">
        <v>3</v>
      </c>
      <c r="G226" s="1">
        <v>2</v>
      </c>
      <c r="H226" s="1" t="s">
        <v>592</v>
      </c>
      <c r="I226" s="1">
        <v>356679.5</v>
      </c>
      <c r="J226" s="1">
        <v>140383.9</v>
      </c>
      <c r="K226" s="1">
        <v>216295.6</v>
      </c>
      <c r="L226" s="1">
        <v>1200</v>
      </c>
      <c r="M226" s="1">
        <v>600.54</v>
      </c>
      <c r="N226" s="1">
        <v>91449.5</v>
      </c>
      <c r="O226" s="1">
        <v>135244.79999999999</v>
      </c>
      <c r="P226" s="1">
        <v>226694.3</v>
      </c>
      <c r="Q226" s="1">
        <v>22176.7</v>
      </c>
      <c r="R226" s="1">
        <v>5374.8</v>
      </c>
      <c r="S226" s="1">
        <v>27551.5</v>
      </c>
      <c r="T226" s="1">
        <v>28.72</v>
      </c>
      <c r="U226" s="1">
        <v>0.18</v>
      </c>
      <c r="V226" s="1">
        <v>5374.8</v>
      </c>
      <c r="W226" s="1">
        <v>27551.5</v>
      </c>
      <c r="X226" s="1">
        <v>600.72</v>
      </c>
      <c r="Y226" s="1">
        <v>1200</v>
      </c>
      <c r="Z226" s="1">
        <v>254245.8</v>
      </c>
      <c r="AA226" s="1">
        <v>28.72</v>
      </c>
    </row>
    <row r="227" spans="1:27" x14ac:dyDescent="0.4">
      <c r="A227" s="1" t="s">
        <v>71</v>
      </c>
      <c r="B227" s="1">
        <v>4000</v>
      </c>
      <c r="C227" s="1">
        <v>0.2</v>
      </c>
      <c r="D227" s="1">
        <v>0.5</v>
      </c>
      <c r="E227" s="1">
        <v>1000</v>
      </c>
      <c r="F227" s="1">
        <v>3</v>
      </c>
      <c r="G227" s="1">
        <v>2</v>
      </c>
      <c r="H227" s="1" t="s">
        <v>14</v>
      </c>
      <c r="I227" s="1">
        <v>356679.5</v>
      </c>
      <c r="J227" s="1">
        <v>140383.9</v>
      </c>
      <c r="K227" s="1">
        <v>216295.6</v>
      </c>
      <c r="L227" s="1">
        <v>1200</v>
      </c>
      <c r="M227" s="1">
        <v>600.01</v>
      </c>
      <c r="N227" s="1">
        <v>94975.3</v>
      </c>
      <c r="O227" s="1">
        <v>141254.39999999999</v>
      </c>
      <c r="P227" s="1">
        <v>236229.7</v>
      </c>
      <c r="Q227" s="1">
        <v>22161.8</v>
      </c>
      <c r="R227" s="1">
        <v>5772.9</v>
      </c>
      <c r="S227" s="1">
        <v>27934.7</v>
      </c>
      <c r="T227" s="1">
        <v>25.94</v>
      </c>
      <c r="U227" s="1">
        <v>0.2</v>
      </c>
      <c r="V227" s="1">
        <v>5535.4</v>
      </c>
      <c r="W227" s="1">
        <v>27697.200000000001</v>
      </c>
      <c r="X227" s="1">
        <v>600.21</v>
      </c>
      <c r="Y227" s="1">
        <v>1200</v>
      </c>
      <c r="Z227" s="1">
        <v>263926.90000000002</v>
      </c>
      <c r="AA227" s="1">
        <v>26</v>
      </c>
    </row>
    <row r="228" spans="1:27" x14ac:dyDescent="0.4">
      <c r="A228" s="1" t="s">
        <v>71</v>
      </c>
      <c r="B228" s="1">
        <v>4000</v>
      </c>
      <c r="C228" s="1">
        <v>0.2</v>
      </c>
      <c r="D228" s="1">
        <v>0.5</v>
      </c>
      <c r="E228" s="1">
        <v>1000</v>
      </c>
      <c r="F228" s="1">
        <v>3</v>
      </c>
      <c r="G228" s="1">
        <v>2</v>
      </c>
      <c r="H228" s="1" t="s">
        <v>580</v>
      </c>
      <c r="I228" s="1">
        <v>356679.5</v>
      </c>
      <c r="J228" s="1">
        <v>140383.9</v>
      </c>
      <c r="K228" s="1">
        <v>216295.6</v>
      </c>
      <c r="L228" s="1">
        <v>1200</v>
      </c>
      <c r="M228" s="1">
        <v>600.61</v>
      </c>
      <c r="N228" s="1">
        <v>93501.5</v>
      </c>
      <c r="O228" s="1">
        <v>139093.70000000001</v>
      </c>
      <c r="P228" s="1">
        <v>232595.20000000001</v>
      </c>
      <c r="Q228" s="1">
        <v>20048.599999999999</v>
      </c>
      <c r="R228" s="1">
        <v>7136.9</v>
      </c>
      <c r="S228" s="1">
        <v>27185.5</v>
      </c>
      <c r="T228" s="1">
        <v>27.17</v>
      </c>
      <c r="U228" s="1">
        <v>0.9</v>
      </c>
      <c r="V228" s="1">
        <v>6541.7</v>
      </c>
      <c r="W228" s="1">
        <v>26590.3</v>
      </c>
      <c r="X228" s="1">
        <v>601.51</v>
      </c>
      <c r="Y228" s="1">
        <v>1200</v>
      </c>
      <c r="Z228" s="1">
        <v>259185.5</v>
      </c>
      <c r="AA228" s="1">
        <v>27.33</v>
      </c>
    </row>
    <row r="229" spans="1:27" x14ac:dyDescent="0.4">
      <c r="A229" s="1" t="s">
        <v>71</v>
      </c>
      <c r="B229" s="1">
        <v>4000</v>
      </c>
      <c r="C229" s="1">
        <v>0.2</v>
      </c>
      <c r="D229" s="1">
        <v>0.5</v>
      </c>
      <c r="E229" s="1">
        <v>1000</v>
      </c>
      <c r="F229" s="1">
        <v>3</v>
      </c>
      <c r="G229" s="1">
        <v>2</v>
      </c>
      <c r="H229" s="1" t="s">
        <v>15</v>
      </c>
      <c r="I229" s="1">
        <v>356679.5</v>
      </c>
      <c r="J229" s="1">
        <v>140383.9</v>
      </c>
      <c r="K229" s="1">
        <v>216295.6</v>
      </c>
      <c r="L229" s="1">
        <v>1200</v>
      </c>
      <c r="M229" s="1">
        <v>600.4</v>
      </c>
      <c r="N229" s="1">
        <v>91230.2</v>
      </c>
      <c r="O229" s="1">
        <v>137697.9</v>
      </c>
      <c r="P229" s="1">
        <v>228928.1</v>
      </c>
      <c r="Q229" s="1">
        <v>22759.8</v>
      </c>
      <c r="R229" s="1">
        <v>5540.2</v>
      </c>
      <c r="S229" s="1">
        <v>28300</v>
      </c>
      <c r="T229" s="1">
        <v>27.88</v>
      </c>
      <c r="U229" s="1">
        <v>0.18</v>
      </c>
      <c r="V229" s="1">
        <v>5408.8</v>
      </c>
      <c r="W229" s="1">
        <v>28168.6</v>
      </c>
      <c r="X229" s="1">
        <v>600.58000000000004</v>
      </c>
      <c r="Y229" s="1">
        <v>1200</v>
      </c>
      <c r="Z229" s="1">
        <v>257096.7</v>
      </c>
      <c r="AA229" s="1">
        <v>27.92</v>
      </c>
    </row>
    <row r="230" spans="1:27" x14ac:dyDescent="0.4">
      <c r="A230" s="1" t="s">
        <v>72</v>
      </c>
      <c r="B230" s="1">
        <v>4000</v>
      </c>
      <c r="C230" s="1">
        <v>0.2</v>
      </c>
      <c r="D230" s="1">
        <v>0.5</v>
      </c>
      <c r="E230" s="1">
        <v>1000</v>
      </c>
      <c r="F230" s="1">
        <v>3</v>
      </c>
      <c r="G230" s="1">
        <v>3</v>
      </c>
      <c r="H230" s="1" t="s">
        <v>592</v>
      </c>
      <c r="I230" s="1">
        <v>346020.1</v>
      </c>
      <c r="J230" s="1">
        <v>134050.5</v>
      </c>
      <c r="K230" s="1">
        <v>211969.6</v>
      </c>
      <c r="L230" s="1">
        <v>1200</v>
      </c>
      <c r="M230" s="1">
        <v>600.66</v>
      </c>
      <c r="N230" s="1">
        <v>88067.6</v>
      </c>
      <c r="O230" s="1">
        <v>133191.5</v>
      </c>
      <c r="P230" s="1">
        <v>221259.1</v>
      </c>
      <c r="Q230" s="1">
        <v>21778.1</v>
      </c>
      <c r="R230" s="1">
        <v>5250</v>
      </c>
      <c r="S230" s="1">
        <v>27028.1</v>
      </c>
      <c r="T230" s="1">
        <v>28.24</v>
      </c>
      <c r="U230" s="1">
        <v>0.16</v>
      </c>
      <c r="V230" s="1">
        <v>5207.8</v>
      </c>
      <c r="W230" s="1">
        <v>26985.9</v>
      </c>
      <c r="X230" s="1">
        <v>600.82000000000005</v>
      </c>
      <c r="Y230" s="1">
        <v>1199</v>
      </c>
      <c r="Z230" s="1">
        <v>248245</v>
      </c>
      <c r="AA230" s="1">
        <v>28.26</v>
      </c>
    </row>
    <row r="231" spans="1:27" x14ac:dyDescent="0.4">
      <c r="A231" s="1" t="s">
        <v>72</v>
      </c>
      <c r="B231" s="1">
        <v>4000</v>
      </c>
      <c r="C231" s="1">
        <v>0.2</v>
      </c>
      <c r="D231" s="1">
        <v>0.5</v>
      </c>
      <c r="E231" s="1">
        <v>1000</v>
      </c>
      <c r="F231" s="1">
        <v>3</v>
      </c>
      <c r="G231" s="1">
        <v>3</v>
      </c>
      <c r="H231" s="1" t="s">
        <v>14</v>
      </c>
      <c r="I231" s="1">
        <v>346020.1</v>
      </c>
      <c r="J231" s="1">
        <v>134050.5</v>
      </c>
      <c r="K231" s="1">
        <v>211969.6</v>
      </c>
      <c r="L231" s="1">
        <v>1200</v>
      </c>
      <c r="M231" s="1">
        <v>600.01</v>
      </c>
      <c r="N231" s="1">
        <v>90764.5</v>
      </c>
      <c r="O231" s="1">
        <v>139324.6</v>
      </c>
      <c r="P231" s="1">
        <v>230089.1</v>
      </c>
      <c r="Q231" s="1">
        <v>21034.799999999999</v>
      </c>
      <c r="R231" s="1">
        <v>6068.7</v>
      </c>
      <c r="S231" s="1">
        <v>27103.5</v>
      </c>
      <c r="T231" s="1">
        <v>25.67</v>
      </c>
      <c r="U231" s="1">
        <v>0.25</v>
      </c>
      <c r="V231" s="1">
        <v>5778.6</v>
      </c>
      <c r="W231" s="1">
        <v>26813.4</v>
      </c>
      <c r="X231" s="1">
        <v>600.26</v>
      </c>
      <c r="Y231" s="1">
        <v>1200</v>
      </c>
      <c r="Z231" s="1">
        <v>256902.5</v>
      </c>
      <c r="AA231" s="1">
        <v>25.76</v>
      </c>
    </row>
    <row r="232" spans="1:27" x14ac:dyDescent="0.4">
      <c r="A232" s="1" t="s">
        <v>72</v>
      </c>
      <c r="B232" s="1">
        <v>4000</v>
      </c>
      <c r="C232" s="1">
        <v>0.2</v>
      </c>
      <c r="D232" s="1">
        <v>0.5</v>
      </c>
      <c r="E232" s="1">
        <v>1000</v>
      </c>
      <c r="F232" s="1">
        <v>3</v>
      </c>
      <c r="G232" s="1">
        <v>3</v>
      </c>
      <c r="H232" s="1" t="s">
        <v>580</v>
      </c>
      <c r="I232" s="1">
        <v>346020.1</v>
      </c>
      <c r="J232" s="1">
        <v>134050.5</v>
      </c>
      <c r="K232" s="1">
        <v>211969.6</v>
      </c>
      <c r="L232" s="1">
        <v>1200</v>
      </c>
      <c r="M232" s="1">
        <v>600.24</v>
      </c>
      <c r="N232" s="1">
        <v>90684.9</v>
      </c>
      <c r="O232" s="1">
        <v>138912.5</v>
      </c>
      <c r="P232" s="1">
        <v>229597.4</v>
      </c>
      <c r="Q232" s="1">
        <v>18387.5</v>
      </c>
      <c r="R232" s="1">
        <v>7076.2</v>
      </c>
      <c r="S232" s="1">
        <v>25463.7</v>
      </c>
      <c r="T232" s="1">
        <v>26.29</v>
      </c>
      <c r="U232" s="1">
        <v>1.4</v>
      </c>
      <c r="V232" s="1">
        <v>6467.2</v>
      </c>
      <c r="W232" s="1">
        <v>24854.7</v>
      </c>
      <c r="X232" s="1">
        <v>601.65</v>
      </c>
      <c r="Y232" s="1">
        <v>1199</v>
      </c>
      <c r="Z232" s="1">
        <v>254452.1</v>
      </c>
      <c r="AA232" s="1">
        <v>26.46</v>
      </c>
    </row>
    <row r="233" spans="1:27" x14ac:dyDescent="0.4">
      <c r="A233" s="1" t="s">
        <v>72</v>
      </c>
      <c r="B233" s="1">
        <v>4000</v>
      </c>
      <c r="C233" s="1">
        <v>0.2</v>
      </c>
      <c r="D233" s="1">
        <v>0.5</v>
      </c>
      <c r="E233" s="1">
        <v>1000</v>
      </c>
      <c r="F233" s="1">
        <v>3</v>
      </c>
      <c r="G233" s="1">
        <v>3</v>
      </c>
      <c r="H233" s="1" t="s">
        <v>15</v>
      </c>
      <c r="I233" s="1">
        <v>346020.1</v>
      </c>
      <c r="J233" s="1">
        <v>134050.5</v>
      </c>
      <c r="K233" s="1">
        <v>211969.6</v>
      </c>
      <c r="L233" s="1">
        <v>1200</v>
      </c>
      <c r="M233" s="1">
        <v>600.42999999999995</v>
      </c>
      <c r="N233" s="1">
        <v>88221.5</v>
      </c>
      <c r="O233" s="1">
        <v>134836.1</v>
      </c>
      <c r="P233" s="1">
        <v>223057.6</v>
      </c>
      <c r="Q233" s="1">
        <v>21783</v>
      </c>
      <c r="R233" s="1">
        <v>5290.2</v>
      </c>
      <c r="S233" s="1">
        <v>27073.200000000001</v>
      </c>
      <c r="T233" s="1">
        <v>27.71</v>
      </c>
      <c r="U233" s="1">
        <v>0.17</v>
      </c>
      <c r="V233" s="1">
        <v>5072.5</v>
      </c>
      <c r="W233" s="1">
        <v>26855.5</v>
      </c>
      <c r="X233" s="1">
        <v>600.59</v>
      </c>
      <c r="Y233" s="1">
        <v>1200</v>
      </c>
      <c r="Z233" s="1">
        <v>249913.1</v>
      </c>
      <c r="AA233" s="1">
        <v>27.77</v>
      </c>
    </row>
    <row r="234" spans="1:27" x14ac:dyDescent="0.4">
      <c r="A234" s="1" t="s">
        <v>73</v>
      </c>
      <c r="B234" s="1">
        <v>4000</v>
      </c>
      <c r="C234" s="1">
        <v>0.2</v>
      </c>
      <c r="D234" s="1">
        <v>0.5</v>
      </c>
      <c r="E234" s="1">
        <v>1000</v>
      </c>
      <c r="F234" s="1">
        <v>3</v>
      </c>
      <c r="G234" s="1">
        <v>4</v>
      </c>
      <c r="H234" s="1" t="s">
        <v>592</v>
      </c>
      <c r="I234" s="1">
        <v>357913.8</v>
      </c>
      <c r="J234" s="1">
        <v>140722</v>
      </c>
      <c r="K234" s="1">
        <v>217191.8</v>
      </c>
      <c r="L234" s="1">
        <v>1200</v>
      </c>
      <c r="M234" s="1">
        <v>600.89</v>
      </c>
      <c r="N234" s="1">
        <v>93146.6</v>
      </c>
      <c r="O234" s="1">
        <v>139055.9</v>
      </c>
      <c r="P234" s="1">
        <v>232202.5</v>
      </c>
      <c r="Q234" s="1">
        <v>21258.400000000001</v>
      </c>
      <c r="R234" s="1">
        <v>5395.8</v>
      </c>
      <c r="S234" s="1">
        <v>26654.2</v>
      </c>
      <c r="T234" s="1">
        <v>27.68</v>
      </c>
      <c r="U234" s="1">
        <v>0.2</v>
      </c>
      <c r="V234" s="1">
        <v>5370.9</v>
      </c>
      <c r="W234" s="1">
        <v>26629.3</v>
      </c>
      <c r="X234" s="1">
        <v>601.09</v>
      </c>
      <c r="Y234" s="1">
        <v>1200</v>
      </c>
      <c r="Z234" s="1">
        <v>258831.8</v>
      </c>
      <c r="AA234" s="1">
        <v>27.68</v>
      </c>
    </row>
    <row r="235" spans="1:27" x14ac:dyDescent="0.4">
      <c r="A235" s="1" t="s">
        <v>73</v>
      </c>
      <c r="B235" s="1">
        <v>4000</v>
      </c>
      <c r="C235" s="1">
        <v>0.2</v>
      </c>
      <c r="D235" s="1">
        <v>0.5</v>
      </c>
      <c r="E235" s="1">
        <v>1000</v>
      </c>
      <c r="F235" s="1">
        <v>3</v>
      </c>
      <c r="G235" s="1">
        <v>4</v>
      </c>
      <c r="H235" s="1" t="s">
        <v>14</v>
      </c>
      <c r="I235" s="1">
        <v>357913.8</v>
      </c>
      <c r="J235" s="1">
        <v>140722</v>
      </c>
      <c r="K235" s="1">
        <v>217191.8</v>
      </c>
      <c r="L235" s="1">
        <v>1200</v>
      </c>
      <c r="M235" s="1">
        <v>600.01</v>
      </c>
      <c r="N235" s="1">
        <v>96069</v>
      </c>
      <c r="O235" s="1">
        <v>144664.9</v>
      </c>
      <c r="P235" s="1">
        <v>240733.9</v>
      </c>
      <c r="Q235" s="1">
        <v>21419.200000000001</v>
      </c>
      <c r="R235" s="1">
        <v>6124.9</v>
      </c>
      <c r="S235" s="1">
        <v>27544.1</v>
      </c>
      <c r="T235" s="1">
        <v>25.04</v>
      </c>
      <c r="U235" s="1">
        <v>0.19</v>
      </c>
      <c r="V235" s="1">
        <v>5878.2</v>
      </c>
      <c r="W235" s="1">
        <v>27297.4</v>
      </c>
      <c r="X235" s="1">
        <v>600.21</v>
      </c>
      <c r="Y235" s="1">
        <v>1200</v>
      </c>
      <c r="Z235" s="1">
        <v>268031.3</v>
      </c>
      <c r="AA235" s="1">
        <v>25.11</v>
      </c>
    </row>
    <row r="236" spans="1:27" x14ac:dyDescent="0.4">
      <c r="A236" s="1" t="s">
        <v>73</v>
      </c>
      <c r="B236" s="1">
        <v>4000</v>
      </c>
      <c r="C236" s="1">
        <v>0.2</v>
      </c>
      <c r="D236" s="1">
        <v>0.5</v>
      </c>
      <c r="E236" s="1">
        <v>1000</v>
      </c>
      <c r="F236" s="1">
        <v>3</v>
      </c>
      <c r="G236" s="1">
        <v>4</v>
      </c>
      <c r="H236" s="1" t="s">
        <v>580</v>
      </c>
      <c r="I236" s="1">
        <v>357913.8</v>
      </c>
      <c r="J236" s="1">
        <v>140722</v>
      </c>
      <c r="K236" s="1">
        <v>217191.8</v>
      </c>
      <c r="L236" s="1">
        <v>1200</v>
      </c>
      <c r="M236" s="1">
        <v>600.23</v>
      </c>
      <c r="N236" s="1">
        <v>93834.5</v>
      </c>
      <c r="O236" s="1">
        <v>142653.29999999999</v>
      </c>
      <c r="P236" s="1">
        <v>236487.8</v>
      </c>
      <c r="Q236" s="1">
        <v>19859.2</v>
      </c>
      <c r="R236" s="1">
        <v>6971.6</v>
      </c>
      <c r="S236" s="1">
        <v>26830.799999999999</v>
      </c>
      <c r="T236" s="1">
        <v>26.43</v>
      </c>
      <c r="U236" s="1">
        <v>0.81</v>
      </c>
      <c r="V236" s="1">
        <v>6471.2</v>
      </c>
      <c r="W236" s="1">
        <v>26330.400000000001</v>
      </c>
      <c r="X236" s="1">
        <v>601.04</v>
      </c>
      <c r="Y236" s="1">
        <v>1200</v>
      </c>
      <c r="Z236" s="1">
        <v>262818.2</v>
      </c>
      <c r="AA236" s="1">
        <v>26.57</v>
      </c>
    </row>
    <row r="237" spans="1:27" x14ac:dyDescent="0.4">
      <c r="A237" s="1" t="s">
        <v>73</v>
      </c>
      <c r="B237" s="1">
        <v>4000</v>
      </c>
      <c r="C237" s="1">
        <v>0.2</v>
      </c>
      <c r="D237" s="1">
        <v>0.5</v>
      </c>
      <c r="E237" s="1">
        <v>1000</v>
      </c>
      <c r="F237" s="1">
        <v>3</v>
      </c>
      <c r="G237" s="1">
        <v>4</v>
      </c>
      <c r="H237" s="1" t="s">
        <v>15</v>
      </c>
      <c r="I237" s="1">
        <v>357913.8</v>
      </c>
      <c r="J237" s="1">
        <v>140722</v>
      </c>
      <c r="K237" s="1">
        <v>217191.8</v>
      </c>
      <c r="L237" s="1">
        <v>1200</v>
      </c>
      <c r="M237" s="1">
        <v>600.41</v>
      </c>
      <c r="N237" s="1">
        <v>93433.3</v>
      </c>
      <c r="O237" s="1">
        <v>140302.70000000001</v>
      </c>
      <c r="P237" s="1">
        <v>233736</v>
      </c>
      <c r="Q237" s="1">
        <v>21679.200000000001</v>
      </c>
      <c r="R237" s="1">
        <v>5442.5</v>
      </c>
      <c r="S237" s="1">
        <v>27121.7</v>
      </c>
      <c r="T237" s="1">
        <v>27.12</v>
      </c>
      <c r="U237" s="1">
        <v>0.15</v>
      </c>
      <c r="V237" s="1">
        <v>5315.1</v>
      </c>
      <c r="W237" s="1">
        <v>26994.3</v>
      </c>
      <c r="X237" s="1">
        <v>600.55999999999995</v>
      </c>
      <c r="Y237" s="1">
        <v>1200</v>
      </c>
      <c r="Z237" s="1">
        <v>260730.3</v>
      </c>
      <c r="AA237" s="1">
        <v>27.15</v>
      </c>
    </row>
    <row r="238" spans="1:27" x14ac:dyDescent="0.4">
      <c r="A238" s="1" t="s">
        <v>74</v>
      </c>
      <c r="B238" s="1">
        <v>4000</v>
      </c>
      <c r="C238" s="1">
        <v>0.2</v>
      </c>
      <c r="D238" s="1">
        <v>0.5</v>
      </c>
      <c r="E238" s="1">
        <v>1000</v>
      </c>
      <c r="F238" s="1">
        <v>3</v>
      </c>
      <c r="G238" s="1">
        <v>5</v>
      </c>
      <c r="H238" s="1" t="s">
        <v>592</v>
      </c>
      <c r="I238" s="1">
        <v>358543.9</v>
      </c>
      <c r="J238" s="1">
        <v>136947.6</v>
      </c>
      <c r="K238" s="1">
        <v>221596.3</v>
      </c>
      <c r="L238" s="1">
        <v>1200</v>
      </c>
      <c r="M238" s="1">
        <v>601.12</v>
      </c>
      <c r="N238" s="1">
        <v>90322.8</v>
      </c>
      <c r="O238" s="1">
        <v>140528.9</v>
      </c>
      <c r="P238" s="1">
        <v>230851.7</v>
      </c>
      <c r="Q238" s="1">
        <v>21982.6</v>
      </c>
      <c r="R238" s="1">
        <v>5118.3</v>
      </c>
      <c r="S238" s="1">
        <v>27100.9</v>
      </c>
      <c r="T238" s="1">
        <v>28.06</v>
      </c>
      <c r="U238" s="1">
        <v>0.16</v>
      </c>
      <c r="V238" s="1">
        <v>5110.8999999999996</v>
      </c>
      <c r="W238" s="1">
        <v>27093.5</v>
      </c>
      <c r="X238" s="1">
        <v>601.28</v>
      </c>
      <c r="Y238" s="1">
        <v>1200</v>
      </c>
      <c r="Z238" s="1">
        <v>257945.2</v>
      </c>
      <c r="AA238" s="1">
        <v>28.06</v>
      </c>
    </row>
    <row r="239" spans="1:27" x14ac:dyDescent="0.4">
      <c r="A239" s="1" t="s">
        <v>74</v>
      </c>
      <c r="B239" s="1">
        <v>4000</v>
      </c>
      <c r="C239" s="1">
        <v>0.2</v>
      </c>
      <c r="D239" s="1">
        <v>0.5</v>
      </c>
      <c r="E239" s="1">
        <v>1000</v>
      </c>
      <c r="F239" s="1">
        <v>3</v>
      </c>
      <c r="G239" s="1">
        <v>5</v>
      </c>
      <c r="H239" s="1" t="s">
        <v>14</v>
      </c>
      <c r="I239" s="1">
        <v>358543.9</v>
      </c>
      <c r="J239" s="1">
        <v>136947.6</v>
      </c>
      <c r="K239" s="1">
        <v>221596.3</v>
      </c>
      <c r="L239" s="1">
        <v>1200</v>
      </c>
      <c r="M239" s="1">
        <v>600.01</v>
      </c>
      <c r="N239" s="1">
        <v>92756.2</v>
      </c>
      <c r="O239" s="1">
        <v>146835.29999999999</v>
      </c>
      <c r="P239" s="1">
        <v>239591.5</v>
      </c>
      <c r="Q239" s="1">
        <v>21791.3</v>
      </c>
      <c r="R239" s="1">
        <v>5729.4</v>
      </c>
      <c r="S239" s="1">
        <v>27520.7</v>
      </c>
      <c r="T239" s="1">
        <v>25.5</v>
      </c>
      <c r="U239" s="1">
        <v>0.19</v>
      </c>
      <c r="V239" s="1">
        <v>5414.3</v>
      </c>
      <c r="W239" s="1">
        <v>27205.599999999999</v>
      </c>
      <c r="X239" s="1">
        <v>600.21</v>
      </c>
      <c r="Y239" s="1">
        <v>1200</v>
      </c>
      <c r="Z239" s="1">
        <v>266797.09999999998</v>
      </c>
      <c r="AA239" s="1">
        <v>25.59</v>
      </c>
    </row>
    <row r="240" spans="1:27" x14ac:dyDescent="0.4">
      <c r="A240" s="1" t="s">
        <v>74</v>
      </c>
      <c r="B240" s="1">
        <v>4000</v>
      </c>
      <c r="C240" s="1">
        <v>0.2</v>
      </c>
      <c r="D240" s="1">
        <v>0.5</v>
      </c>
      <c r="E240" s="1">
        <v>1000</v>
      </c>
      <c r="F240" s="1">
        <v>3</v>
      </c>
      <c r="G240" s="1">
        <v>5</v>
      </c>
      <c r="H240" s="1" t="s">
        <v>580</v>
      </c>
      <c r="I240" s="1">
        <v>358543.9</v>
      </c>
      <c r="J240" s="1">
        <v>136947.6</v>
      </c>
      <c r="K240" s="1">
        <v>221596.3</v>
      </c>
      <c r="L240" s="1">
        <v>1200</v>
      </c>
      <c r="M240" s="1">
        <v>600.01</v>
      </c>
      <c r="N240" s="1">
        <v>92685.3</v>
      </c>
      <c r="O240" s="1">
        <v>145379.4</v>
      </c>
      <c r="P240" s="1">
        <v>238064.7</v>
      </c>
      <c r="Q240" s="1">
        <v>19269.2</v>
      </c>
      <c r="R240" s="1">
        <v>6669.6</v>
      </c>
      <c r="S240" s="1">
        <v>25938.799999999999</v>
      </c>
      <c r="T240" s="1">
        <v>26.37</v>
      </c>
      <c r="U240" s="1">
        <v>0.8</v>
      </c>
      <c r="V240" s="1">
        <v>6145.5</v>
      </c>
      <c r="W240" s="1">
        <v>25414.7</v>
      </c>
      <c r="X240" s="1">
        <v>600.80999999999995</v>
      </c>
      <c r="Y240" s="1">
        <v>1199</v>
      </c>
      <c r="Z240" s="1">
        <v>263479.40000000002</v>
      </c>
      <c r="AA240" s="1">
        <v>26.51</v>
      </c>
    </row>
    <row r="241" spans="1:27" x14ac:dyDescent="0.4">
      <c r="A241" s="1" t="s">
        <v>74</v>
      </c>
      <c r="B241" s="1">
        <v>4000</v>
      </c>
      <c r="C241" s="1">
        <v>0.2</v>
      </c>
      <c r="D241" s="1">
        <v>0.5</v>
      </c>
      <c r="E241" s="1">
        <v>1000</v>
      </c>
      <c r="F241" s="1">
        <v>3</v>
      </c>
      <c r="G241" s="1">
        <v>5</v>
      </c>
      <c r="H241" s="1" t="s">
        <v>15</v>
      </c>
      <c r="I241" s="1">
        <v>358543.9</v>
      </c>
      <c r="J241" s="1">
        <v>136947.6</v>
      </c>
      <c r="K241" s="1">
        <v>221596.3</v>
      </c>
      <c r="L241" s="1">
        <v>1200</v>
      </c>
      <c r="M241" s="1">
        <v>600.72</v>
      </c>
      <c r="N241" s="1">
        <v>91162.2</v>
      </c>
      <c r="O241" s="1">
        <v>142252.29999999999</v>
      </c>
      <c r="P241" s="1">
        <v>233414.5</v>
      </c>
      <c r="Q241" s="1">
        <v>21910.6</v>
      </c>
      <c r="R241" s="1">
        <v>5414.6</v>
      </c>
      <c r="S241" s="1">
        <v>27325.200000000001</v>
      </c>
      <c r="T241" s="1">
        <v>27.28</v>
      </c>
      <c r="U241" s="1">
        <v>0.13</v>
      </c>
      <c r="V241" s="1">
        <v>5282.1</v>
      </c>
      <c r="W241" s="1">
        <v>27192.7</v>
      </c>
      <c r="X241" s="1">
        <v>600.85</v>
      </c>
      <c r="Y241" s="1">
        <v>1200</v>
      </c>
      <c r="Z241" s="1">
        <v>260607.2</v>
      </c>
      <c r="AA241" s="1">
        <v>27.32</v>
      </c>
    </row>
    <row r="242" spans="1:27" x14ac:dyDescent="0.4">
      <c r="A242" s="1" t="s">
        <v>75</v>
      </c>
      <c r="B242" s="1">
        <v>4000</v>
      </c>
      <c r="C242" s="1">
        <v>0.3</v>
      </c>
      <c r="D242" s="1">
        <v>0.5</v>
      </c>
      <c r="E242" s="1">
        <v>1000</v>
      </c>
      <c r="F242" s="1">
        <v>1</v>
      </c>
      <c r="G242" s="1">
        <v>1</v>
      </c>
      <c r="H242" s="1" t="s">
        <v>592</v>
      </c>
      <c r="I242" s="1">
        <v>175093.6</v>
      </c>
      <c r="J242" s="1">
        <v>68226.600000000006</v>
      </c>
      <c r="K242" s="1">
        <v>106867</v>
      </c>
      <c r="L242" s="1">
        <v>1200</v>
      </c>
      <c r="M242" s="1">
        <v>601.42999999999995</v>
      </c>
      <c r="N242" s="1">
        <v>41411.300000000003</v>
      </c>
      <c r="O242" s="1">
        <v>61084.5</v>
      </c>
      <c r="P242" s="1">
        <v>102495.8</v>
      </c>
      <c r="Q242" s="1">
        <v>21355.7</v>
      </c>
      <c r="R242" s="1">
        <v>6301.9</v>
      </c>
      <c r="S242" s="1">
        <v>27657.599999999999</v>
      </c>
      <c r="T242" s="1">
        <v>25.67</v>
      </c>
      <c r="U242" s="1">
        <v>0.33</v>
      </c>
      <c r="V242" s="1">
        <v>6262.4</v>
      </c>
      <c r="W242" s="1">
        <v>27618.1</v>
      </c>
      <c r="X242" s="1">
        <v>601.76</v>
      </c>
      <c r="Y242" s="1">
        <v>1200</v>
      </c>
      <c r="Z242" s="1">
        <v>130113.9</v>
      </c>
      <c r="AA242" s="1">
        <v>25.69</v>
      </c>
    </row>
    <row r="243" spans="1:27" x14ac:dyDescent="0.4">
      <c r="A243" s="1" t="s">
        <v>75</v>
      </c>
      <c r="B243" s="1">
        <v>4000</v>
      </c>
      <c r="C243" s="1">
        <v>0.3</v>
      </c>
      <c r="D243" s="1">
        <v>0.5</v>
      </c>
      <c r="E243" s="1">
        <v>1000</v>
      </c>
      <c r="F243" s="1">
        <v>1</v>
      </c>
      <c r="G243" s="1">
        <v>1</v>
      </c>
      <c r="H243" s="1" t="s">
        <v>14</v>
      </c>
      <c r="I243" s="1">
        <v>175093.6</v>
      </c>
      <c r="J243" s="1">
        <v>68226.600000000006</v>
      </c>
      <c r="K243" s="1">
        <v>106867</v>
      </c>
      <c r="L243" s="1">
        <v>1200</v>
      </c>
      <c r="M243" s="1">
        <v>600</v>
      </c>
      <c r="N243" s="1">
        <v>41850.300000000003</v>
      </c>
      <c r="O243" s="1">
        <v>61461.5</v>
      </c>
      <c r="P243" s="1">
        <v>103311.8</v>
      </c>
      <c r="Q243" s="1">
        <v>21102.400000000001</v>
      </c>
      <c r="R243" s="1">
        <v>7337.5</v>
      </c>
      <c r="S243" s="1">
        <v>28439.9</v>
      </c>
      <c r="T243" s="1">
        <v>24.75</v>
      </c>
      <c r="U243" s="1">
        <v>0.34</v>
      </c>
      <c r="V243" s="1">
        <v>7211.5</v>
      </c>
      <c r="W243" s="1">
        <v>28313.9</v>
      </c>
      <c r="X243" s="1">
        <v>600.34</v>
      </c>
      <c r="Y243" s="1">
        <v>1200</v>
      </c>
      <c r="Z243" s="1">
        <v>131625.70000000001</v>
      </c>
      <c r="AA243" s="1">
        <v>24.83</v>
      </c>
    </row>
    <row r="244" spans="1:27" x14ac:dyDescent="0.4">
      <c r="A244" s="1" t="s">
        <v>75</v>
      </c>
      <c r="B244" s="1">
        <v>4000</v>
      </c>
      <c r="C244" s="1">
        <v>0.3</v>
      </c>
      <c r="D244" s="1">
        <v>0.5</v>
      </c>
      <c r="E244" s="1">
        <v>1000</v>
      </c>
      <c r="F244" s="1">
        <v>1</v>
      </c>
      <c r="G244" s="1">
        <v>1</v>
      </c>
      <c r="H244" s="1" t="s">
        <v>580</v>
      </c>
      <c r="I244" s="1">
        <v>175093.6</v>
      </c>
      <c r="J244" s="1">
        <v>68226.600000000006</v>
      </c>
      <c r="K244" s="1">
        <v>106867</v>
      </c>
      <c r="L244" s="1">
        <v>1200</v>
      </c>
      <c r="M244" s="1">
        <v>600</v>
      </c>
      <c r="N244" s="1">
        <v>42818.6</v>
      </c>
      <c r="O244" s="1">
        <v>63095</v>
      </c>
      <c r="P244" s="1">
        <v>105913.60000000001</v>
      </c>
      <c r="Q244" s="1">
        <v>17472.599999999999</v>
      </c>
      <c r="R244" s="1">
        <v>9351.7999999999993</v>
      </c>
      <c r="S244" s="1">
        <v>26824.400000000001</v>
      </c>
      <c r="T244" s="1">
        <v>24.19</v>
      </c>
      <c r="U244" s="1">
        <v>2.63</v>
      </c>
      <c r="V244" s="1">
        <v>8957</v>
      </c>
      <c r="W244" s="1">
        <v>26429.599999999999</v>
      </c>
      <c r="X244" s="1">
        <v>602.63</v>
      </c>
      <c r="Y244" s="1">
        <v>1199</v>
      </c>
      <c r="Z244" s="1">
        <v>132343.20000000001</v>
      </c>
      <c r="AA244" s="1">
        <v>24.42</v>
      </c>
    </row>
    <row r="245" spans="1:27" x14ac:dyDescent="0.4">
      <c r="A245" s="1" t="s">
        <v>75</v>
      </c>
      <c r="B245" s="1">
        <v>4000</v>
      </c>
      <c r="C245" s="1">
        <v>0.3</v>
      </c>
      <c r="D245" s="1">
        <v>0.5</v>
      </c>
      <c r="E245" s="1">
        <v>1000</v>
      </c>
      <c r="F245" s="1">
        <v>1</v>
      </c>
      <c r="G245" s="1">
        <v>1</v>
      </c>
      <c r="H245" s="1" t="s">
        <v>15</v>
      </c>
      <c r="I245" s="1">
        <v>175093.6</v>
      </c>
      <c r="J245" s="1">
        <v>68226.600000000006</v>
      </c>
      <c r="K245" s="1">
        <v>106867</v>
      </c>
      <c r="L245" s="1">
        <v>1200</v>
      </c>
      <c r="M245" s="1">
        <v>600.33000000000004</v>
      </c>
      <c r="N245" s="1">
        <v>42098.1</v>
      </c>
      <c r="O245" s="1">
        <v>62162</v>
      </c>
      <c r="P245" s="1">
        <v>104260.1</v>
      </c>
      <c r="Q245" s="1">
        <v>21430.1</v>
      </c>
      <c r="R245" s="1">
        <v>6048</v>
      </c>
      <c r="S245" s="1">
        <v>27478.1</v>
      </c>
      <c r="T245" s="1">
        <v>24.76</v>
      </c>
      <c r="U245" s="1">
        <v>0.22</v>
      </c>
      <c r="V245" s="1">
        <v>5946.4</v>
      </c>
      <c r="W245" s="1">
        <v>27376.5</v>
      </c>
      <c r="X245" s="1">
        <v>600.54999999999995</v>
      </c>
      <c r="Y245" s="1">
        <v>1200</v>
      </c>
      <c r="Z245" s="1">
        <v>131636.6</v>
      </c>
      <c r="AA245" s="1">
        <v>24.82</v>
      </c>
    </row>
    <row r="246" spans="1:27" x14ac:dyDescent="0.4">
      <c r="A246" s="1" t="s">
        <v>76</v>
      </c>
      <c r="B246" s="1">
        <v>4000</v>
      </c>
      <c r="C246" s="1">
        <v>0.3</v>
      </c>
      <c r="D246" s="1">
        <v>0.5</v>
      </c>
      <c r="E246" s="1">
        <v>1000</v>
      </c>
      <c r="F246" s="1">
        <v>1</v>
      </c>
      <c r="G246" s="1">
        <v>2</v>
      </c>
      <c r="H246" s="1" t="s">
        <v>592</v>
      </c>
      <c r="I246" s="1">
        <v>175656.9</v>
      </c>
      <c r="J246" s="1">
        <v>73099.600000000006</v>
      </c>
      <c r="K246" s="1">
        <v>102557.3</v>
      </c>
      <c r="L246" s="1">
        <v>1200</v>
      </c>
      <c r="M246" s="1">
        <v>601.54</v>
      </c>
      <c r="N246" s="1">
        <v>43414.9</v>
      </c>
      <c r="O246" s="1">
        <v>59890.1</v>
      </c>
      <c r="P246" s="1">
        <v>103305</v>
      </c>
      <c r="Q246" s="1">
        <v>21061</v>
      </c>
      <c r="R246" s="1">
        <v>6183.1</v>
      </c>
      <c r="S246" s="1">
        <v>27244.1</v>
      </c>
      <c r="T246" s="1">
        <v>25.68</v>
      </c>
      <c r="U246" s="1">
        <v>0.28000000000000003</v>
      </c>
      <c r="V246" s="1">
        <v>6136.5</v>
      </c>
      <c r="W246" s="1">
        <v>27197.5</v>
      </c>
      <c r="X246" s="1">
        <v>601.82000000000005</v>
      </c>
      <c r="Y246" s="1">
        <v>1199</v>
      </c>
      <c r="Z246" s="1">
        <v>130502.5</v>
      </c>
      <c r="AA246" s="1">
        <v>25.71</v>
      </c>
    </row>
    <row r="247" spans="1:27" x14ac:dyDescent="0.4">
      <c r="A247" s="1" t="s">
        <v>76</v>
      </c>
      <c r="B247" s="1">
        <v>4000</v>
      </c>
      <c r="C247" s="1">
        <v>0.3</v>
      </c>
      <c r="D247" s="1">
        <v>0.5</v>
      </c>
      <c r="E247" s="1">
        <v>1000</v>
      </c>
      <c r="F247" s="1">
        <v>1</v>
      </c>
      <c r="G247" s="1">
        <v>2</v>
      </c>
      <c r="H247" s="1" t="s">
        <v>14</v>
      </c>
      <c r="I247" s="1">
        <v>175656.9</v>
      </c>
      <c r="J247" s="1">
        <v>73099.600000000006</v>
      </c>
      <c r="K247" s="1">
        <v>102557.3</v>
      </c>
      <c r="L247" s="1">
        <v>1200</v>
      </c>
      <c r="M247" s="1">
        <v>600.02</v>
      </c>
      <c r="N247" s="1">
        <v>43345.3</v>
      </c>
      <c r="O247" s="1">
        <v>59742</v>
      </c>
      <c r="P247" s="1">
        <v>103087.3</v>
      </c>
      <c r="Q247" s="1">
        <v>21366.1</v>
      </c>
      <c r="R247" s="1">
        <v>7674</v>
      </c>
      <c r="S247" s="1">
        <v>29040.1</v>
      </c>
      <c r="T247" s="1">
        <v>24.78</v>
      </c>
      <c r="U247" s="1">
        <v>0.37</v>
      </c>
      <c r="V247" s="1">
        <v>7515.3</v>
      </c>
      <c r="W247" s="1">
        <v>28881.4</v>
      </c>
      <c r="X247" s="1">
        <v>600.38</v>
      </c>
      <c r="Y247" s="1">
        <v>1200</v>
      </c>
      <c r="Z247" s="1">
        <v>131968.70000000001</v>
      </c>
      <c r="AA247" s="1">
        <v>24.87</v>
      </c>
    </row>
    <row r="248" spans="1:27" x14ac:dyDescent="0.4">
      <c r="A248" s="1" t="s">
        <v>76</v>
      </c>
      <c r="B248" s="1">
        <v>4000</v>
      </c>
      <c r="C248" s="1">
        <v>0.3</v>
      </c>
      <c r="D248" s="1">
        <v>0.5</v>
      </c>
      <c r="E248" s="1">
        <v>1000</v>
      </c>
      <c r="F248" s="1">
        <v>1</v>
      </c>
      <c r="G248" s="1">
        <v>2</v>
      </c>
      <c r="H248" s="1" t="s">
        <v>580</v>
      </c>
      <c r="I248" s="1">
        <v>175656.9</v>
      </c>
      <c r="J248" s="1">
        <v>73099.600000000006</v>
      </c>
      <c r="K248" s="1">
        <v>102557.3</v>
      </c>
      <c r="L248" s="1">
        <v>1200</v>
      </c>
      <c r="M248" s="1">
        <v>600.01</v>
      </c>
      <c r="N248" s="1">
        <v>44200.1</v>
      </c>
      <c r="O248" s="1">
        <v>61738.2</v>
      </c>
      <c r="P248" s="1">
        <v>105938.3</v>
      </c>
      <c r="Q248" s="1">
        <v>17885.599999999999</v>
      </c>
      <c r="R248" s="1">
        <v>9170.7000000000007</v>
      </c>
      <c r="S248" s="1">
        <v>27056.3</v>
      </c>
      <c r="T248" s="1">
        <v>24.29</v>
      </c>
      <c r="U248" s="1">
        <v>1.42</v>
      </c>
      <c r="V248" s="1">
        <v>8830</v>
      </c>
      <c r="W248" s="1">
        <v>26715.599999999999</v>
      </c>
      <c r="X248" s="1">
        <v>601.42999999999995</v>
      </c>
      <c r="Y248" s="1">
        <v>1199</v>
      </c>
      <c r="Z248" s="1">
        <v>132653.9</v>
      </c>
      <c r="AA248" s="1">
        <v>24.48</v>
      </c>
    </row>
    <row r="249" spans="1:27" x14ac:dyDescent="0.4">
      <c r="A249" s="1" t="s">
        <v>76</v>
      </c>
      <c r="B249" s="1">
        <v>4000</v>
      </c>
      <c r="C249" s="1">
        <v>0.3</v>
      </c>
      <c r="D249" s="1">
        <v>0.5</v>
      </c>
      <c r="E249" s="1">
        <v>1000</v>
      </c>
      <c r="F249" s="1">
        <v>1</v>
      </c>
      <c r="G249" s="1">
        <v>2</v>
      </c>
      <c r="H249" s="1" t="s">
        <v>15</v>
      </c>
      <c r="I249" s="1">
        <v>175656.9</v>
      </c>
      <c r="J249" s="1">
        <v>73099.600000000006</v>
      </c>
      <c r="K249" s="1">
        <v>102557.3</v>
      </c>
      <c r="L249" s="1">
        <v>1200</v>
      </c>
      <c r="M249" s="1">
        <v>600.91</v>
      </c>
      <c r="N249" s="1">
        <v>42342</v>
      </c>
      <c r="O249" s="1">
        <v>60065.4</v>
      </c>
      <c r="P249" s="1">
        <v>102407.4</v>
      </c>
      <c r="Q249" s="1">
        <v>22216.3</v>
      </c>
      <c r="R249" s="1">
        <v>6611.4</v>
      </c>
      <c r="S249" s="1">
        <v>28827.7</v>
      </c>
      <c r="T249" s="1">
        <v>25.29</v>
      </c>
      <c r="U249" s="1">
        <v>0.21</v>
      </c>
      <c r="V249" s="1">
        <v>6477.7</v>
      </c>
      <c r="W249" s="1">
        <v>28694</v>
      </c>
      <c r="X249" s="1">
        <v>601.12</v>
      </c>
      <c r="Y249" s="1">
        <v>1198</v>
      </c>
      <c r="Z249" s="1">
        <v>131101.4</v>
      </c>
      <c r="AA249" s="1">
        <v>25.37</v>
      </c>
    </row>
    <row r="250" spans="1:27" x14ac:dyDescent="0.4">
      <c r="A250" s="1" t="s">
        <v>77</v>
      </c>
      <c r="B250" s="1">
        <v>4000</v>
      </c>
      <c r="C250" s="1">
        <v>0.3</v>
      </c>
      <c r="D250" s="1">
        <v>0.5</v>
      </c>
      <c r="E250" s="1">
        <v>1000</v>
      </c>
      <c r="F250" s="1">
        <v>1</v>
      </c>
      <c r="G250" s="1">
        <v>3</v>
      </c>
      <c r="H250" s="1" t="s">
        <v>592</v>
      </c>
      <c r="I250" s="1">
        <v>169951.8</v>
      </c>
      <c r="J250" s="1">
        <v>69742.100000000006</v>
      </c>
      <c r="K250" s="1">
        <v>100209.7</v>
      </c>
      <c r="L250" s="1">
        <v>1200</v>
      </c>
      <c r="M250" s="1">
        <v>601.76</v>
      </c>
      <c r="N250" s="1">
        <v>42238.7</v>
      </c>
      <c r="O250" s="1">
        <v>58971.6</v>
      </c>
      <c r="P250" s="1">
        <v>101210.3</v>
      </c>
      <c r="Q250" s="1">
        <v>20234.599999999999</v>
      </c>
      <c r="R250" s="1">
        <v>6248.4</v>
      </c>
      <c r="S250" s="1">
        <v>26483</v>
      </c>
      <c r="T250" s="1">
        <v>24.86</v>
      </c>
      <c r="U250" s="1">
        <v>0.34</v>
      </c>
      <c r="V250" s="1">
        <v>6186.9</v>
      </c>
      <c r="W250" s="1">
        <v>26421.5</v>
      </c>
      <c r="X250" s="1">
        <v>602.1</v>
      </c>
      <c r="Y250" s="1">
        <v>1161</v>
      </c>
      <c r="Z250" s="1">
        <v>127631.8</v>
      </c>
      <c r="AA250" s="1">
        <v>24.9</v>
      </c>
    </row>
    <row r="251" spans="1:27" x14ac:dyDescent="0.4">
      <c r="A251" s="1" t="s">
        <v>77</v>
      </c>
      <c r="B251" s="1">
        <v>4000</v>
      </c>
      <c r="C251" s="1">
        <v>0.3</v>
      </c>
      <c r="D251" s="1">
        <v>0.5</v>
      </c>
      <c r="E251" s="1">
        <v>1000</v>
      </c>
      <c r="F251" s="1">
        <v>1</v>
      </c>
      <c r="G251" s="1">
        <v>3</v>
      </c>
      <c r="H251" s="1" t="s">
        <v>14</v>
      </c>
      <c r="I251" s="1">
        <v>169951.8</v>
      </c>
      <c r="J251" s="1">
        <v>69742.100000000006</v>
      </c>
      <c r="K251" s="1">
        <v>100209.7</v>
      </c>
      <c r="L251" s="1">
        <v>1200</v>
      </c>
      <c r="M251" s="1">
        <v>600.01</v>
      </c>
      <c r="N251" s="1">
        <v>42675</v>
      </c>
      <c r="O251" s="1">
        <v>58198.1</v>
      </c>
      <c r="P251" s="1">
        <v>100873.1</v>
      </c>
      <c r="Q251" s="1">
        <v>20908.599999999999</v>
      </c>
      <c r="R251" s="1">
        <v>7127.5</v>
      </c>
      <c r="S251" s="1">
        <v>28036.1</v>
      </c>
      <c r="T251" s="1">
        <v>24.15</v>
      </c>
      <c r="U251" s="1">
        <v>0.36</v>
      </c>
      <c r="V251" s="1">
        <v>7041.6</v>
      </c>
      <c r="W251" s="1">
        <v>27950.2</v>
      </c>
      <c r="X251" s="1">
        <v>600.38</v>
      </c>
      <c r="Y251" s="1">
        <v>1200</v>
      </c>
      <c r="Z251" s="1">
        <v>128823.3</v>
      </c>
      <c r="AA251" s="1">
        <v>24.2</v>
      </c>
    </row>
    <row r="252" spans="1:27" x14ac:dyDescent="0.4">
      <c r="A252" s="1" t="s">
        <v>77</v>
      </c>
      <c r="B252" s="1">
        <v>4000</v>
      </c>
      <c r="C252" s="1">
        <v>0.3</v>
      </c>
      <c r="D252" s="1">
        <v>0.5</v>
      </c>
      <c r="E252" s="1">
        <v>1000</v>
      </c>
      <c r="F252" s="1">
        <v>1</v>
      </c>
      <c r="G252" s="1">
        <v>3</v>
      </c>
      <c r="H252" s="1" t="s">
        <v>580</v>
      </c>
      <c r="I252" s="1">
        <v>169951.8</v>
      </c>
      <c r="J252" s="1">
        <v>69742.100000000006</v>
      </c>
      <c r="K252" s="1">
        <v>100209.7</v>
      </c>
      <c r="L252" s="1">
        <v>1200</v>
      </c>
      <c r="M252" s="1">
        <v>600.9</v>
      </c>
      <c r="N252" s="1">
        <v>42952.6</v>
      </c>
      <c r="O252" s="1">
        <v>60160.9</v>
      </c>
      <c r="P252" s="1">
        <v>103113.5</v>
      </c>
      <c r="Q252" s="1">
        <v>17423.8</v>
      </c>
      <c r="R252" s="1">
        <v>9132.7000000000007</v>
      </c>
      <c r="S252" s="1">
        <v>26556.5</v>
      </c>
      <c r="T252" s="1">
        <v>23.7</v>
      </c>
      <c r="U252" s="1">
        <v>1.79</v>
      </c>
      <c r="V252" s="1">
        <v>8780.7999999999993</v>
      </c>
      <c r="W252" s="1">
        <v>26204.6</v>
      </c>
      <c r="X252" s="1">
        <v>602.69000000000005</v>
      </c>
      <c r="Y252" s="1">
        <v>1199</v>
      </c>
      <c r="Z252" s="1">
        <v>129318.1</v>
      </c>
      <c r="AA252" s="1">
        <v>23.91</v>
      </c>
    </row>
    <row r="253" spans="1:27" x14ac:dyDescent="0.4">
      <c r="A253" s="1" t="s">
        <v>77</v>
      </c>
      <c r="B253" s="1">
        <v>4000</v>
      </c>
      <c r="C253" s="1">
        <v>0.3</v>
      </c>
      <c r="D253" s="1">
        <v>0.5</v>
      </c>
      <c r="E253" s="1">
        <v>1000</v>
      </c>
      <c r="F253" s="1">
        <v>1</v>
      </c>
      <c r="G253" s="1">
        <v>3</v>
      </c>
      <c r="H253" s="1" t="s">
        <v>15</v>
      </c>
      <c r="I253" s="1">
        <v>169951.8</v>
      </c>
      <c r="J253" s="1">
        <v>69742.100000000006</v>
      </c>
      <c r="K253" s="1">
        <v>100209.7</v>
      </c>
      <c r="L253" s="1">
        <v>1200</v>
      </c>
      <c r="M253" s="1">
        <v>600.12</v>
      </c>
      <c r="N253" s="1">
        <v>42957.3</v>
      </c>
      <c r="O253" s="1">
        <v>58525</v>
      </c>
      <c r="P253" s="1">
        <v>101482.3</v>
      </c>
      <c r="Q253" s="1">
        <v>20827.900000000001</v>
      </c>
      <c r="R253" s="1">
        <v>6102</v>
      </c>
      <c r="S253" s="1">
        <v>26929.9</v>
      </c>
      <c r="T253" s="1">
        <v>24.44</v>
      </c>
      <c r="U253" s="1">
        <v>0.16</v>
      </c>
      <c r="V253" s="1">
        <v>5994.3</v>
      </c>
      <c r="W253" s="1">
        <v>26822.2</v>
      </c>
      <c r="X253" s="1">
        <v>600.28</v>
      </c>
      <c r="Y253" s="1">
        <v>1197</v>
      </c>
      <c r="Z253" s="1">
        <v>128304.5</v>
      </c>
      <c r="AA253" s="1">
        <v>24.51</v>
      </c>
    </row>
    <row r="254" spans="1:27" x14ac:dyDescent="0.4">
      <c r="A254" s="1" t="s">
        <v>78</v>
      </c>
      <c r="B254" s="1">
        <v>4000</v>
      </c>
      <c r="C254" s="1">
        <v>0.3</v>
      </c>
      <c r="D254" s="1">
        <v>0.5</v>
      </c>
      <c r="E254" s="1">
        <v>1000</v>
      </c>
      <c r="F254" s="1">
        <v>1</v>
      </c>
      <c r="G254" s="1">
        <v>4</v>
      </c>
      <c r="H254" s="1" t="s">
        <v>592</v>
      </c>
      <c r="I254" s="1">
        <v>171916.6</v>
      </c>
      <c r="J254" s="1">
        <v>69635.3</v>
      </c>
      <c r="K254" s="1">
        <v>102281.3</v>
      </c>
      <c r="L254" s="1">
        <v>1200</v>
      </c>
      <c r="M254" s="1">
        <v>601.92999999999995</v>
      </c>
      <c r="N254" s="1">
        <v>42693.2</v>
      </c>
      <c r="O254" s="1">
        <v>59694.2</v>
      </c>
      <c r="P254" s="1">
        <v>102387.4</v>
      </c>
      <c r="Q254" s="1">
        <v>19694.2</v>
      </c>
      <c r="R254" s="1">
        <v>6299.3</v>
      </c>
      <c r="S254" s="1">
        <v>25993.5</v>
      </c>
      <c r="T254" s="1">
        <v>25.32</v>
      </c>
      <c r="U254" s="1">
        <v>0.38</v>
      </c>
      <c r="V254" s="1">
        <v>6283.7</v>
      </c>
      <c r="W254" s="1">
        <v>25977.9</v>
      </c>
      <c r="X254" s="1">
        <v>602.30999999999995</v>
      </c>
      <c r="Y254" s="1">
        <v>1171</v>
      </c>
      <c r="Z254" s="1">
        <v>128365.3</v>
      </c>
      <c r="AA254" s="1">
        <v>25.33</v>
      </c>
    </row>
    <row r="255" spans="1:27" x14ac:dyDescent="0.4">
      <c r="A255" s="1" t="s">
        <v>78</v>
      </c>
      <c r="B255" s="1">
        <v>4000</v>
      </c>
      <c r="C255" s="1">
        <v>0.3</v>
      </c>
      <c r="D255" s="1">
        <v>0.5</v>
      </c>
      <c r="E255" s="1">
        <v>1000</v>
      </c>
      <c r="F255" s="1">
        <v>1</v>
      </c>
      <c r="G255" s="1">
        <v>4</v>
      </c>
      <c r="H255" s="1" t="s">
        <v>14</v>
      </c>
      <c r="I255" s="1">
        <v>171916.6</v>
      </c>
      <c r="J255" s="1">
        <v>69635.3</v>
      </c>
      <c r="K255" s="1">
        <v>102281.3</v>
      </c>
      <c r="L255" s="1">
        <v>1200</v>
      </c>
      <c r="M255" s="1">
        <v>600.02</v>
      </c>
      <c r="N255" s="1">
        <v>41742.400000000001</v>
      </c>
      <c r="O255" s="1">
        <v>59677.1</v>
      </c>
      <c r="P255" s="1">
        <v>101419.5</v>
      </c>
      <c r="Q255" s="1">
        <v>20855.900000000001</v>
      </c>
      <c r="R255" s="1">
        <v>7257.3</v>
      </c>
      <c r="S255" s="1">
        <v>28113.200000000001</v>
      </c>
      <c r="T255" s="1">
        <v>24.65</v>
      </c>
      <c r="U255" s="1">
        <v>0.35</v>
      </c>
      <c r="V255" s="1">
        <v>7127.6</v>
      </c>
      <c r="W255" s="1">
        <v>27983.5</v>
      </c>
      <c r="X255" s="1">
        <v>600.37</v>
      </c>
      <c r="Y255" s="1">
        <v>1200</v>
      </c>
      <c r="Z255" s="1">
        <v>129403</v>
      </c>
      <c r="AA255" s="1">
        <v>24.73</v>
      </c>
    </row>
    <row r="256" spans="1:27" x14ac:dyDescent="0.4">
      <c r="A256" s="1" t="s">
        <v>78</v>
      </c>
      <c r="B256" s="1">
        <v>4000</v>
      </c>
      <c r="C256" s="1">
        <v>0.3</v>
      </c>
      <c r="D256" s="1">
        <v>0.5</v>
      </c>
      <c r="E256" s="1">
        <v>1000</v>
      </c>
      <c r="F256" s="1">
        <v>1</v>
      </c>
      <c r="G256" s="1">
        <v>4</v>
      </c>
      <c r="H256" s="1" t="s">
        <v>580</v>
      </c>
      <c r="I256" s="1">
        <v>171916.6</v>
      </c>
      <c r="J256" s="1">
        <v>69635.3</v>
      </c>
      <c r="K256" s="1">
        <v>102281.3</v>
      </c>
      <c r="L256" s="1">
        <v>1200</v>
      </c>
      <c r="M256" s="1">
        <v>600.82000000000005</v>
      </c>
      <c r="N256" s="1">
        <v>42219.5</v>
      </c>
      <c r="O256" s="1">
        <v>60747.4</v>
      </c>
      <c r="P256" s="1">
        <v>102966.9</v>
      </c>
      <c r="Q256" s="1">
        <v>18034.3</v>
      </c>
      <c r="R256" s="1">
        <v>8735.6</v>
      </c>
      <c r="S256" s="1">
        <v>26769.9</v>
      </c>
      <c r="T256" s="1">
        <v>24.54</v>
      </c>
      <c r="U256" s="1">
        <v>2.0099999999999998</v>
      </c>
      <c r="V256" s="1">
        <v>8497.4</v>
      </c>
      <c r="W256" s="1">
        <v>26531.7</v>
      </c>
      <c r="X256" s="1">
        <v>602.83000000000004</v>
      </c>
      <c r="Y256" s="1">
        <v>1199</v>
      </c>
      <c r="Z256" s="1">
        <v>129498.6</v>
      </c>
      <c r="AA256" s="1">
        <v>24.67</v>
      </c>
    </row>
    <row r="257" spans="1:27" x14ac:dyDescent="0.4">
      <c r="A257" s="1" t="s">
        <v>78</v>
      </c>
      <c r="B257" s="1">
        <v>4000</v>
      </c>
      <c r="C257" s="1">
        <v>0.3</v>
      </c>
      <c r="D257" s="1">
        <v>0.5</v>
      </c>
      <c r="E257" s="1">
        <v>1000</v>
      </c>
      <c r="F257" s="1">
        <v>1</v>
      </c>
      <c r="G257" s="1">
        <v>4</v>
      </c>
      <c r="H257" s="1" t="s">
        <v>15</v>
      </c>
      <c r="I257" s="1">
        <v>171916.6</v>
      </c>
      <c r="J257" s="1">
        <v>69635.3</v>
      </c>
      <c r="K257" s="1">
        <v>102281.3</v>
      </c>
      <c r="L257" s="1">
        <v>1200</v>
      </c>
      <c r="M257" s="1">
        <v>600.52</v>
      </c>
      <c r="N257" s="1">
        <v>41980</v>
      </c>
      <c r="O257" s="1">
        <v>59414.2</v>
      </c>
      <c r="P257" s="1">
        <v>101394.2</v>
      </c>
      <c r="Q257" s="1">
        <v>21140.400000000001</v>
      </c>
      <c r="R257" s="1">
        <v>6026.7</v>
      </c>
      <c r="S257" s="1">
        <v>27167.1</v>
      </c>
      <c r="T257" s="1">
        <v>25.22</v>
      </c>
      <c r="U257" s="1">
        <v>0.18</v>
      </c>
      <c r="V257" s="1">
        <v>5926.9</v>
      </c>
      <c r="W257" s="1">
        <v>27067.3</v>
      </c>
      <c r="X257" s="1">
        <v>600.70000000000005</v>
      </c>
      <c r="Y257" s="1">
        <v>1199</v>
      </c>
      <c r="Z257" s="1">
        <v>128461.5</v>
      </c>
      <c r="AA257" s="1">
        <v>25.28</v>
      </c>
    </row>
    <row r="258" spans="1:27" x14ac:dyDescent="0.4">
      <c r="A258" s="1" t="s">
        <v>79</v>
      </c>
      <c r="B258" s="1">
        <v>4000</v>
      </c>
      <c r="C258" s="1">
        <v>0.3</v>
      </c>
      <c r="D258" s="1">
        <v>0.5</v>
      </c>
      <c r="E258" s="1">
        <v>1000</v>
      </c>
      <c r="F258" s="1">
        <v>1</v>
      </c>
      <c r="G258" s="1">
        <v>5</v>
      </c>
      <c r="H258" s="1" t="s">
        <v>592</v>
      </c>
      <c r="I258" s="1">
        <v>176761.2</v>
      </c>
      <c r="J258" s="1">
        <v>70693.100000000006</v>
      </c>
      <c r="K258" s="1">
        <v>106068.1</v>
      </c>
      <c r="L258" s="1">
        <v>1200</v>
      </c>
      <c r="M258" s="1">
        <v>601.1</v>
      </c>
      <c r="N258" s="1">
        <v>42606.7</v>
      </c>
      <c r="O258" s="1">
        <v>61935</v>
      </c>
      <c r="P258" s="1">
        <v>104541.7</v>
      </c>
      <c r="Q258" s="1">
        <v>20590</v>
      </c>
      <c r="R258" s="1">
        <v>6785.3</v>
      </c>
      <c r="S258" s="1">
        <v>27375.3</v>
      </c>
      <c r="T258" s="1">
        <v>25.37</v>
      </c>
      <c r="U258" s="1">
        <v>0.41</v>
      </c>
      <c r="V258" s="1">
        <v>6744.8</v>
      </c>
      <c r="W258" s="1">
        <v>27334.799999999999</v>
      </c>
      <c r="X258" s="1">
        <v>601.5</v>
      </c>
      <c r="Y258" s="1">
        <v>1199</v>
      </c>
      <c r="Z258" s="1">
        <v>131876.5</v>
      </c>
      <c r="AA258" s="1">
        <v>25.39</v>
      </c>
    </row>
    <row r="259" spans="1:27" x14ac:dyDescent="0.4">
      <c r="A259" s="1" t="s">
        <v>79</v>
      </c>
      <c r="B259" s="1">
        <v>4000</v>
      </c>
      <c r="C259" s="1">
        <v>0.3</v>
      </c>
      <c r="D259" s="1">
        <v>0.5</v>
      </c>
      <c r="E259" s="1">
        <v>1000</v>
      </c>
      <c r="F259" s="1">
        <v>1</v>
      </c>
      <c r="G259" s="1">
        <v>5</v>
      </c>
      <c r="H259" s="1" t="s">
        <v>14</v>
      </c>
      <c r="I259" s="1">
        <v>176761.2</v>
      </c>
      <c r="J259" s="1">
        <v>70693.100000000006</v>
      </c>
      <c r="K259" s="1">
        <v>106068.1</v>
      </c>
      <c r="L259" s="1">
        <v>1200</v>
      </c>
      <c r="M259" s="1">
        <v>600</v>
      </c>
      <c r="N259" s="1">
        <v>43252.5</v>
      </c>
      <c r="O259" s="1">
        <v>61757.2</v>
      </c>
      <c r="P259" s="1">
        <v>105009.7</v>
      </c>
      <c r="Q259" s="1">
        <v>21292.799999999999</v>
      </c>
      <c r="R259" s="1">
        <v>7484.3</v>
      </c>
      <c r="S259" s="1">
        <v>28777.1</v>
      </c>
      <c r="T259" s="1">
        <v>24.31</v>
      </c>
      <c r="U259" s="1">
        <v>0.31</v>
      </c>
      <c r="V259" s="1">
        <v>7379.9</v>
      </c>
      <c r="W259" s="1">
        <v>28672.7</v>
      </c>
      <c r="X259" s="1">
        <v>600.30999999999995</v>
      </c>
      <c r="Y259" s="1">
        <v>1200</v>
      </c>
      <c r="Z259" s="1">
        <v>133682.4</v>
      </c>
      <c r="AA259" s="1">
        <v>24.37</v>
      </c>
    </row>
    <row r="260" spans="1:27" x14ac:dyDescent="0.4">
      <c r="A260" s="1" t="s">
        <v>79</v>
      </c>
      <c r="B260" s="1">
        <v>4000</v>
      </c>
      <c r="C260" s="1">
        <v>0.3</v>
      </c>
      <c r="D260" s="1">
        <v>0.5</v>
      </c>
      <c r="E260" s="1">
        <v>1000</v>
      </c>
      <c r="F260" s="1">
        <v>1</v>
      </c>
      <c r="G260" s="1">
        <v>5</v>
      </c>
      <c r="H260" s="1" t="s">
        <v>580</v>
      </c>
      <c r="I260" s="1">
        <v>176761.2</v>
      </c>
      <c r="J260" s="1">
        <v>70693.100000000006</v>
      </c>
      <c r="K260" s="1">
        <v>106068.1</v>
      </c>
      <c r="L260" s="1">
        <v>1200</v>
      </c>
      <c r="M260" s="1">
        <v>600.16</v>
      </c>
      <c r="N260" s="1">
        <v>44005.1</v>
      </c>
      <c r="O260" s="1">
        <v>63680.5</v>
      </c>
      <c r="P260" s="1">
        <v>107685.6</v>
      </c>
      <c r="Q260" s="1">
        <v>17822.599999999999</v>
      </c>
      <c r="R260" s="1">
        <v>9205.7999999999993</v>
      </c>
      <c r="S260" s="1">
        <v>27028.400000000001</v>
      </c>
      <c r="T260" s="1">
        <v>23.79</v>
      </c>
      <c r="U260" s="1">
        <v>1.74</v>
      </c>
      <c r="V260" s="1">
        <v>8966.6</v>
      </c>
      <c r="W260" s="1">
        <v>26789.200000000001</v>
      </c>
      <c r="X260" s="1">
        <v>601.9</v>
      </c>
      <c r="Y260" s="1">
        <v>1199</v>
      </c>
      <c r="Z260" s="1">
        <v>134474.79999999999</v>
      </c>
      <c r="AA260" s="1">
        <v>23.92</v>
      </c>
    </row>
    <row r="261" spans="1:27" x14ac:dyDescent="0.4">
      <c r="A261" s="1" t="s">
        <v>79</v>
      </c>
      <c r="B261" s="1">
        <v>4000</v>
      </c>
      <c r="C261" s="1">
        <v>0.3</v>
      </c>
      <c r="D261" s="1">
        <v>0.5</v>
      </c>
      <c r="E261" s="1">
        <v>1000</v>
      </c>
      <c r="F261" s="1">
        <v>1</v>
      </c>
      <c r="G261" s="1">
        <v>5</v>
      </c>
      <c r="H261" s="1" t="s">
        <v>15</v>
      </c>
      <c r="I261" s="1">
        <v>176761.2</v>
      </c>
      <c r="J261" s="1">
        <v>70693.100000000006</v>
      </c>
      <c r="K261" s="1">
        <v>106068.1</v>
      </c>
      <c r="L261" s="1">
        <v>1200</v>
      </c>
      <c r="M261" s="1">
        <v>600.46</v>
      </c>
      <c r="N261" s="1">
        <v>42755</v>
      </c>
      <c r="O261" s="1">
        <v>62043.1</v>
      </c>
      <c r="P261" s="1">
        <v>104798.1</v>
      </c>
      <c r="Q261" s="1">
        <v>21613.599999999999</v>
      </c>
      <c r="R261" s="1">
        <v>6575.7</v>
      </c>
      <c r="S261" s="1">
        <v>28189.3</v>
      </c>
      <c r="T261" s="1">
        <v>24.76</v>
      </c>
      <c r="U261" s="1">
        <v>0.24</v>
      </c>
      <c r="V261" s="1">
        <v>6461.5</v>
      </c>
      <c r="W261" s="1">
        <v>28075.1</v>
      </c>
      <c r="X261" s="1">
        <v>600.70000000000005</v>
      </c>
      <c r="Y261" s="1">
        <v>1200</v>
      </c>
      <c r="Z261" s="1">
        <v>132873.20000000001</v>
      </c>
      <c r="AA261" s="1">
        <v>24.83</v>
      </c>
    </row>
    <row r="262" spans="1:27" x14ac:dyDescent="0.4">
      <c r="A262" s="1" t="s">
        <v>80</v>
      </c>
      <c r="B262" s="1">
        <v>4000</v>
      </c>
      <c r="C262" s="1">
        <v>0.3</v>
      </c>
      <c r="D262" s="1">
        <v>0.5</v>
      </c>
      <c r="E262" s="1">
        <v>1000</v>
      </c>
      <c r="F262" s="1">
        <v>2</v>
      </c>
      <c r="G262" s="1">
        <v>1</v>
      </c>
      <c r="H262" s="1" t="s">
        <v>592</v>
      </c>
      <c r="I262" s="1">
        <v>267278.59999999998</v>
      </c>
      <c r="J262" s="1">
        <v>104903.3</v>
      </c>
      <c r="K262" s="1">
        <v>162375.29999999999</v>
      </c>
      <c r="L262" s="1">
        <v>1200</v>
      </c>
      <c r="M262" s="1">
        <v>601.4</v>
      </c>
      <c r="N262" s="1">
        <v>65506.2</v>
      </c>
      <c r="O262" s="1">
        <v>96216.6</v>
      </c>
      <c r="P262" s="1">
        <v>161722.79999999999</v>
      </c>
      <c r="Q262" s="1">
        <v>20420.400000000001</v>
      </c>
      <c r="R262" s="1">
        <v>7297.1</v>
      </c>
      <c r="S262" s="1">
        <v>27717.5</v>
      </c>
      <c r="T262" s="1">
        <v>29.12</v>
      </c>
      <c r="U262" s="1">
        <v>0.57999999999999996</v>
      </c>
      <c r="V262" s="1">
        <v>7255.2</v>
      </c>
      <c r="W262" s="1">
        <v>27675.599999999999</v>
      </c>
      <c r="X262" s="1">
        <v>601.98</v>
      </c>
      <c r="Y262" s="1">
        <v>1200</v>
      </c>
      <c r="Z262" s="1">
        <v>189398.39999999999</v>
      </c>
      <c r="AA262" s="1">
        <v>29.14</v>
      </c>
    </row>
    <row r="263" spans="1:27" x14ac:dyDescent="0.4">
      <c r="A263" s="1" t="s">
        <v>80</v>
      </c>
      <c r="B263" s="1">
        <v>4000</v>
      </c>
      <c r="C263" s="1">
        <v>0.3</v>
      </c>
      <c r="D263" s="1">
        <v>0.5</v>
      </c>
      <c r="E263" s="1">
        <v>1000</v>
      </c>
      <c r="F263" s="1">
        <v>2</v>
      </c>
      <c r="G263" s="1">
        <v>1</v>
      </c>
      <c r="H263" s="1" t="s">
        <v>14</v>
      </c>
      <c r="I263" s="1">
        <v>267278.59999999998</v>
      </c>
      <c r="J263" s="1">
        <v>104903.3</v>
      </c>
      <c r="K263" s="1">
        <v>162375.29999999999</v>
      </c>
      <c r="L263" s="1">
        <v>1200</v>
      </c>
      <c r="M263" s="1">
        <v>600.01</v>
      </c>
      <c r="N263" s="1">
        <v>66205.7</v>
      </c>
      <c r="O263" s="1">
        <v>97545.3</v>
      </c>
      <c r="P263" s="1">
        <v>163751</v>
      </c>
      <c r="Q263" s="1">
        <v>20997.4</v>
      </c>
      <c r="R263" s="1">
        <v>8183.5</v>
      </c>
      <c r="S263" s="1">
        <v>29180.9</v>
      </c>
      <c r="T263" s="1">
        <v>27.82</v>
      </c>
      <c r="U263" s="1">
        <v>0.57999999999999996</v>
      </c>
      <c r="V263" s="1">
        <v>7854.1</v>
      </c>
      <c r="W263" s="1">
        <v>28851.5</v>
      </c>
      <c r="X263" s="1">
        <v>600.58000000000004</v>
      </c>
      <c r="Y263" s="1">
        <v>1200</v>
      </c>
      <c r="Z263" s="1">
        <v>192602.5</v>
      </c>
      <c r="AA263" s="1">
        <v>27.94</v>
      </c>
    </row>
    <row r="264" spans="1:27" x14ac:dyDescent="0.4">
      <c r="A264" s="1" t="s">
        <v>80</v>
      </c>
      <c r="B264" s="1">
        <v>4000</v>
      </c>
      <c r="C264" s="1">
        <v>0.3</v>
      </c>
      <c r="D264" s="1">
        <v>0.5</v>
      </c>
      <c r="E264" s="1">
        <v>1000</v>
      </c>
      <c r="F264" s="1">
        <v>2</v>
      </c>
      <c r="G264" s="1">
        <v>1</v>
      </c>
      <c r="H264" s="1" t="s">
        <v>580</v>
      </c>
      <c r="I264" s="1">
        <v>267278.59999999998</v>
      </c>
      <c r="J264" s="1">
        <v>104903.3</v>
      </c>
      <c r="K264" s="1">
        <v>162375.29999999999</v>
      </c>
      <c r="L264" s="1">
        <v>1200</v>
      </c>
      <c r="M264" s="1">
        <v>600.61</v>
      </c>
      <c r="N264" s="1">
        <v>66332</v>
      </c>
      <c r="O264" s="1">
        <v>97884</v>
      </c>
      <c r="P264" s="1">
        <v>164216</v>
      </c>
      <c r="Q264" s="1">
        <v>18881.5</v>
      </c>
      <c r="R264" s="1">
        <v>9286.1</v>
      </c>
      <c r="S264" s="1">
        <v>28167.599999999999</v>
      </c>
      <c r="T264" s="1">
        <v>28.02</v>
      </c>
      <c r="U264" s="1">
        <v>1.51</v>
      </c>
      <c r="V264" s="1">
        <v>8776.5</v>
      </c>
      <c r="W264" s="1">
        <v>27658</v>
      </c>
      <c r="X264" s="1">
        <v>602.11</v>
      </c>
      <c r="Y264" s="1">
        <v>1200</v>
      </c>
      <c r="Z264" s="1">
        <v>191874</v>
      </c>
      <c r="AA264" s="1">
        <v>28.21</v>
      </c>
    </row>
    <row r="265" spans="1:27" x14ac:dyDescent="0.4">
      <c r="A265" s="1" t="s">
        <v>80</v>
      </c>
      <c r="B265" s="1">
        <v>4000</v>
      </c>
      <c r="C265" s="1">
        <v>0.3</v>
      </c>
      <c r="D265" s="1">
        <v>0.5</v>
      </c>
      <c r="E265" s="1">
        <v>1000</v>
      </c>
      <c r="F265" s="1">
        <v>2</v>
      </c>
      <c r="G265" s="1">
        <v>1</v>
      </c>
      <c r="H265" s="1" t="s">
        <v>15</v>
      </c>
      <c r="I265" s="1">
        <v>267278.59999999998</v>
      </c>
      <c r="J265" s="1">
        <v>104903.3</v>
      </c>
      <c r="K265" s="1">
        <v>162375.29999999999</v>
      </c>
      <c r="L265" s="1">
        <v>1200</v>
      </c>
      <c r="M265" s="1">
        <v>600.02</v>
      </c>
      <c r="N265" s="1">
        <v>65259.9</v>
      </c>
      <c r="O265" s="1">
        <v>95685.2</v>
      </c>
      <c r="P265" s="1">
        <v>160945.1</v>
      </c>
      <c r="Q265" s="1">
        <v>21510.7</v>
      </c>
      <c r="R265" s="1">
        <v>7048.8</v>
      </c>
      <c r="S265" s="1">
        <v>28559.5</v>
      </c>
      <c r="T265" s="1">
        <v>29.1</v>
      </c>
      <c r="U265" s="1">
        <v>0.3</v>
      </c>
      <c r="V265" s="1">
        <v>6897.5</v>
      </c>
      <c r="W265" s="1">
        <v>28408.2</v>
      </c>
      <c r="X265" s="1">
        <v>600.32000000000005</v>
      </c>
      <c r="Y265" s="1">
        <v>1200</v>
      </c>
      <c r="Z265" s="1">
        <v>189353.3</v>
      </c>
      <c r="AA265" s="1">
        <v>29.16</v>
      </c>
    </row>
    <row r="266" spans="1:27" x14ac:dyDescent="0.4">
      <c r="A266" s="1" t="s">
        <v>81</v>
      </c>
      <c r="B266" s="1">
        <v>4000</v>
      </c>
      <c r="C266" s="1">
        <v>0.3</v>
      </c>
      <c r="D266" s="1">
        <v>0.5</v>
      </c>
      <c r="E266" s="1">
        <v>1000</v>
      </c>
      <c r="F266" s="1">
        <v>2</v>
      </c>
      <c r="G266" s="1">
        <v>2</v>
      </c>
      <c r="H266" s="1" t="s">
        <v>592</v>
      </c>
      <c r="I266" s="1">
        <v>266574.40000000002</v>
      </c>
      <c r="J266" s="1">
        <v>109573.5</v>
      </c>
      <c r="K266" s="1">
        <v>157000.9</v>
      </c>
      <c r="L266" s="1">
        <v>1200</v>
      </c>
      <c r="M266" s="1">
        <v>601.41</v>
      </c>
      <c r="N266" s="1">
        <v>66639.600000000006</v>
      </c>
      <c r="O266" s="1">
        <v>92900</v>
      </c>
      <c r="P266" s="1">
        <v>159539.6</v>
      </c>
      <c r="Q266" s="1">
        <v>20588.400000000001</v>
      </c>
      <c r="R266" s="1">
        <v>7223.9</v>
      </c>
      <c r="S266" s="1">
        <v>27812.3</v>
      </c>
      <c r="T266" s="1">
        <v>29.72</v>
      </c>
      <c r="U266" s="1">
        <v>0.56999999999999995</v>
      </c>
      <c r="V266" s="1">
        <v>7206</v>
      </c>
      <c r="W266" s="1">
        <v>27794.400000000001</v>
      </c>
      <c r="X266" s="1">
        <v>601.98</v>
      </c>
      <c r="Y266" s="1">
        <v>1200</v>
      </c>
      <c r="Z266" s="1">
        <v>187334</v>
      </c>
      <c r="AA266" s="1">
        <v>29.73</v>
      </c>
    </row>
    <row r="267" spans="1:27" x14ac:dyDescent="0.4">
      <c r="A267" s="1" t="s">
        <v>81</v>
      </c>
      <c r="B267" s="1">
        <v>4000</v>
      </c>
      <c r="C267" s="1">
        <v>0.3</v>
      </c>
      <c r="D267" s="1">
        <v>0.5</v>
      </c>
      <c r="E267" s="1">
        <v>1000</v>
      </c>
      <c r="F267" s="1">
        <v>2</v>
      </c>
      <c r="G267" s="1">
        <v>2</v>
      </c>
      <c r="H267" s="1" t="s">
        <v>14</v>
      </c>
      <c r="I267" s="1">
        <v>266574.40000000002</v>
      </c>
      <c r="J267" s="1">
        <v>109573.5</v>
      </c>
      <c r="K267" s="1">
        <v>157000.9</v>
      </c>
      <c r="L267" s="1">
        <v>1200</v>
      </c>
      <c r="M267" s="1">
        <v>600.02</v>
      </c>
      <c r="N267" s="1">
        <v>67317.100000000006</v>
      </c>
      <c r="O267" s="1">
        <v>93715.5</v>
      </c>
      <c r="P267" s="1">
        <v>161032.6</v>
      </c>
      <c r="Q267" s="1">
        <v>21478.2</v>
      </c>
      <c r="R267" s="1">
        <v>8195.4</v>
      </c>
      <c r="S267" s="1">
        <v>29673.599999999999</v>
      </c>
      <c r="T267" s="1">
        <v>28.46</v>
      </c>
      <c r="U267" s="1">
        <v>0.43</v>
      </c>
      <c r="V267" s="1">
        <v>7990.6</v>
      </c>
      <c r="W267" s="1">
        <v>29468.799999999999</v>
      </c>
      <c r="X267" s="1">
        <v>600.45000000000005</v>
      </c>
      <c r="Y267" s="1">
        <v>1200</v>
      </c>
      <c r="Z267" s="1">
        <v>190501.4</v>
      </c>
      <c r="AA267" s="1">
        <v>28.54</v>
      </c>
    </row>
    <row r="268" spans="1:27" x14ac:dyDescent="0.4">
      <c r="A268" s="1" t="s">
        <v>81</v>
      </c>
      <c r="B268" s="1">
        <v>4000</v>
      </c>
      <c r="C268" s="1">
        <v>0.3</v>
      </c>
      <c r="D268" s="1">
        <v>0.5</v>
      </c>
      <c r="E268" s="1">
        <v>1000</v>
      </c>
      <c r="F268" s="1">
        <v>2</v>
      </c>
      <c r="G268" s="1">
        <v>2</v>
      </c>
      <c r="H268" s="1" t="s">
        <v>580</v>
      </c>
      <c r="I268" s="1">
        <v>266574.40000000002</v>
      </c>
      <c r="J268" s="1">
        <v>109573.5</v>
      </c>
      <c r="K268" s="1">
        <v>157000.9</v>
      </c>
      <c r="L268" s="1">
        <v>1200</v>
      </c>
      <c r="M268" s="1">
        <v>600.02</v>
      </c>
      <c r="N268" s="1">
        <v>68180.100000000006</v>
      </c>
      <c r="O268" s="1">
        <v>95286.6</v>
      </c>
      <c r="P268" s="1">
        <v>163466.70000000001</v>
      </c>
      <c r="Q268" s="1">
        <v>18547.900000000001</v>
      </c>
      <c r="R268" s="1">
        <v>9412.2999999999993</v>
      </c>
      <c r="S268" s="1">
        <v>27960.2</v>
      </c>
      <c r="T268" s="1">
        <v>28.19</v>
      </c>
      <c r="U268" s="1">
        <v>1.97</v>
      </c>
      <c r="V268" s="1">
        <v>8884.9</v>
      </c>
      <c r="W268" s="1">
        <v>27432.799999999999</v>
      </c>
      <c r="X268" s="1">
        <v>601.99</v>
      </c>
      <c r="Y268" s="1">
        <v>1200</v>
      </c>
      <c r="Z268" s="1">
        <v>190899.5</v>
      </c>
      <c r="AA268" s="1">
        <v>28.39</v>
      </c>
    </row>
    <row r="269" spans="1:27" x14ac:dyDescent="0.4">
      <c r="A269" s="1" t="s">
        <v>81</v>
      </c>
      <c r="B269" s="1">
        <v>4000</v>
      </c>
      <c r="C269" s="1">
        <v>0.3</v>
      </c>
      <c r="D269" s="1">
        <v>0.5</v>
      </c>
      <c r="E269" s="1">
        <v>1000</v>
      </c>
      <c r="F269" s="1">
        <v>2</v>
      </c>
      <c r="G269" s="1">
        <v>2</v>
      </c>
      <c r="H269" s="1" t="s">
        <v>15</v>
      </c>
      <c r="I269" s="1">
        <v>266574.40000000002</v>
      </c>
      <c r="J269" s="1">
        <v>109573.5</v>
      </c>
      <c r="K269" s="1">
        <v>157000.9</v>
      </c>
      <c r="L269" s="1">
        <v>1200</v>
      </c>
      <c r="M269" s="1">
        <v>600.69000000000005</v>
      </c>
      <c r="N269" s="1">
        <v>67756.2</v>
      </c>
      <c r="O269" s="1">
        <v>93508.4</v>
      </c>
      <c r="P269" s="1">
        <v>161264.6</v>
      </c>
      <c r="Q269" s="1">
        <v>21745.7</v>
      </c>
      <c r="R269" s="1">
        <v>7343.1</v>
      </c>
      <c r="S269" s="1">
        <v>29088.799999999999</v>
      </c>
      <c r="T269" s="1">
        <v>28.59</v>
      </c>
      <c r="U269" s="1">
        <v>0.34</v>
      </c>
      <c r="V269" s="1">
        <v>7099.2</v>
      </c>
      <c r="W269" s="1">
        <v>28844.9</v>
      </c>
      <c r="X269" s="1">
        <v>601.03</v>
      </c>
      <c r="Y269" s="1">
        <v>1199</v>
      </c>
      <c r="Z269" s="1">
        <v>190109.5</v>
      </c>
      <c r="AA269" s="1">
        <v>28.68</v>
      </c>
    </row>
    <row r="270" spans="1:27" x14ac:dyDescent="0.4">
      <c r="A270" s="1" t="s">
        <v>82</v>
      </c>
      <c r="B270" s="1">
        <v>4000</v>
      </c>
      <c r="C270" s="1">
        <v>0.3</v>
      </c>
      <c r="D270" s="1">
        <v>0.5</v>
      </c>
      <c r="E270" s="1">
        <v>1000</v>
      </c>
      <c r="F270" s="1">
        <v>2</v>
      </c>
      <c r="G270" s="1">
        <v>3</v>
      </c>
      <c r="H270" s="1" t="s">
        <v>592</v>
      </c>
      <c r="I270" s="1">
        <v>270461.40000000002</v>
      </c>
      <c r="J270" s="1">
        <v>108640.8</v>
      </c>
      <c r="K270" s="1">
        <v>161820.6</v>
      </c>
      <c r="L270" s="1">
        <v>1200</v>
      </c>
      <c r="M270" s="1">
        <v>601.70000000000005</v>
      </c>
      <c r="N270" s="1">
        <v>67394.8</v>
      </c>
      <c r="O270" s="1">
        <v>94068.6</v>
      </c>
      <c r="P270" s="1">
        <v>161463.4</v>
      </c>
      <c r="Q270" s="1">
        <v>20996.5</v>
      </c>
      <c r="R270" s="1">
        <v>6798.8</v>
      </c>
      <c r="S270" s="1">
        <v>27795.3</v>
      </c>
      <c r="T270" s="1">
        <v>30.02</v>
      </c>
      <c r="U270" s="1">
        <v>0.47</v>
      </c>
      <c r="V270" s="1">
        <v>6768.3</v>
      </c>
      <c r="W270" s="1">
        <v>27764.799999999999</v>
      </c>
      <c r="X270" s="1">
        <v>602.16999999999996</v>
      </c>
      <c r="Y270" s="1">
        <v>1200</v>
      </c>
      <c r="Z270" s="1">
        <v>189228.2</v>
      </c>
      <c r="AA270" s="1">
        <v>30.04</v>
      </c>
    </row>
    <row r="271" spans="1:27" x14ac:dyDescent="0.4">
      <c r="A271" s="1" t="s">
        <v>82</v>
      </c>
      <c r="B271" s="1">
        <v>4000</v>
      </c>
      <c r="C271" s="1">
        <v>0.3</v>
      </c>
      <c r="D271" s="1">
        <v>0.5</v>
      </c>
      <c r="E271" s="1">
        <v>1000</v>
      </c>
      <c r="F271" s="1">
        <v>2</v>
      </c>
      <c r="G271" s="1">
        <v>3</v>
      </c>
      <c r="H271" s="1" t="s">
        <v>14</v>
      </c>
      <c r="I271" s="1">
        <v>270461.40000000002</v>
      </c>
      <c r="J271" s="1">
        <v>108640.8</v>
      </c>
      <c r="K271" s="1">
        <v>161820.6</v>
      </c>
      <c r="L271" s="1">
        <v>1200</v>
      </c>
      <c r="M271" s="1">
        <v>600.01</v>
      </c>
      <c r="N271" s="1">
        <v>68494.5</v>
      </c>
      <c r="O271" s="1">
        <v>96662.6</v>
      </c>
      <c r="P271" s="1">
        <v>165157.1</v>
      </c>
      <c r="Q271" s="1">
        <v>20957.5</v>
      </c>
      <c r="R271" s="1">
        <v>7842.5</v>
      </c>
      <c r="S271" s="1">
        <v>28800</v>
      </c>
      <c r="T271" s="1">
        <v>28.29</v>
      </c>
      <c r="U271" s="1">
        <v>0.5</v>
      </c>
      <c r="V271" s="1">
        <v>7596.1</v>
      </c>
      <c r="W271" s="1">
        <v>28553.599999999999</v>
      </c>
      <c r="X271" s="1">
        <v>600.51</v>
      </c>
      <c r="Y271" s="1">
        <v>1200</v>
      </c>
      <c r="Z271" s="1">
        <v>193710.7</v>
      </c>
      <c r="AA271" s="1">
        <v>28.38</v>
      </c>
    </row>
    <row r="272" spans="1:27" x14ac:dyDescent="0.4">
      <c r="A272" s="1" t="s">
        <v>82</v>
      </c>
      <c r="B272" s="1">
        <v>4000</v>
      </c>
      <c r="C272" s="1">
        <v>0.3</v>
      </c>
      <c r="D272" s="1">
        <v>0.5</v>
      </c>
      <c r="E272" s="1">
        <v>1000</v>
      </c>
      <c r="F272" s="1">
        <v>2</v>
      </c>
      <c r="G272" s="1">
        <v>3</v>
      </c>
      <c r="H272" s="1" t="s">
        <v>580</v>
      </c>
      <c r="I272" s="1">
        <v>270461.40000000002</v>
      </c>
      <c r="J272" s="1">
        <v>108640.8</v>
      </c>
      <c r="K272" s="1">
        <v>161820.6</v>
      </c>
      <c r="L272" s="1">
        <v>1200</v>
      </c>
      <c r="M272" s="1">
        <v>600</v>
      </c>
      <c r="N272" s="1">
        <v>69120.3</v>
      </c>
      <c r="O272" s="1">
        <v>97487.8</v>
      </c>
      <c r="P272" s="1">
        <v>166608.1</v>
      </c>
      <c r="Q272" s="1">
        <v>18606</v>
      </c>
      <c r="R272" s="1">
        <v>9071.2000000000007</v>
      </c>
      <c r="S272" s="1">
        <v>27677.200000000001</v>
      </c>
      <c r="T272" s="1">
        <v>28.17</v>
      </c>
      <c r="U272" s="1">
        <v>2.09</v>
      </c>
      <c r="V272" s="1">
        <v>8536.4</v>
      </c>
      <c r="W272" s="1">
        <v>27142.400000000001</v>
      </c>
      <c r="X272" s="1">
        <v>602.1</v>
      </c>
      <c r="Y272" s="1">
        <v>1200</v>
      </c>
      <c r="Z272" s="1">
        <v>193750.5</v>
      </c>
      <c r="AA272" s="1">
        <v>28.36</v>
      </c>
    </row>
    <row r="273" spans="1:27" x14ac:dyDescent="0.4">
      <c r="A273" s="1" t="s">
        <v>82</v>
      </c>
      <c r="B273" s="1">
        <v>4000</v>
      </c>
      <c r="C273" s="1">
        <v>0.3</v>
      </c>
      <c r="D273" s="1">
        <v>0.5</v>
      </c>
      <c r="E273" s="1">
        <v>1000</v>
      </c>
      <c r="F273" s="1">
        <v>2</v>
      </c>
      <c r="G273" s="1">
        <v>3</v>
      </c>
      <c r="H273" s="1" t="s">
        <v>15</v>
      </c>
      <c r="I273" s="1">
        <v>270461.40000000002</v>
      </c>
      <c r="J273" s="1">
        <v>108640.8</v>
      </c>
      <c r="K273" s="1">
        <v>161820.6</v>
      </c>
      <c r="L273" s="1">
        <v>1200</v>
      </c>
      <c r="M273" s="1">
        <v>600.57000000000005</v>
      </c>
      <c r="N273" s="1">
        <v>67243.199999999997</v>
      </c>
      <c r="O273" s="1">
        <v>93340.4</v>
      </c>
      <c r="P273" s="1">
        <v>160583.6</v>
      </c>
      <c r="Q273" s="1">
        <v>21773.3</v>
      </c>
      <c r="R273" s="1">
        <v>7103.5</v>
      </c>
      <c r="S273" s="1">
        <v>28876.799999999999</v>
      </c>
      <c r="T273" s="1">
        <v>29.95</v>
      </c>
      <c r="U273" s="1">
        <v>0.31</v>
      </c>
      <c r="V273" s="1">
        <v>6930.5</v>
      </c>
      <c r="W273" s="1">
        <v>28703.8</v>
      </c>
      <c r="X273" s="1">
        <v>600.88</v>
      </c>
      <c r="Y273" s="1">
        <v>1199</v>
      </c>
      <c r="Z273" s="1">
        <v>189287.4</v>
      </c>
      <c r="AA273" s="1">
        <v>30.01</v>
      </c>
    </row>
    <row r="274" spans="1:27" x14ac:dyDescent="0.4">
      <c r="A274" s="1" t="s">
        <v>83</v>
      </c>
      <c r="B274" s="1">
        <v>4000</v>
      </c>
      <c r="C274" s="1">
        <v>0.3</v>
      </c>
      <c r="D274" s="1">
        <v>0.5</v>
      </c>
      <c r="E274" s="1">
        <v>1000</v>
      </c>
      <c r="F274" s="1">
        <v>2</v>
      </c>
      <c r="G274" s="1">
        <v>4</v>
      </c>
      <c r="H274" s="1" t="s">
        <v>592</v>
      </c>
      <c r="I274" s="1">
        <v>276520.5</v>
      </c>
      <c r="J274" s="1">
        <v>108151.8</v>
      </c>
      <c r="K274" s="1">
        <v>168368.7</v>
      </c>
      <c r="L274" s="1">
        <v>1200</v>
      </c>
      <c r="M274" s="1">
        <v>601.74</v>
      </c>
      <c r="N274" s="1">
        <v>68287.3</v>
      </c>
      <c r="O274" s="1">
        <v>98469.7</v>
      </c>
      <c r="P274" s="1">
        <v>166757</v>
      </c>
      <c r="Q274" s="1">
        <v>20920.3</v>
      </c>
      <c r="R274" s="1">
        <v>7305.8</v>
      </c>
      <c r="S274" s="1">
        <v>28226.1</v>
      </c>
      <c r="T274" s="1">
        <v>29.49</v>
      </c>
      <c r="U274" s="1">
        <v>0.37</v>
      </c>
      <c r="V274" s="1">
        <v>7289</v>
      </c>
      <c r="W274" s="1">
        <v>28209.3</v>
      </c>
      <c r="X274" s="1">
        <v>602.11</v>
      </c>
      <c r="Y274" s="1">
        <v>1199</v>
      </c>
      <c r="Z274" s="1">
        <v>194966.3</v>
      </c>
      <c r="AA274" s="1">
        <v>29.49</v>
      </c>
    </row>
    <row r="275" spans="1:27" x14ac:dyDescent="0.4">
      <c r="A275" s="1" t="s">
        <v>83</v>
      </c>
      <c r="B275" s="1">
        <v>4000</v>
      </c>
      <c r="C275" s="1">
        <v>0.3</v>
      </c>
      <c r="D275" s="1">
        <v>0.5</v>
      </c>
      <c r="E275" s="1">
        <v>1000</v>
      </c>
      <c r="F275" s="1">
        <v>2</v>
      </c>
      <c r="G275" s="1">
        <v>4</v>
      </c>
      <c r="H275" s="1" t="s">
        <v>14</v>
      </c>
      <c r="I275" s="1">
        <v>276520.5</v>
      </c>
      <c r="J275" s="1">
        <v>108151.8</v>
      </c>
      <c r="K275" s="1">
        <v>168368.7</v>
      </c>
      <c r="L275" s="1">
        <v>1200</v>
      </c>
      <c r="M275" s="1">
        <v>600.01</v>
      </c>
      <c r="N275" s="1">
        <v>68691.899999999994</v>
      </c>
      <c r="O275" s="1">
        <v>101730.1</v>
      </c>
      <c r="P275" s="1">
        <v>170422</v>
      </c>
      <c r="Q275" s="1">
        <v>21011.4</v>
      </c>
      <c r="R275" s="1">
        <v>8197</v>
      </c>
      <c r="S275" s="1">
        <v>29208.400000000001</v>
      </c>
      <c r="T275" s="1">
        <v>27.81</v>
      </c>
      <c r="U275" s="1">
        <v>0.63</v>
      </c>
      <c r="V275" s="1">
        <v>7968.9</v>
      </c>
      <c r="W275" s="1">
        <v>28980.3</v>
      </c>
      <c r="X275" s="1">
        <v>600.63</v>
      </c>
      <c r="Y275" s="1">
        <v>1200</v>
      </c>
      <c r="Z275" s="1">
        <v>199402.3</v>
      </c>
      <c r="AA275" s="1">
        <v>27.89</v>
      </c>
    </row>
    <row r="276" spans="1:27" x14ac:dyDescent="0.4">
      <c r="A276" s="1" t="s">
        <v>83</v>
      </c>
      <c r="B276" s="1">
        <v>4000</v>
      </c>
      <c r="C276" s="1">
        <v>0.3</v>
      </c>
      <c r="D276" s="1">
        <v>0.5</v>
      </c>
      <c r="E276" s="1">
        <v>1000</v>
      </c>
      <c r="F276" s="1">
        <v>2</v>
      </c>
      <c r="G276" s="1">
        <v>4</v>
      </c>
      <c r="H276" s="1" t="s">
        <v>580</v>
      </c>
      <c r="I276" s="1">
        <v>276520.5</v>
      </c>
      <c r="J276" s="1">
        <v>108151.8</v>
      </c>
      <c r="K276" s="1">
        <v>168368.7</v>
      </c>
      <c r="L276" s="1">
        <v>1200</v>
      </c>
      <c r="M276" s="1">
        <v>600.01</v>
      </c>
      <c r="N276" s="1">
        <v>70379.600000000006</v>
      </c>
      <c r="O276" s="1">
        <v>102300.4</v>
      </c>
      <c r="P276" s="1">
        <v>172680</v>
      </c>
      <c r="Q276" s="1">
        <v>18295</v>
      </c>
      <c r="R276" s="1">
        <v>9043</v>
      </c>
      <c r="S276" s="1">
        <v>27338</v>
      </c>
      <c r="T276" s="1">
        <v>27.67</v>
      </c>
      <c r="U276" s="1">
        <v>1.72</v>
      </c>
      <c r="V276" s="1">
        <v>8576.7000000000007</v>
      </c>
      <c r="W276" s="1">
        <v>26871.7</v>
      </c>
      <c r="X276" s="1">
        <v>601.73</v>
      </c>
      <c r="Y276" s="1">
        <v>1200</v>
      </c>
      <c r="Z276" s="1">
        <v>199551.7</v>
      </c>
      <c r="AA276" s="1">
        <v>27.83</v>
      </c>
    </row>
    <row r="277" spans="1:27" x14ac:dyDescent="0.4">
      <c r="A277" s="1" t="s">
        <v>83</v>
      </c>
      <c r="B277" s="1">
        <v>4000</v>
      </c>
      <c r="C277" s="1">
        <v>0.3</v>
      </c>
      <c r="D277" s="1">
        <v>0.5</v>
      </c>
      <c r="E277" s="1">
        <v>1000</v>
      </c>
      <c r="F277" s="1">
        <v>2</v>
      </c>
      <c r="G277" s="1">
        <v>4</v>
      </c>
      <c r="H277" s="1" t="s">
        <v>15</v>
      </c>
      <c r="I277" s="1">
        <v>276520.5</v>
      </c>
      <c r="J277" s="1">
        <v>108151.8</v>
      </c>
      <c r="K277" s="1">
        <v>168368.7</v>
      </c>
      <c r="L277" s="1">
        <v>1200</v>
      </c>
      <c r="M277" s="1">
        <v>600.79</v>
      </c>
      <c r="N277" s="1">
        <v>68812.399999999994</v>
      </c>
      <c r="O277" s="1">
        <v>100732.7</v>
      </c>
      <c r="P277" s="1">
        <v>169545.1</v>
      </c>
      <c r="Q277" s="1">
        <v>20808.2</v>
      </c>
      <c r="R277" s="1">
        <v>7334.4</v>
      </c>
      <c r="S277" s="1">
        <v>28142.6</v>
      </c>
      <c r="T277" s="1">
        <v>28.51</v>
      </c>
      <c r="U277" s="1">
        <v>0.34</v>
      </c>
      <c r="V277" s="1">
        <v>7071.8</v>
      </c>
      <c r="W277" s="1">
        <v>27880</v>
      </c>
      <c r="X277" s="1">
        <v>601.13</v>
      </c>
      <c r="Y277" s="1">
        <v>1200</v>
      </c>
      <c r="Z277" s="1">
        <v>197425.1</v>
      </c>
      <c r="AA277" s="1">
        <v>28.6</v>
      </c>
    </row>
    <row r="278" spans="1:27" x14ac:dyDescent="0.4">
      <c r="A278" s="1" t="s">
        <v>84</v>
      </c>
      <c r="B278" s="1">
        <v>4000</v>
      </c>
      <c r="C278" s="1">
        <v>0.3</v>
      </c>
      <c r="D278" s="1">
        <v>0.5</v>
      </c>
      <c r="E278" s="1">
        <v>1000</v>
      </c>
      <c r="F278" s="1">
        <v>2</v>
      </c>
      <c r="G278" s="1">
        <v>5</v>
      </c>
      <c r="H278" s="1" t="s">
        <v>592</v>
      </c>
      <c r="I278" s="1">
        <v>269398.09999999998</v>
      </c>
      <c r="J278" s="1">
        <v>105268.2</v>
      </c>
      <c r="K278" s="1">
        <v>164129.9</v>
      </c>
      <c r="L278" s="1">
        <v>1200</v>
      </c>
      <c r="M278" s="1">
        <v>600.01</v>
      </c>
      <c r="N278" s="1">
        <v>65457.5</v>
      </c>
      <c r="O278" s="1">
        <v>95990.5</v>
      </c>
      <c r="P278" s="1">
        <v>161448</v>
      </c>
      <c r="Q278" s="1">
        <v>20431.2</v>
      </c>
      <c r="R278" s="1">
        <v>7200.6</v>
      </c>
      <c r="S278" s="1">
        <v>27631.8</v>
      </c>
      <c r="T278" s="1">
        <v>29.81</v>
      </c>
      <c r="U278" s="1">
        <v>0.57999999999999996</v>
      </c>
      <c r="V278" s="1">
        <v>7139.8</v>
      </c>
      <c r="W278" s="1">
        <v>27571</v>
      </c>
      <c r="X278" s="1">
        <v>600.6</v>
      </c>
      <c r="Y278" s="1">
        <v>1200</v>
      </c>
      <c r="Z278" s="1">
        <v>189019</v>
      </c>
      <c r="AA278" s="1">
        <v>29.84</v>
      </c>
    </row>
    <row r="279" spans="1:27" x14ac:dyDescent="0.4">
      <c r="A279" s="1" t="s">
        <v>84</v>
      </c>
      <c r="B279" s="1">
        <v>4000</v>
      </c>
      <c r="C279" s="1">
        <v>0.3</v>
      </c>
      <c r="D279" s="1">
        <v>0.5</v>
      </c>
      <c r="E279" s="1">
        <v>1000</v>
      </c>
      <c r="F279" s="1">
        <v>2</v>
      </c>
      <c r="G279" s="1">
        <v>5</v>
      </c>
      <c r="H279" s="1" t="s">
        <v>14</v>
      </c>
      <c r="I279" s="1">
        <v>269398.09999999998</v>
      </c>
      <c r="J279" s="1">
        <v>105268.2</v>
      </c>
      <c r="K279" s="1">
        <v>164129.9</v>
      </c>
      <c r="L279" s="1">
        <v>1200</v>
      </c>
      <c r="M279" s="1">
        <v>600.01</v>
      </c>
      <c r="N279" s="1">
        <v>66487.8</v>
      </c>
      <c r="O279" s="1">
        <v>98600.7</v>
      </c>
      <c r="P279" s="1">
        <v>165088.5</v>
      </c>
      <c r="Q279" s="1">
        <v>21257.8</v>
      </c>
      <c r="R279" s="1">
        <v>7850.5</v>
      </c>
      <c r="S279" s="1">
        <v>29108.3</v>
      </c>
      <c r="T279" s="1">
        <v>27.91</v>
      </c>
      <c r="U279" s="1">
        <v>0.49</v>
      </c>
      <c r="V279" s="1">
        <v>7658.1</v>
      </c>
      <c r="W279" s="1">
        <v>28915.9</v>
      </c>
      <c r="X279" s="1">
        <v>600.5</v>
      </c>
      <c r="Y279" s="1">
        <v>1200</v>
      </c>
      <c r="Z279" s="1">
        <v>194004.4</v>
      </c>
      <c r="AA279" s="1">
        <v>27.99</v>
      </c>
    </row>
    <row r="280" spans="1:27" x14ac:dyDescent="0.4">
      <c r="A280" s="1" t="s">
        <v>84</v>
      </c>
      <c r="B280" s="1">
        <v>4000</v>
      </c>
      <c r="C280" s="1">
        <v>0.3</v>
      </c>
      <c r="D280" s="1">
        <v>0.5</v>
      </c>
      <c r="E280" s="1">
        <v>1000</v>
      </c>
      <c r="F280" s="1">
        <v>2</v>
      </c>
      <c r="G280" s="1">
        <v>5</v>
      </c>
      <c r="H280" s="1" t="s">
        <v>580</v>
      </c>
      <c r="I280" s="1">
        <v>269398.09999999998</v>
      </c>
      <c r="J280" s="1">
        <v>105268.2</v>
      </c>
      <c r="K280" s="1">
        <v>164129.9</v>
      </c>
      <c r="L280" s="1">
        <v>1200</v>
      </c>
      <c r="M280" s="1">
        <v>600.36</v>
      </c>
      <c r="N280" s="1">
        <v>67394.7</v>
      </c>
      <c r="O280" s="1">
        <v>98883.6</v>
      </c>
      <c r="P280" s="1">
        <v>166278.29999999999</v>
      </c>
      <c r="Q280" s="1">
        <v>17973.5</v>
      </c>
      <c r="R280" s="1">
        <v>8885.7000000000007</v>
      </c>
      <c r="S280" s="1">
        <v>26859.200000000001</v>
      </c>
      <c r="T280" s="1">
        <v>28.31</v>
      </c>
      <c r="U280" s="1">
        <v>1.65</v>
      </c>
      <c r="V280" s="1">
        <v>8418</v>
      </c>
      <c r="W280" s="1">
        <v>26391.5</v>
      </c>
      <c r="X280" s="1">
        <v>602.01</v>
      </c>
      <c r="Y280" s="1">
        <v>1200</v>
      </c>
      <c r="Z280" s="1">
        <v>192669.8</v>
      </c>
      <c r="AA280" s="1">
        <v>28.48</v>
      </c>
    </row>
    <row r="281" spans="1:27" x14ac:dyDescent="0.4">
      <c r="A281" s="1" t="s">
        <v>84</v>
      </c>
      <c r="B281" s="1">
        <v>4000</v>
      </c>
      <c r="C281" s="1">
        <v>0.3</v>
      </c>
      <c r="D281" s="1">
        <v>0.5</v>
      </c>
      <c r="E281" s="1">
        <v>1000</v>
      </c>
      <c r="F281" s="1">
        <v>2</v>
      </c>
      <c r="G281" s="1">
        <v>5</v>
      </c>
      <c r="H281" s="1" t="s">
        <v>15</v>
      </c>
      <c r="I281" s="1">
        <v>269398.09999999998</v>
      </c>
      <c r="J281" s="1">
        <v>105268.2</v>
      </c>
      <c r="K281" s="1">
        <v>164129.9</v>
      </c>
      <c r="L281" s="1">
        <v>1200</v>
      </c>
      <c r="M281" s="1">
        <v>600.36</v>
      </c>
      <c r="N281" s="1">
        <v>65964.100000000006</v>
      </c>
      <c r="O281" s="1">
        <v>96637.8</v>
      </c>
      <c r="P281" s="1">
        <v>162601.9</v>
      </c>
      <c r="Q281" s="1">
        <v>21178.400000000001</v>
      </c>
      <c r="R281" s="1">
        <v>7101.4</v>
      </c>
      <c r="S281" s="1">
        <v>28279.8</v>
      </c>
      <c r="T281" s="1">
        <v>29.15</v>
      </c>
      <c r="U281" s="1">
        <v>0.36</v>
      </c>
      <c r="V281" s="1">
        <v>6959.2</v>
      </c>
      <c r="W281" s="1">
        <v>28137.599999999999</v>
      </c>
      <c r="X281" s="1">
        <v>600.72</v>
      </c>
      <c r="Y281" s="1">
        <v>1200</v>
      </c>
      <c r="Z281" s="1">
        <v>190739.5</v>
      </c>
      <c r="AA281" s="1">
        <v>29.2</v>
      </c>
    </row>
    <row r="282" spans="1:27" x14ac:dyDescent="0.4">
      <c r="A282" s="1" t="s">
        <v>85</v>
      </c>
      <c r="B282" s="1">
        <v>4000</v>
      </c>
      <c r="C282" s="1">
        <v>0.3</v>
      </c>
      <c r="D282" s="1">
        <v>0.5</v>
      </c>
      <c r="E282" s="1">
        <v>1000</v>
      </c>
      <c r="F282" s="1">
        <v>3</v>
      </c>
      <c r="G282" s="1">
        <v>1</v>
      </c>
      <c r="H282" s="1" t="s">
        <v>592</v>
      </c>
      <c r="I282" s="1">
        <v>356848.3</v>
      </c>
      <c r="J282" s="1">
        <v>144262.29999999999</v>
      </c>
      <c r="K282" s="1">
        <v>212586</v>
      </c>
      <c r="L282" s="1">
        <v>1200</v>
      </c>
      <c r="M282" s="1">
        <v>600.01</v>
      </c>
      <c r="N282" s="1">
        <v>88369.7</v>
      </c>
      <c r="O282" s="1">
        <v>127890.6</v>
      </c>
      <c r="P282" s="1">
        <v>216260.3</v>
      </c>
      <c r="Q282" s="1">
        <v>21232.9</v>
      </c>
      <c r="R282" s="1">
        <v>7498.8</v>
      </c>
      <c r="S282" s="1">
        <v>28731.7</v>
      </c>
      <c r="T282" s="1">
        <v>31.35</v>
      </c>
      <c r="U282" s="1">
        <v>0.48</v>
      </c>
      <c r="V282" s="1">
        <v>7479.2</v>
      </c>
      <c r="W282" s="1">
        <v>28712.1</v>
      </c>
      <c r="X282" s="1">
        <v>600.49</v>
      </c>
      <c r="Y282" s="1">
        <v>1200</v>
      </c>
      <c r="Z282" s="1">
        <v>244972.4</v>
      </c>
      <c r="AA282" s="1">
        <v>31.35</v>
      </c>
    </row>
    <row r="283" spans="1:27" x14ac:dyDescent="0.4">
      <c r="A283" s="1" t="s">
        <v>85</v>
      </c>
      <c r="B283" s="1">
        <v>4000</v>
      </c>
      <c r="C283" s="1">
        <v>0.3</v>
      </c>
      <c r="D283" s="1">
        <v>0.5</v>
      </c>
      <c r="E283" s="1">
        <v>1000</v>
      </c>
      <c r="F283" s="1">
        <v>3</v>
      </c>
      <c r="G283" s="1">
        <v>1</v>
      </c>
      <c r="H283" s="1" t="s">
        <v>14</v>
      </c>
      <c r="I283" s="1">
        <v>356848.3</v>
      </c>
      <c r="J283" s="1">
        <v>144262.29999999999</v>
      </c>
      <c r="K283" s="1">
        <v>212586</v>
      </c>
      <c r="L283" s="1">
        <v>1200</v>
      </c>
      <c r="M283" s="1">
        <v>600</v>
      </c>
      <c r="N283" s="1">
        <v>90820.3</v>
      </c>
      <c r="O283" s="1">
        <v>131616.70000000001</v>
      </c>
      <c r="P283" s="1">
        <v>222437</v>
      </c>
      <c r="Q283" s="1">
        <v>21687</v>
      </c>
      <c r="R283" s="1">
        <v>8172</v>
      </c>
      <c r="S283" s="1">
        <v>29859</v>
      </c>
      <c r="T283" s="1">
        <v>29.3</v>
      </c>
      <c r="U283" s="1">
        <v>0.66</v>
      </c>
      <c r="V283" s="1">
        <v>7874.7</v>
      </c>
      <c r="W283" s="1">
        <v>29561.7</v>
      </c>
      <c r="X283" s="1">
        <v>600.66</v>
      </c>
      <c r="Y283" s="1">
        <v>1200</v>
      </c>
      <c r="Z283" s="1">
        <v>251998.7</v>
      </c>
      <c r="AA283" s="1">
        <v>29.38</v>
      </c>
    </row>
    <row r="284" spans="1:27" x14ac:dyDescent="0.4">
      <c r="A284" s="1" t="s">
        <v>85</v>
      </c>
      <c r="B284" s="1">
        <v>4000</v>
      </c>
      <c r="C284" s="1">
        <v>0.3</v>
      </c>
      <c r="D284" s="1">
        <v>0.5</v>
      </c>
      <c r="E284" s="1">
        <v>1000</v>
      </c>
      <c r="F284" s="1">
        <v>3</v>
      </c>
      <c r="G284" s="1">
        <v>1</v>
      </c>
      <c r="H284" s="1" t="s">
        <v>580</v>
      </c>
      <c r="I284" s="1">
        <v>356848.3</v>
      </c>
      <c r="J284" s="1">
        <v>144262.29999999999</v>
      </c>
      <c r="K284" s="1">
        <v>212586</v>
      </c>
      <c r="L284" s="1">
        <v>1200</v>
      </c>
      <c r="M284" s="1">
        <v>600.84</v>
      </c>
      <c r="N284" s="1">
        <v>90247.1</v>
      </c>
      <c r="O284" s="1">
        <v>129637.4</v>
      </c>
      <c r="P284" s="1">
        <v>219884.5</v>
      </c>
      <c r="Q284" s="1">
        <v>19239.5</v>
      </c>
      <c r="R284" s="1">
        <v>8892.2999999999993</v>
      </c>
      <c r="S284" s="1">
        <v>28131.8</v>
      </c>
      <c r="T284" s="1">
        <v>30.5</v>
      </c>
      <c r="U284" s="1">
        <v>1.27</v>
      </c>
      <c r="V284" s="1">
        <v>8365.6</v>
      </c>
      <c r="W284" s="1">
        <v>27605.1</v>
      </c>
      <c r="X284" s="1">
        <v>602.11</v>
      </c>
      <c r="Y284" s="1">
        <v>1199</v>
      </c>
      <c r="Z284" s="1">
        <v>247489.6</v>
      </c>
      <c r="AA284" s="1">
        <v>30.65</v>
      </c>
    </row>
    <row r="285" spans="1:27" x14ac:dyDescent="0.4">
      <c r="A285" s="1" t="s">
        <v>85</v>
      </c>
      <c r="B285" s="1">
        <v>4000</v>
      </c>
      <c r="C285" s="1">
        <v>0.3</v>
      </c>
      <c r="D285" s="1">
        <v>0.5</v>
      </c>
      <c r="E285" s="1">
        <v>1000</v>
      </c>
      <c r="F285" s="1">
        <v>3</v>
      </c>
      <c r="G285" s="1">
        <v>1</v>
      </c>
      <c r="H285" s="1" t="s">
        <v>15</v>
      </c>
      <c r="I285" s="1">
        <v>356848.3</v>
      </c>
      <c r="J285" s="1">
        <v>144262.29999999999</v>
      </c>
      <c r="K285" s="1">
        <v>212586</v>
      </c>
      <c r="L285" s="1">
        <v>1200</v>
      </c>
      <c r="M285" s="1">
        <v>600.91999999999996</v>
      </c>
      <c r="N285" s="1">
        <v>89919</v>
      </c>
      <c r="O285" s="1">
        <v>128333.5</v>
      </c>
      <c r="P285" s="1">
        <v>218252.5</v>
      </c>
      <c r="Q285" s="1">
        <v>21558.2</v>
      </c>
      <c r="R285" s="1">
        <v>7429</v>
      </c>
      <c r="S285" s="1">
        <v>28987.200000000001</v>
      </c>
      <c r="T285" s="1">
        <v>30.72</v>
      </c>
      <c r="U285" s="1">
        <v>0.37</v>
      </c>
      <c r="V285" s="1">
        <v>7098.6</v>
      </c>
      <c r="W285" s="1">
        <v>28656.799999999999</v>
      </c>
      <c r="X285" s="1">
        <v>601.29</v>
      </c>
      <c r="Y285" s="1">
        <v>1200</v>
      </c>
      <c r="Z285" s="1">
        <v>246909.3</v>
      </c>
      <c r="AA285" s="1">
        <v>30.81</v>
      </c>
    </row>
    <row r="286" spans="1:27" x14ac:dyDescent="0.4">
      <c r="A286" s="1" t="s">
        <v>86</v>
      </c>
      <c r="B286" s="1">
        <v>4000</v>
      </c>
      <c r="C286" s="1">
        <v>0.3</v>
      </c>
      <c r="D286" s="1">
        <v>0.5</v>
      </c>
      <c r="E286" s="1">
        <v>1000</v>
      </c>
      <c r="F286" s="1">
        <v>3</v>
      </c>
      <c r="G286" s="1">
        <v>2</v>
      </c>
      <c r="H286" s="1" t="s">
        <v>592</v>
      </c>
      <c r="I286" s="1">
        <v>328960.90000000002</v>
      </c>
      <c r="J286" s="1">
        <v>126352.7</v>
      </c>
      <c r="K286" s="1">
        <v>202608.2</v>
      </c>
      <c r="L286" s="1">
        <v>1200</v>
      </c>
      <c r="M286" s="1">
        <v>601.11</v>
      </c>
      <c r="N286" s="1">
        <v>80202.5</v>
      </c>
      <c r="O286" s="1">
        <v>120711.6</v>
      </c>
      <c r="P286" s="1">
        <v>200914.1</v>
      </c>
      <c r="Q286" s="1">
        <v>19990.5</v>
      </c>
      <c r="R286" s="1">
        <v>7220.1</v>
      </c>
      <c r="S286" s="1">
        <v>27210.6</v>
      </c>
      <c r="T286" s="1">
        <v>30.65</v>
      </c>
      <c r="U286" s="1">
        <v>0.5</v>
      </c>
      <c r="V286" s="1">
        <v>7177.8</v>
      </c>
      <c r="W286" s="1">
        <v>27168.3</v>
      </c>
      <c r="X286" s="1">
        <v>601.6</v>
      </c>
      <c r="Y286" s="1">
        <v>1200</v>
      </c>
      <c r="Z286" s="1">
        <v>228082.4</v>
      </c>
      <c r="AA286" s="1">
        <v>30.67</v>
      </c>
    </row>
    <row r="287" spans="1:27" x14ac:dyDescent="0.4">
      <c r="A287" s="1" t="s">
        <v>86</v>
      </c>
      <c r="B287" s="1">
        <v>4000</v>
      </c>
      <c r="C287" s="1">
        <v>0.3</v>
      </c>
      <c r="D287" s="1">
        <v>0.5</v>
      </c>
      <c r="E287" s="1">
        <v>1000</v>
      </c>
      <c r="F287" s="1">
        <v>3</v>
      </c>
      <c r="G287" s="1">
        <v>2</v>
      </c>
      <c r="H287" s="1" t="s">
        <v>14</v>
      </c>
      <c r="I287" s="1">
        <v>328960.90000000002</v>
      </c>
      <c r="J287" s="1">
        <v>126352.7</v>
      </c>
      <c r="K287" s="1">
        <v>202608.2</v>
      </c>
      <c r="L287" s="1">
        <v>1200</v>
      </c>
      <c r="M287" s="1">
        <v>600.02</v>
      </c>
      <c r="N287" s="1">
        <v>81636.2</v>
      </c>
      <c r="O287" s="1">
        <v>123764.5</v>
      </c>
      <c r="P287" s="1">
        <v>205400.7</v>
      </c>
      <c r="Q287" s="1">
        <v>21091</v>
      </c>
      <c r="R287" s="1">
        <v>8271.9</v>
      </c>
      <c r="S287" s="1">
        <v>29362.9</v>
      </c>
      <c r="T287" s="1">
        <v>28.63</v>
      </c>
      <c r="U287" s="1">
        <v>0.71</v>
      </c>
      <c r="V287" s="1">
        <v>7923.7</v>
      </c>
      <c r="W287" s="1">
        <v>29014.7</v>
      </c>
      <c r="X287" s="1">
        <v>600.73</v>
      </c>
      <c r="Y287" s="1">
        <v>1200</v>
      </c>
      <c r="Z287" s="1">
        <v>234415.4</v>
      </c>
      <c r="AA287" s="1">
        <v>28.74</v>
      </c>
    </row>
    <row r="288" spans="1:27" x14ac:dyDescent="0.4">
      <c r="A288" s="1" t="s">
        <v>86</v>
      </c>
      <c r="B288" s="1">
        <v>4000</v>
      </c>
      <c r="C288" s="1">
        <v>0.3</v>
      </c>
      <c r="D288" s="1">
        <v>0.5</v>
      </c>
      <c r="E288" s="1">
        <v>1000</v>
      </c>
      <c r="F288" s="1">
        <v>3</v>
      </c>
      <c r="G288" s="1">
        <v>2</v>
      </c>
      <c r="H288" s="1" t="s">
        <v>580</v>
      </c>
      <c r="I288" s="1">
        <v>328960.90000000002</v>
      </c>
      <c r="J288" s="1">
        <v>126352.7</v>
      </c>
      <c r="K288" s="1">
        <v>202608.2</v>
      </c>
      <c r="L288" s="1">
        <v>1200</v>
      </c>
      <c r="M288" s="1">
        <v>600.38</v>
      </c>
      <c r="N288" s="1">
        <v>80800.399999999994</v>
      </c>
      <c r="O288" s="1">
        <v>122678.9</v>
      </c>
      <c r="P288" s="1">
        <v>203479.3</v>
      </c>
      <c r="Q288" s="1">
        <v>19571.3</v>
      </c>
      <c r="R288" s="1">
        <v>9288.7000000000007</v>
      </c>
      <c r="S288" s="1">
        <v>28860</v>
      </c>
      <c r="T288" s="1">
        <v>29.37</v>
      </c>
      <c r="U288" s="1">
        <v>1.38</v>
      </c>
      <c r="V288" s="1">
        <v>8700.7999999999993</v>
      </c>
      <c r="W288" s="1">
        <v>28272.1</v>
      </c>
      <c r="X288" s="1">
        <v>601.76</v>
      </c>
      <c r="Y288" s="1">
        <v>1199</v>
      </c>
      <c r="Z288" s="1">
        <v>231751.4</v>
      </c>
      <c r="AA288" s="1">
        <v>29.55</v>
      </c>
    </row>
    <row r="289" spans="1:27" x14ac:dyDescent="0.4">
      <c r="A289" s="1" t="s">
        <v>86</v>
      </c>
      <c r="B289" s="1">
        <v>4000</v>
      </c>
      <c r="C289" s="1">
        <v>0.3</v>
      </c>
      <c r="D289" s="1">
        <v>0.5</v>
      </c>
      <c r="E289" s="1">
        <v>1000</v>
      </c>
      <c r="F289" s="1">
        <v>3</v>
      </c>
      <c r="G289" s="1">
        <v>2</v>
      </c>
      <c r="H289" s="1" t="s">
        <v>15</v>
      </c>
      <c r="I289" s="1">
        <v>328960.90000000002</v>
      </c>
      <c r="J289" s="1">
        <v>126352.7</v>
      </c>
      <c r="K289" s="1">
        <v>202608.2</v>
      </c>
      <c r="L289" s="1">
        <v>1200</v>
      </c>
      <c r="M289" s="1">
        <v>600.01</v>
      </c>
      <c r="N289" s="1">
        <v>81119.3</v>
      </c>
      <c r="O289" s="1">
        <v>121086.7</v>
      </c>
      <c r="P289" s="1">
        <v>202206</v>
      </c>
      <c r="Q289" s="1">
        <v>21536.7</v>
      </c>
      <c r="R289" s="1">
        <v>7449.3</v>
      </c>
      <c r="S289" s="1">
        <v>28986</v>
      </c>
      <c r="T289" s="1">
        <v>29.72</v>
      </c>
      <c r="U289" s="1">
        <v>0.35</v>
      </c>
      <c r="V289" s="1">
        <v>7218</v>
      </c>
      <c r="W289" s="1">
        <v>28754.7</v>
      </c>
      <c r="X289" s="1">
        <v>600.36</v>
      </c>
      <c r="Y289" s="1">
        <v>1199</v>
      </c>
      <c r="Z289" s="1">
        <v>230960.7</v>
      </c>
      <c r="AA289" s="1">
        <v>29.79</v>
      </c>
    </row>
    <row r="290" spans="1:27" x14ac:dyDescent="0.4">
      <c r="A290" s="1" t="s">
        <v>87</v>
      </c>
      <c r="B290" s="1">
        <v>4000</v>
      </c>
      <c r="C290" s="1">
        <v>0.3</v>
      </c>
      <c r="D290" s="1">
        <v>0.5</v>
      </c>
      <c r="E290" s="1">
        <v>1000</v>
      </c>
      <c r="F290" s="1">
        <v>3</v>
      </c>
      <c r="G290" s="1">
        <v>3</v>
      </c>
      <c r="H290" s="1" t="s">
        <v>592</v>
      </c>
      <c r="I290" s="1">
        <v>355550</v>
      </c>
      <c r="J290" s="1">
        <v>132273.1</v>
      </c>
      <c r="K290" s="1">
        <v>223276.9</v>
      </c>
      <c r="L290" s="1">
        <v>1200</v>
      </c>
      <c r="M290" s="1">
        <v>601.48</v>
      </c>
      <c r="N290" s="1">
        <v>83035.5</v>
      </c>
      <c r="O290" s="1">
        <v>132052</v>
      </c>
      <c r="P290" s="1">
        <v>215087.5</v>
      </c>
      <c r="Q290" s="1">
        <v>21694.6</v>
      </c>
      <c r="R290" s="1">
        <v>7125.8</v>
      </c>
      <c r="S290" s="1">
        <v>28820.400000000001</v>
      </c>
      <c r="T290" s="1">
        <v>31.4</v>
      </c>
      <c r="U290" s="1">
        <v>0.42</v>
      </c>
      <c r="V290" s="1">
        <v>7109.3</v>
      </c>
      <c r="W290" s="1">
        <v>28803.9</v>
      </c>
      <c r="X290" s="1">
        <v>601.89</v>
      </c>
      <c r="Y290" s="1">
        <v>1199</v>
      </c>
      <c r="Z290" s="1">
        <v>243891.4</v>
      </c>
      <c r="AA290" s="1">
        <v>31.4</v>
      </c>
    </row>
    <row r="291" spans="1:27" x14ac:dyDescent="0.4">
      <c r="A291" s="1" t="s">
        <v>87</v>
      </c>
      <c r="B291" s="1">
        <v>4000</v>
      </c>
      <c r="C291" s="1">
        <v>0.3</v>
      </c>
      <c r="D291" s="1">
        <v>0.5</v>
      </c>
      <c r="E291" s="1">
        <v>1000</v>
      </c>
      <c r="F291" s="1">
        <v>3</v>
      </c>
      <c r="G291" s="1">
        <v>3</v>
      </c>
      <c r="H291" s="1" t="s">
        <v>14</v>
      </c>
      <c r="I291" s="1">
        <v>355550</v>
      </c>
      <c r="J291" s="1">
        <v>132273.1</v>
      </c>
      <c r="K291" s="1">
        <v>223276.9</v>
      </c>
      <c r="L291" s="1">
        <v>1200</v>
      </c>
      <c r="M291" s="1">
        <v>600.02</v>
      </c>
      <c r="N291" s="1">
        <v>84449</v>
      </c>
      <c r="O291" s="1">
        <v>136953.5</v>
      </c>
      <c r="P291" s="1">
        <v>221402.5</v>
      </c>
      <c r="Q291" s="1">
        <v>21385.7</v>
      </c>
      <c r="R291" s="1">
        <v>8054.1</v>
      </c>
      <c r="S291" s="1">
        <v>29439.8</v>
      </c>
      <c r="T291" s="1">
        <v>29.45</v>
      </c>
      <c r="U291" s="1">
        <v>0.7</v>
      </c>
      <c r="V291" s="1">
        <v>7663</v>
      </c>
      <c r="W291" s="1">
        <v>29048.7</v>
      </c>
      <c r="X291" s="1">
        <v>600.73</v>
      </c>
      <c r="Y291" s="1">
        <v>1200</v>
      </c>
      <c r="Z291" s="1">
        <v>250451.20000000001</v>
      </c>
      <c r="AA291" s="1">
        <v>29.56</v>
      </c>
    </row>
    <row r="292" spans="1:27" x14ac:dyDescent="0.4">
      <c r="A292" s="1" t="s">
        <v>87</v>
      </c>
      <c r="B292" s="1">
        <v>4000</v>
      </c>
      <c r="C292" s="1">
        <v>0.3</v>
      </c>
      <c r="D292" s="1">
        <v>0.5</v>
      </c>
      <c r="E292" s="1">
        <v>1000</v>
      </c>
      <c r="F292" s="1">
        <v>3</v>
      </c>
      <c r="G292" s="1">
        <v>3</v>
      </c>
      <c r="H292" s="1" t="s">
        <v>580</v>
      </c>
      <c r="I292" s="1">
        <v>355550</v>
      </c>
      <c r="J292" s="1">
        <v>132273.1</v>
      </c>
      <c r="K292" s="1">
        <v>223276.9</v>
      </c>
      <c r="L292" s="1">
        <v>1200</v>
      </c>
      <c r="M292" s="1">
        <v>600</v>
      </c>
      <c r="N292" s="1">
        <v>83631.3</v>
      </c>
      <c r="O292" s="1">
        <v>134881.5</v>
      </c>
      <c r="P292" s="1">
        <v>218512.8</v>
      </c>
      <c r="Q292" s="1">
        <v>20640.3</v>
      </c>
      <c r="R292" s="1">
        <v>8884.7999999999993</v>
      </c>
      <c r="S292" s="1">
        <v>29525.1</v>
      </c>
      <c r="T292" s="1">
        <v>30.24</v>
      </c>
      <c r="U292" s="1">
        <v>1.37</v>
      </c>
      <c r="V292" s="1">
        <v>8417.5</v>
      </c>
      <c r="W292" s="1">
        <v>29057.8</v>
      </c>
      <c r="X292" s="1">
        <v>601.37</v>
      </c>
      <c r="Y292" s="1">
        <v>1199</v>
      </c>
      <c r="Z292" s="1">
        <v>247570.6</v>
      </c>
      <c r="AA292" s="1">
        <v>30.37</v>
      </c>
    </row>
    <row r="293" spans="1:27" x14ac:dyDescent="0.4">
      <c r="A293" s="1" t="s">
        <v>87</v>
      </c>
      <c r="B293" s="1">
        <v>4000</v>
      </c>
      <c r="C293" s="1">
        <v>0.3</v>
      </c>
      <c r="D293" s="1">
        <v>0.5</v>
      </c>
      <c r="E293" s="1">
        <v>1000</v>
      </c>
      <c r="F293" s="1">
        <v>3</v>
      </c>
      <c r="G293" s="1">
        <v>3</v>
      </c>
      <c r="H293" s="1" t="s">
        <v>15</v>
      </c>
      <c r="I293" s="1">
        <v>355550</v>
      </c>
      <c r="J293" s="1">
        <v>132273.1</v>
      </c>
      <c r="K293" s="1">
        <v>223276.9</v>
      </c>
      <c r="L293" s="1">
        <v>1200</v>
      </c>
      <c r="M293" s="1">
        <v>600.01</v>
      </c>
      <c r="N293" s="1">
        <v>83371.399999999994</v>
      </c>
      <c r="O293" s="1">
        <v>133166.79999999999</v>
      </c>
      <c r="P293" s="1">
        <v>216538.2</v>
      </c>
      <c r="Q293" s="1">
        <v>22105.599999999999</v>
      </c>
      <c r="R293" s="1">
        <v>7368.7</v>
      </c>
      <c r="S293" s="1">
        <v>29474.3</v>
      </c>
      <c r="T293" s="1">
        <v>30.81</v>
      </c>
      <c r="U293" s="1">
        <v>0.41</v>
      </c>
      <c r="V293" s="1">
        <v>7109.9</v>
      </c>
      <c r="W293" s="1">
        <v>29215.5</v>
      </c>
      <c r="X293" s="1">
        <v>600.42999999999995</v>
      </c>
      <c r="Y293" s="1">
        <v>1200</v>
      </c>
      <c r="Z293" s="1">
        <v>245753.7</v>
      </c>
      <c r="AA293" s="1">
        <v>30.88</v>
      </c>
    </row>
    <row r="294" spans="1:27" x14ac:dyDescent="0.4">
      <c r="A294" s="1" t="s">
        <v>88</v>
      </c>
      <c r="B294" s="1">
        <v>4000</v>
      </c>
      <c r="C294" s="1">
        <v>0.3</v>
      </c>
      <c r="D294" s="1">
        <v>0.5</v>
      </c>
      <c r="E294" s="1">
        <v>1000</v>
      </c>
      <c r="F294" s="1">
        <v>3</v>
      </c>
      <c r="G294" s="1">
        <v>4</v>
      </c>
      <c r="H294" s="1" t="s">
        <v>592</v>
      </c>
      <c r="I294" s="1">
        <v>350010.5</v>
      </c>
      <c r="J294" s="1">
        <v>134680.70000000001</v>
      </c>
      <c r="K294" s="1">
        <v>215329.8</v>
      </c>
      <c r="L294" s="1">
        <v>1200</v>
      </c>
      <c r="M294" s="1">
        <v>601.65</v>
      </c>
      <c r="N294" s="1">
        <v>84086.9</v>
      </c>
      <c r="O294" s="1">
        <v>128131.5</v>
      </c>
      <c r="P294" s="1">
        <v>212218.4</v>
      </c>
      <c r="Q294" s="1">
        <v>21067.200000000001</v>
      </c>
      <c r="R294" s="1">
        <v>7537</v>
      </c>
      <c r="S294" s="1">
        <v>28604.2</v>
      </c>
      <c r="T294" s="1">
        <v>31.2</v>
      </c>
      <c r="U294" s="1">
        <v>0.52</v>
      </c>
      <c r="V294" s="1">
        <v>7517.7</v>
      </c>
      <c r="W294" s="1">
        <v>28584.9</v>
      </c>
      <c r="X294" s="1">
        <v>602.16999999999996</v>
      </c>
      <c r="Y294" s="1">
        <v>1200</v>
      </c>
      <c r="Z294" s="1">
        <v>240803.3</v>
      </c>
      <c r="AA294" s="1">
        <v>31.2</v>
      </c>
    </row>
    <row r="295" spans="1:27" x14ac:dyDescent="0.4">
      <c r="A295" s="1" t="s">
        <v>88</v>
      </c>
      <c r="B295" s="1">
        <v>4000</v>
      </c>
      <c r="C295" s="1">
        <v>0.3</v>
      </c>
      <c r="D295" s="1">
        <v>0.5</v>
      </c>
      <c r="E295" s="1">
        <v>1000</v>
      </c>
      <c r="F295" s="1">
        <v>3</v>
      </c>
      <c r="G295" s="1">
        <v>4</v>
      </c>
      <c r="H295" s="1" t="s">
        <v>14</v>
      </c>
      <c r="I295" s="1">
        <v>350010.5</v>
      </c>
      <c r="J295" s="1">
        <v>134680.70000000001</v>
      </c>
      <c r="K295" s="1">
        <v>215329.8</v>
      </c>
      <c r="L295" s="1">
        <v>1200</v>
      </c>
      <c r="M295" s="1">
        <v>600</v>
      </c>
      <c r="N295" s="1">
        <v>87406.7</v>
      </c>
      <c r="O295" s="1">
        <v>131027.9</v>
      </c>
      <c r="P295" s="1">
        <v>218434.6</v>
      </c>
      <c r="Q295" s="1">
        <v>21053.4</v>
      </c>
      <c r="R295" s="1">
        <v>7944</v>
      </c>
      <c r="S295" s="1">
        <v>28997.4</v>
      </c>
      <c r="T295" s="1">
        <v>29.31</v>
      </c>
      <c r="U295" s="1">
        <v>0.6</v>
      </c>
      <c r="V295" s="1">
        <v>7671.5</v>
      </c>
      <c r="W295" s="1">
        <v>28724.9</v>
      </c>
      <c r="X295" s="1">
        <v>600.6</v>
      </c>
      <c r="Y295" s="1">
        <v>1200</v>
      </c>
      <c r="Z295" s="1">
        <v>247159.5</v>
      </c>
      <c r="AA295" s="1">
        <v>29.39</v>
      </c>
    </row>
    <row r="296" spans="1:27" x14ac:dyDescent="0.4">
      <c r="A296" s="1" t="s">
        <v>88</v>
      </c>
      <c r="B296" s="1">
        <v>4000</v>
      </c>
      <c r="C296" s="1">
        <v>0.3</v>
      </c>
      <c r="D296" s="1">
        <v>0.5</v>
      </c>
      <c r="E296" s="1">
        <v>1000</v>
      </c>
      <c r="F296" s="1">
        <v>3</v>
      </c>
      <c r="G296" s="1">
        <v>4</v>
      </c>
      <c r="H296" s="1" t="s">
        <v>580</v>
      </c>
      <c r="I296" s="1">
        <v>350010.5</v>
      </c>
      <c r="J296" s="1">
        <v>134680.70000000001</v>
      </c>
      <c r="K296" s="1">
        <v>215329.8</v>
      </c>
      <c r="L296" s="1">
        <v>1200</v>
      </c>
      <c r="M296" s="1">
        <v>600.1</v>
      </c>
      <c r="N296" s="1">
        <v>86113.2</v>
      </c>
      <c r="O296" s="1">
        <v>130525.5</v>
      </c>
      <c r="P296" s="1">
        <v>216638.7</v>
      </c>
      <c r="Q296" s="1">
        <v>19334.900000000001</v>
      </c>
      <c r="R296" s="1">
        <v>8797.2000000000007</v>
      </c>
      <c r="S296" s="1">
        <v>28132.1</v>
      </c>
      <c r="T296" s="1">
        <v>30.07</v>
      </c>
      <c r="U296" s="1">
        <v>1.38</v>
      </c>
      <c r="V296" s="1">
        <v>8395.5</v>
      </c>
      <c r="W296" s="1">
        <v>27730.400000000001</v>
      </c>
      <c r="X296" s="1">
        <v>601.49</v>
      </c>
      <c r="Y296" s="1">
        <v>1199</v>
      </c>
      <c r="Z296" s="1">
        <v>244369.1</v>
      </c>
      <c r="AA296" s="1">
        <v>30.18</v>
      </c>
    </row>
    <row r="297" spans="1:27" x14ac:dyDescent="0.4">
      <c r="A297" s="1" t="s">
        <v>88</v>
      </c>
      <c r="B297" s="1">
        <v>4000</v>
      </c>
      <c r="C297" s="1">
        <v>0.3</v>
      </c>
      <c r="D297" s="1">
        <v>0.5</v>
      </c>
      <c r="E297" s="1">
        <v>1000</v>
      </c>
      <c r="F297" s="1">
        <v>3</v>
      </c>
      <c r="G297" s="1">
        <v>4</v>
      </c>
      <c r="H297" s="1" t="s">
        <v>15</v>
      </c>
      <c r="I297" s="1">
        <v>350010.5</v>
      </c>
      <c r="J297" s="1">
        <v>134680.70000000001</v>
      </c>
      <c r="K297" s="1">
        <v>215329.8</v>
      </c>
      <c r="L297" s="1">
        <v>1200</v>
      </c>
      <c r="M297" s="1">
        <v>600.72</v>
      </c>
      <c r="N297" s="1">
        <v>85503</v>
      </c>
      <c r="O297" s="1">
        <v>129269.7</v>
      </c>
      <c r="P297" s="1">
        <v>214772.7</v>
      </c>
      <c r="Q297" s="1">
        <v>21444.9</v>
      </c>
      <c r="R297" s="1">
        <v>7275.6</v>
      </c>
      <c r="S297" s="1">
        <v>28720.5</v>
      </c>
      <c r="T297" s="1">
        <v>30.43</v>
      </c>
      <c r="U297" s="1">
        <v>0.35</v>
      </c>
      <c r="V297" s="1">
        <v>7024.4</v>
      </c>
      <c r="W297" s="1">
        <v>28469.3</v>
      </c>
      <c r="X297" s="1">
        <v>601.07000000000005</v>
      </c>
      <c r="Y297" s="1">
        <v>1199</v>
      </c>
      <c r="Z297" s="1">
        <v>243242</v>
      </c>
      <c r="AA297" s="1">
        <v>30.5</v>
      </c>
    </row>
    <row r="298" spans="1:27" x14ac:dyDescent="0.4">
      <c r="A298" s="1" t="s">
        <v>89</v>
      </c>
      <c r="B298" s="1">
        <v>4000</v>
      </c>
      <c r="C298" s="1">
        <v>0.3</v>
      </c>
      <c r="D298" s="1">
        <v>0.5</v>
      </c>
      <c r="E298" s="1">
        <v>1000</v>
      </c>
      <c r="F298" s="1">
        <v>3</v>
      </c>
      <c r="G298" s="1">
        <v>5</v>
      </c>
      <c r="H298" s="1" t="s">
        <v>592</v>
      </c>
      <c r="I298" s="1">
        <v>358853.9</v>
      </c>
      <c r="J298" s="1">
        <v>135489.60000000001</v>
      </c>
      <c r="K298" s="1">
        <v>223364.3</v>
      </c>
      <c r="L298" s="1">
        <v>1200</v>
      </c>
      <c r="M298" s="1">
        <v>600.44000000000005</v>
      </c>
      <c r="N298" s="1">
        <v>83066.5</v>
      </c>
      <c r="O298" s="1">
        <v>133323.79999999999</v>
      </c>
      <c r="P298" s="1">
        <v>216390.3</v>
      </c>
      <c r="Q298" s="1">
        <v>21523.599999999999</v>
      </c>
      <c r="R298" s="1">
        <v>7318.7</v>
      </c>
      <c r="S298" s="1">
        <v>28842.3</v>
      </c>
      <c r="T298" s="1">
        <v>31.66</v>
      </c>
      <c r="U298" s="1">
        <v>0.41</v>
      </c>
      <c r="V298" s="1">
        <v>7313.2</v>
      </c>
      <c r="W298" s="1">
        <v>28836.799999999999</v>
      </c>
      <c r="X298" s="1">
        <v>600.85</v>
      </c>
      <c r="Y298" s="1">
        <v>1200</v>
      </c>
      <c r="Z298" s="1">
        <v>245227.1</v>
      </c>
      <c r="AA298" s="1">
        <v>31.66</v>
      </c>
    </row>
    <row r="299" spans="1:27" x14ac:dyDescent="0.4">
      <c r="A299" s="1" t="s">
        <v>89</v>
      </c>
      <c r="B299" s="1">
        <v>4000</v>
      </c>
      <c r="C299" s="1">
        <v>0.3</v>
      </c>
      <c r="D299" s="1">
        <v>0.5</v>
      </c>
      <c r="E299" s="1">
        <v>1000</v>
      </c>
      <c r="F299" s="1">
        <v>3</v>
      </c>
      <c r="G299" s="1">
        <v>5</v>
      </c>
      <c r="H299" s="1" t="s">
        <v>14</v>
      </c>
      <c r="I299" s="1">
        <v>358853.9</v>
      </c>
      <c r="J299" s="1">
        <v>135489.60000000001</v>
      </c>
      <c r="K299" s="1">
        <v>223364.3</v>
      </c>
      <c r="L299" s="1">
        <v>1200</v>
      </c>
      <c r="M299" s="1">
        <v>600.01</v>
      </c>
      <c r="N299" s="1">
        <v>85563</v>
      </c>
      <c r="O299" s="1">
        <v>138122</v>
      </c>
      <c r="P299" s="1">
        <v>223685</v>
      </c>
      <c r="Q299" s="1">
        <v>21493.200000000001</v>
      </c>
      <c r="R299" s="1">
        <v>8491.5</v>
      </c>
      <c r="S299" s="1">
        <v>29984.7</v>
      </c>
      <c r="T299" s="1">
        <v>29.31</v>
      </c>
      <c r="U299" s="1">
        <v>0.6</v>
      </c>
      <c r="V299" s="1">
        <v>8182.7</v>
      </c>
      <c r="W299" s="1">
        <v>29675.9</v>
      </c>
      <c r="X299" s="1">
        <v>600.61</v>
      </c>
      <c r="Y299" s="1">
        <v>1200</v>
      </c>
      <c r="Z299" s="1">
        <v>253360.9</v>
      </c>
      <c r="AA299" s="1">
        <v>29.4</v>
      </c>
    </row>
    <row r="300" spans="1:27" x14ac:dyDescent="0.4">
      <c r="A300" s="1" t="s">
        <v>89</v>
      </c>
      <c r="B300" s="1">
        <v>4000</v>
      </c>
      <c r="C300" s="1">
        <v>0.3</v>
      </c>
      <c r="D300" s="1">
        <v>0.5</v>
      </c>
      <c r="E300" s="1">
        <v>1000</v>
      </c>
      <c r="F300" s="1">
        <v>3</v>
      </c>
      <c r="G300" s="1">
        <v>5</v>
      </c>
      <c r="H300" s="1" t="s">
        <v>580</v>
      </c>
      <c r="I300" s="1">
        <v>358853.9</v>
      </c>
      <c r="J300" s="1">
        <v>135489.60000000001</v>
      </c>
      <c r="K300" s="1">
        <v>223364.3</v>
      </c>
      <c r="L300" s="1">
        <v>1200</v>
      </c>
      <c r="M300" s="1">
        <v>600.84</v>
      </c>
      <c r="N300" s="1">
        <v>85416.6</v>
      </c>
      <c r="O300" s="1">
        <v>135330.4</v>
      </c>
      <c r="P300" s="1">
        <v>220747</v>
      </c>
      <c r="Q300" s="1">
        <v>19956.8</v>
      </c>
      <c r="R300" s="1">
        <v>9098.9</v>
      </c>
      <c r="S300" s="1">
        <v>29055.7</v>
      </c>
      <c r="T300" s="1">
        <v>30.39</v>
      </c>
      <c r="U300" s="1">
        <v>0.98</v>
      </c>
      <c r="V300" s="1">
        <v>8657.7999999999993</v>
      </c>
      <c r="W300" s="1">
        <v>28614.6</v>
      </c>
      <c r="X300" s="1">
        <v>601.82000000000005</v>
      </c>
      <c r="Y300" s="1">
        <v>1199</v>
      </c>
      <c r="Z300" s="1">
        <v>249361.6</v>
      </c>
      <c r="AA300" s="1">
        <v>30.51</v>
      </c>
    </row>
    <row r="301" spans="1:27" x14ac:dyDescent="0.4">
      <c r="A301" s="1" t="s">
        <v>89</v>
      </c>
      <c r="B301" s="1">
        <v>4000</v>
      </c>
      <c r="C301" s="1">
        <v>0.3</v>
      </c>
      <c r="D301" s="1">
        <v>0.5</v>
      </c>
      <c r="E301" s="1">
        <v>1000</v>
      </c>
      <c r="F301" s="1">
        <v>3</v>
      </c>
      <c r="G301" s="1">
        <v>5</v>
      </c>
      <c r="H301" s="1" t="s">
        <v>15</v>
      </c>
      <c r="I301" s="1">
        <v>358853.9</v>
      </c>
      <c r="J301" s="1">
        <v>135489.60000000001</v>
      </c>
      <c r="K301" s="1">
        <v>223364.3</v>
      </c>
      <c r="L301" s="1">
        <v>1200</v>
      </c>
      <c r="M301" s="1">
        <v>600.01</v>
      </c>
      <c r="N301" s="1">
        <v>84243.199999999997</v>
      </c>
      <c r="O301" s="1">
        <v>135094.9</v>
      </c>
      <c r="P301" s="1">
        <v>219338.1</v>
      </c>
      <c r="Q301" s="1">
        <v>21764.799999999999</v>
      </c>
      <c r="R301" s="1">
        <v>7638.6</v>
      </c>
      <c r="S301" s="1">
        <v>29403.4</v>
      </c>
      <c r="T301" s="1">
        <v>30.68</v>
      </c>
      <c r="U301" s="1">
        <v>0.36</v>
      </c>
      <c r="V301" s="1">
        <v>7391</v>
      </c>
      <c r="W301" s="1">
        <v>29155.8</v>
      </c>
      <c r="X301" s="1">
        <v>600.37</v>
      </c>
      <c r="Y301" s="1">
        <v>1200</v>
      </c>
      <c r="Z301" s="1">
        <v>248493.9</v>
      </c>
      <c r="AA301" s="1">
        <v>30.75</v>
      </c>
    </row>
    <row r="302" spans="1:27" x14ac:dyDescent="0.4">
      <c r="A302" s="1" t="s">
        <v>90</v>
      </c>
      <c r="B302" s="1">
        <v>4000</v>
      </c>
      <c r="C302" s="1">
        <v>0.4</v>
      </c>
      <c r="D302" s="1">
        <v>0.5</v>
      </c>
      <c r="E302" s="1">
        <v>1000</v>
      </c>
      <c r="F302" s="1">
        <v>1</v>
      </c>
      <c r="G302" s="1">
        <v>1</v>
      </c>
      <c r="H302" s="1" t="s">
        <v>592</v>
      </c>
      <c r="I302" s="1">
        <v>171724.4</v>
      </c>
      <c r="J302" s="1">
        <v>71423.3</v>
      </c>
      <c r="K302" s="1">
        <v>100301.1</v>
      </c>
      <c r="L302" s="1">
        <v>1200</v>
      </c>
      <c r="M302" s="1">
        <v>601.15</v>
      </c>
      <c r="N302" s="1">
        <v>40023.4</v>
      </c>
      <c r="O302" s="1">
        <v>55419.7</v>
      </c>
      <c r="P302" s="1">
        <v>95443.1</v>
      </c>
      <c r="Q302" s="1">
        <v>20639.2</v>
      </c>
      <c r="R302" s="1">
        <v>7575.3</v>
      </c>
      <c r="S302" s="1">
        <v>28214.5</v>
      </c>
      <c r="T302" s="1">
        <v>27.99</v>
      </c>
      <c r="U302" s="1">
        <v>0.65</v>
      </c>
      <c r="V302" s="1">
        <v>7538.2</v>
      </c>
      <c r="W302" s="1">
        <v>28177.4</v>
      </c>
      <c r="X302" s="1">
        <v>601.79999999999995</v>
      </c>
      <c r="Y302" s="1">
        <v>1200</v>
      </c>
      <c r="Z302" s="1">
        <v>123620.5</v>
      </c>
      <c r="AA302" s="1">
        <v>28.01</v>
      </c>
    </row>
    <row r="303" spans="1:27" x14ac:dyDescent="0.4">
      <c r="A303" s="1" t="s">
        <v>90</v>
      </c>
      <c r="B303" s="1">
        <v>4000</v>
      </c>
      <c r="C303" s="1">
        <v>0.4</v>
      </c>
      <c r="D303" s="1">
        <v>0.5</v>
      </c>
      <c r="E303" s="1">
        <v>1000</v>
      </c>
      <c r="F303" s="1">
        <v>1</v>
      </c>
      <c r="G303" s="1">
        <v>1</v>
      </c>
      <c r="H303" s="1" t="s">
        <v>14</v>
      </c>
      <c r="I303" s="1">
        <v>171724.4</v>
      </c>
      <c r="J303" s="1">
        <v>71423.3</v>
      </c>
      <c r="K303" s="1">
        <v>100301.1</v>
      </c>
      <c r="L303" s="1">
        <v>1200</v>
      </c>
      <c r="M303" s="1">
        <v>600</v>
      </c>
      <c r="N303" s="1">
        <v>40586.800000000003</v>
      </c>
      <c r="O303" s="1">
        <v>55814.8</v>
      </c>
      <c r="P303" s="1">
        <v>96401.600000000006</v>
      </c>
      <c r="Q303" s="1">
        <v>20437.599999999999</v>
      </c>
      <c r="R303" s="1">
        <v>9244.2000000000007</v>
      </c>
      <c r="S303" s="1">
        <v>29681.8</v>
      </c>
      <c r="T303" s="1">
        <v>26.58</v>
      </c>
      <c r="U303" s="1">
        <v>0.56000000000000005</v>
      </c>
      <c r="V303" s="1">
        <v>9042.5</v>
      </c>
      <c r="W303" s="1">
        <v>29480.1</v>
      </c>
      <c r="X303" s="1">
        <v>600.55999999999995</v>
      </c>
      <c r="Y303" s="1">
        <v>1200</v>
      </c>
      <c r="Z303" s="1">
        <v>125881.7</v>
      </c>
      <c r="AA303" s="1">
        <v>26.7</v>
      </c>
    </row>
    <row r="304" spans="1:27" x14ac:dyDescent="0.4">
      <c r="A304" s="1" t="s">
        <v>90</v>
      </c>
      <c r="B304" s="1">
        <v>4000</v>
      </c>
      <c r="C304" s="1">
        <v>0.4</v>
      </c>
      <c r="D304" s="1">
        <v>0.5</v>
      </c>
      <c r="E304" s="1">
        <v>1000</v>
      </c>
      <c r="F304" s="1">
        <v>1</v>
      </c>
      <c r="G304" s="1">
        <v>1</v>
      </c>
      <c r="H304" s="1" t="s">
        <v>580</v>
      </c>
      <c r="I304" s="1">
        <v>171724.4</v>
      </c>
      <c r="J304" s="1">
        <v>71423.3</v>
      </c>
      <c r="K304" s="1">
        <v>100301.1</v>
      </c>
      <c r="L304" s="1">
        <v>1200</v>
      </c>
      <c r="M304" s="1">
        <v>600.41999999999996</v>
      </c>
      <c r="N304" s="1">
        <v>41125.5</v>
      </c>
      <c r="O304" s="1">
        <v>56825.1</v>
      </c>
      <c r="P304" s="1">
        <v>97950.6</v>
      </c>
      <c r="Q304" s="1">
        <v>18031.099999999999</v>
      </c>
      <c r="R304" s="1">
        <v>9945.7999999999993</v>
      </c>
      <c r="S304" s="1">
        <v>27976.9</v>
      </c>
      <c r="T304" s="1">
        <v>26.67</v>
      </c>
      <c r="U304" s="1">
        <v>2.4500000000000002</v>
      </c>
      <c r="V304" s="1">
        <v>9671.7000000000007</v>
      </c>
      <c r="W304" s="1">
        <v>27702.799999999999</v>
      </c>
      <c r="X304" s="1">
        <v>602.87</v>
      </c>
      <c r="Y304" s="1">
        <v>1200</v>
      </c>
      <c r="Z304" s="1">
        <v>125653.4</v>
      </c>
      <c r="AA304" s="1">
        <v>26.83</v>
      </c>
    </row>
    <row r="305" spans="1:27" x14ac:dyDescent="0.4">
      <c r="A305" s="1" t="s">
        <v>90</v>
      </c>
      <c r="B305" s="1">
        <v>4000</v>
      </c>
      <c r="C305" s="1">
        <v>0.4</v>
      </c>
      <c r="D305" s="1">
        <v>0.5</v>
      </c>
      <c r="E305" s="1">
        <v>1000</v>
      </c>
      <c r="F305" s="1">
        <v>1</v>
      </c>
      <c r="G305" s="1">
        <v>1</v>
      </c>
      <c r="H305" s="1" t="s">
        <v>15</v>
      </c>
      <c r="I305" s="1">
        <v>171724.4</v>
      </c>
      <c r="J305" s="1">
        <v>71423.3</v>
      </c>
      <c r="K305" s="1">
        <v>100301.1</v>
      </c>
      <c r="L305" s="1">
        <v>1200</v>
      </c>
      <c r="M305" s="1">
        <v>600.16999999999996</v>
      </c>
      <c r="N305" s="1">
        <v>40955.199999999997</v>
      </c>
      <c r="O305" s="1">
        <v>55690.1</v>
      </c>
      <c r="P305" s="1">
        <v>96645.3</v>
      </c>
      <c r="Q305" s="1">
        <v>21184.6</v>
      </c>
      <c r="R305" s="1">
        <v>7375.2</v>
      </c>
      <c r="S305" s="1">
        <v>28559.8</v>
      </c>
      <c r="T305" s="1">
        <v>27.09</v>
      </c>
      <c r="U305" s="1">
        <v>0.42</v>
      </c>
      <c r="V305" s="1">
        <v>7204.6</v>
      </c>
      <c r="W305" s="1">
        <v>28389.200000000001</v>
      </c>
      <c r="X305" s="1">
        <v>600.59</v>
      </c>
      <c r="Y305" s="1">
        <v>1200</v>
      </c>
      <c r="Z305" s="1">
        <v>125034.5</v>
      </c>
      <c r="AA305" s="1">
        <v>27.19</v>
      </c>
    </row>
    <row r="306" spans="1:27" x14ac:dyDescent="0.4">
      <c r="A306" s="1" t="s">
        <v>91</v>
      </c>
      <c r="B306" s="1">
        <v>4000</v>
      </c>
      <c r="C306" s="1">
        <v>0.4</v>
      </c>
      <c r="D306" s="1">
        <v>0.5</v>
      </c>
      <c r="E306" s="1">
        <v>1000</v>
      </c>
      <c r="F306" s="1">
        <v>1</v>
      </c>
      <c r="G306" s="1">
        <v>2</v>
      </c>
      <c r="H306" s="1" t="s">
        <v>592</v>
      </c>
      <c r="I306" s="1">
        <v>177265.8</v>
      </c>
      <c r="J306" s="1">
        <v>68879.7</v>
      </c>
      <c r="K306" s="1">
        <v>108386.1</v>
      </c>
      <c r="L306" s="1">
        <v>1200</v>
      </c>
      <c r="M306" s="1">
        <v>601.91999999999996</v>
      </c>
      <c r="N306" s="1">
        <v>39503.699999999997</v>
      </c>
      <c r="O306" s="1">
        <v>58449.5</v>
      </c>
      <c r="P306" s="1">
        <v>97953.2</v>
      </c>
      <c r="Q306" s="1">
        <v>20859.3</v>
      </c>
      <c r="R306" s="1">
        <v>8146.2</v>
      </c>
      <c r="S306" s="1">
        <v>29005.5</v>
      </c>
      <c r="T306" s="1">
        <v>28.38</v>
      </c>
      <c r="U306" s="1">
        <v>0.63</v>
      </c>
      <c r="V306" s="1">
        <v>8142.1</v>
      </c>
      <c r="W306" s="1">
        <v>29001.4</v>
      </c>
      <c r="X306" s="1">
        <v>602.54999999999995</v>
      </c>
      <c r="Y306" s="1">
        <v>1190</v>
      </c>
      <c r="Z306" s="1">
        <v>126954.6</v>
      </c>
      <c r="AA306" s="1">
        <v>28.38</v>
      </c>
    </row>
    <row r="307" spans="1:27" x14ac:dyDescent="0.4">
      <c r="A307" s="1" t="s">
        <v>91</v>
      </c>
      <c r="B307" s="1">
        <v>4000</v>
      </c>
      <c r="C307" s="1">
        <v>0.4</v>
      </c>
      <c r="D307" s="1">
        <v>0.5</v>
      </c>
      <c r="E307" s="1">
        <v>1000</v>
      </c>
      <c r="F307" s="1">
        <v>1</v>
      </c>
      <c r="G307" s="1">
        <v>2</v>
      </c>
      <c r="H307" s="1" t="s">
        <v>14</v>
      </c>
      <c r="I307" s="1">
        <v>177265.8</v>
      </c>
      <c r="J307" s="1">
        <v>68879.7</v>
      </c>
      <c r="K307" s="1">
        <v>108386.1</v>
      </c>
      <c r="L307" s="1">
        <v>1200</v>
      </c>
      <c r="M307" s="1">
        <v>600.01</v>
      </c>
      <c r="N307" s="1">
        <v>40191.9</v>
      </c>
      <c r="O307" s="1">
        <v>58738.6</v>
      </c>
      <c r="P307" s="1">
        <v>98930.5</v>
      </c>
      <c r="Q307" s="1">
        <v>20628.8</v>
      </c>
      <c r="R307" s="1">
        <v>9389.7000000000007</v>
      </c>
      <c r="S307" s="1">
        <v>30018.5</v>
      </c>
      <c r="T307" s="1">
        <v>27.26</v>
      </c>
      <c r="U307" s="1">
        <v>0.64</v>
      </c>
      <c r="V307" s="1">
        <v>9205.7999999999993</v>
      </c>
      <c r="W307" s="1">
        <v>29834.6</v>
      </c>
      <c r="X307" s="1">
        <v>600.65</v>
      </c>
      <c r="Y307" s="1">
        <v>1200</v>
      </c>
      <c r="Z307" s="1">
        <v>128765.1</v>
      </c>
      <c r="AA307" s="1">
        <v>27.36</v>
      </c>
    </row>
    <row r="308" spans="1:27" x14ac:dyDescent="0.4">
      <c r="A308" s="1" t="s">
        <v>91</v>
      </c>
      <c r="B308" s="1">
        <v>4000</v>
      </c>
      <c r="C308" s="1">
        <v>0.4</v>
      </c>
      <c r="D308" s="1">
        <v>0.5</v>
      </c>
      <c r="E308" s="1">
        <v>1000</v>
      </c>
      <c r="F308" s="1">
        <v>1</v>
      </c>
      <c r="G308" s="1">
        <v>2</v>
      </c>
      <c r="H308" s="1" t="s">
        <v>580</v>
      </c>
      <c r="I308" s="1">
        <v>177265.8</v>
      </c>
      <c r="J308" s="1">
        <v>68879.7</v>
      </c>
      <c r="K308" s="1">
        <v>108386.1</v>
      </c>
      <c r="L308" s="1">
        <v>1200</v>
      </c>
      <c r="M308" s="1">
        <v>600.63</v>
      </c>
      <c r="N308" s="1">
        <v>40259.599999999999</v>
      </c>
      <c r="O308" s="1">
        <v>59846.6</v>
      </c>
      <c r="P308" s="1">
        <v>100106.2</v>
      </c>
      <c r="Q308" s="1">
        <v>18586.099999999999</v>
      </c>
      <c r="R308" s="1">
        <v>10335.799999999999</v>
      </c>
      <c r="S308" s="1">
        <v>28921.9</v>
      </c>
      <c r="T308" s="1">
        <v>27.21</v>
      </c>
      <c r="U308" s="1">
        <v>1.92</v>
      </c>
      <c r="V308" s="1">
        <v>10023.4</v>
      </c>
      <c r="W308" s="1">
        <v>28609.5</v>
      </c>
      <c r="X308" s="1">
        <v>602.54999999999995</v>
      </c>
      <c r="Y308" s="1">
        <v>1199</v>
      </c>
      <c r="Z308" s="1">
        <v>128715.7</v>
      </c>
      <c r="AA308" s="1">
        <v>27.39</v>
      </c>
    </row>
    <row r="309" spans="1:27" x14ac:dyDescent="0.4">
      <c r="A309" s="1" t="s">
        <v>91</v>
      </c>
      <c r="B309" s="1">
        <v>4000</v>
      </c>
      <c r="C309" s="1">
        <v>0.4</v>
      </c>
      <c r="D309" s="1">
        <v>0.5</v>
      </c>
      <c r="E309" s="1">
        <v>1000</v>
      </c>
      <c r="F309" s="1">
        <v>1</v>
      </c>
      <c r="G309" s="1">
        <v>2</v>
      </c>
      <c r="H309" s="1" t="s">
        <v>15</v>
      </c>
      <c r="I309" s="1">
        <v>177265.8</v>
      </c>
      <c r="J309" s="1">
        <v>68879.7</v>
      </c>
      <c r="K309" s="1">
        <v>108386.1</v>
      </c>
      <c r="L309" s="1">
        <v>1200</v>
      </c>
      <c r="M309" s="1">
        <v>600.16</v>
      </c>
      <c r="N309" s="1">
        <v>38805.5</v>
      </c>
      <c r="O309" s="1">
        <v>56997.4</v>
      </c>
      <c r="P309" s="1">
        <v>95802.9</v>
      </c>
      <c r="Q309" s="1">
        <v>21884.799999999999</v>
      </c>
      <c r="R309" s="1">
        <v>8772.7000000000007</v>
      </c>
      <c r="S309" s="1">
        <v>30657.5</v>
      </c>
      <c r="T309" s="1">
        <v>28.66</v>
      </c>
      <c r="U309" s="1">
        <v>0.34</v>
      </c>
      <c r="V309" s="1">
        <v>8651.9</v>
      </c>
      <c r="W309" s="1">
        <v>30536.7</v>
      </c>
      <c r="X309" s="1">
        <v>600.5</v>
      </c>
      <c r="Y309" s="1">
        <v>1198</v>
      </c>
      <c r="Z309" s="1">
        <v>126339.6</v>
      </c>
      <c r="AA309" s="1">
        <v>28.73</v>
      </c>
    </row>
    <row r="310" spans="1:27" x14ac:dyDescent="0.4">
      <c r="A310" s="1" t="s">
        <v>92</v>
      </c>
      <c r="B310" s="1">
        <v>4000</v>
      </c>
      <c r="C310" s="1">
        <v>0.4</v>
      </c>
      <c r="D310" s="1">
        <v>0.5</v>
      </c>
      <c r="E310" s="1">
        <v>1000</v>
      </c>
      <c r="F310" s="1">
        <v>1</v>
      </c>
      <c r="G310" s="1">
        <v>3</v>
      </c>
      <c r="H310" s="1" t="s">
        <v>592</v>
      </c>
      <c r="I310" s="1">
        <v>177163.7</v>
      </c>
      <c r="J310" s="1">
        <v>70112.600000000006</v>
      </c>
      <c r="K310" s="1">
        <v>107051.1</v>
      </c>
      <c r="L310" s="1">
        <v>1200</v>
      </c>
      <c r="M310" s="1">
        <v>601.42999999999995</v>
      </c>
      <c r="N310" s="1">
        <v>40362</v>
      </c>
      <c r="O310" s="1">
        <v>58784</v>
      </c>
      <c r="P310" s="1">
        <v>99146</v>
      </c>
      <c r="Q310" s="1">
        <v>21077.5</v>
      </c>
      <c r="R310" s="1">
        <v>7845</v>
      </c>
      <c r="S310" s="1">
        <v>28922.5</v>
      </c>
      <c r="T310" s="1">
        <v>27.71</v>
      </c>
      <c r="U310" s="1">
        <v>0.55000000000000004</v>
      </c>
      <c r="V310" s="1">
        <v>7821.9</v>
      </c>
      <c r="W310" s="1">
        <v>28899.4</v>
      </c>
      <c r="X310" s="1">
        <v>601.97</v>
      </c>
      <c r="Y310" s="1">
        <v>1200</v>
      </c>
      <c r="Z310" s="1">
        <v>128045.4</v>
      </c>
      <c r="AA310" s="1">
        <v>27.72</v>
      </c>
    </row>
    <row r="311" spans="1:27" x14ac:dyDescent="0.4">
      <c r="A311" s="1" t="s">
        <v>92</v>
      </c>
      <c r="B311" s="1">
        <v>4000</v>
      </c>
      <c r="C311" s="1">
        <v>0.4</v>
      </c>
      <c r="D311" s="1">
        <v>0.5</v>
      </c>
      <c r="E311" s="1">
        <v>1000</v>
      </c>
      <c r="F311" s="1">
        <v>1</v>
      </c>
      <c r="G311" s="1">
        <v>3</v>
      </c>
      <c r="H311" s="1" t="s">
        <v>14</v>
      </c>
      <c r="I311" s="1">
        <v>177163.7</v>
      </c>
      <c r="J311" s="1">
        <v>70112.600000000006</v>
      </c>
      <c r="K311" s="1">
        <v>107051.1</v>
      </c>
      <c r="L311" s="1">
        <v>1200</v>
      </c>
      <c r="M311" s="1">
        <v>600.01</v>
      </c>
      <c r="N311" s="1">
        <v>41086.6</v>
      </c>
      <c r="O311" s="1">
        <v>58957</v>
      </c>
      <c r="P311" s="1">
        <v>100043.6</v>
      </c>
      <c r="Q311" s="1">
        <v>20680.900000000001</v>
      </c>
      <c r="R311" s="1">
        <v>9096.5</v>
      </c>
      <c r="S311" s="1">
        <v>29777.4</v>
      </c>
      <c r="T311" s="1">
        <v>26.72</v>
      </c>
      <c r="U311" s="1">
        <v>0.57999999999999996</v>
      </c>
      <c r="V311" s="1">
        <v>8937.7999999999993</v>
      </c>
      <c r="W311" s="1">
        <v>29618.7</v>
      </c>
      <c r="X311" s="1">
        <v>600.58000000000004</v>
      </c>
      <c r="Y311" s="1">
        <v>1200</v>
      </c>
      <c r="Z311" s="1">
        <v>129662.3</v>
      </c>
      <c r="AA311" s="1">
        <v>26.81</v>
      </c>
    </row>
    <row r="312" spans="1:27" x14ac:dyDescent="0.4">
      <c r="A312" s="1" t="s">
        <v>92</v>
      </c>
      <c r="B312" s="1">
        <v>4000</v>
      </c>
      <c r="C312" s="1">
        <v>0.4</v>
      </c>
      <c r="D312" s="1">
        <v>0.5</v>
      </c>
      <c r="E312" s="1">
        <v>1000</v>
      </c>
      <c r="F312" s="1">
        <v>1</v>
      </c>
      <c r="G312" s="1">
        <v>3</v>
      </c>
      <c r="H312" s="1" t="s">
        <v>580</v>
      </c>
      <c r="I312" s="1">
        <v>177163.7</v>
      </c>
      <c r="J312" s="1">
        <v>70112.600000000006</v>
      </c>
      <c r="K312" s="1">
        <v>107051.1</v>
      </c>
      <c r="L312" s="1">
        <v>1200</v>
      </c>
      <c r="M312" s="1">
        <v>600.26</v>
      </c>
      <c r="N312" s="1">
        <v>40672</v>
      </c>
      <c r="O312" s="1">
        <v>59396.800000000003</v>
      </c>
      <c r="P312" s="1">
        <v>100068.8</v>
      </c>
      <c r="Q312" s="1">
        <v>19117.5</v>
      </c>
      <c r="R312" s="1">
        <v>10976</v>
      </c>
      <c r="S312" s="1">
        <v>30093.5</v>
      </c>
      <c r="T312" s="1">
        <v>26.53</v>
      </c>
      <c r="U312" s="1">
        <v>1.79</v>
      </c>
      <c r="V312" s="1">
        <v>10648.5</v>
      </c>
      <c r="W312" s="1">
        <v>29766</v>
      </c>
      <c r="X312" s="1">
        <v>602.05999999999995</v>
      </c>
      <c r="Y312" s="1">
        <v>1200</v>
      </c>
      <c r="Z312" s="1">
        <v>129834.8</v>
      </c>
      <c r="AA312" s="1">
        <v>26.71</v>
      </c>
    </row>
    <row r="313" spans="1:27" x14ac:dyDescent="0.4">
      <c r="A313" s="1" t="s">
        <v>92</v>
      </c>
      <c r="B313" s="1">
        <v>4000</v>
      </c>
      <c r="C313" s="1">
        <v>0.4</v>
      </c>
      <c r="D313" s="1">
        <v>0.5</v>
      </c>
      <c r="E313" s="1">
        <v>1000</v>
      </c>
      <c r="F313" s="1">
        <v>1</v>
      </c>
      <c r="G313" s="1">
        <v>3</v>
      </c>
      <c r="H313" s="1" t="s">
        <v>15</v>
      </c>
      <c r="I313" s="1">
        <v>177163.7</v>
      </c>
      <c r="J313" s="1">
        <v>70112.600000000006</v>
      </c>
      <c r="K313" s="1">
        <v>107051.1</v>
      </c>
      <c r="L313" s="1">
        <v>1200</v>
      </c>
      <c r="M313" s="1">
        <v>600.41</v>
      </c>
      <c r="N313" s="1">
        <v>41273.5</v>
      </c>
      <c r="O313" s="1">
        <v>59485.3</v>
      </c>
      <c r="P313" s="1">
        <v>100758.8</v>
      </c>
      <c r="Q313" s="1">
        <v>20905.2</v>
      </c>
      <c r="R313" s="1">
        <v>7848.8</v>
      </c>
      <c r="S313" s="1">
        <v>28754</v>
      </c>
      <c r="T313" s="1">
        <v>26.9</v>
      </c>
      <c r="U313" s="1">
        <v>0.33</v>
      </c>
      <c r="V313" s="1">
        <v>7667.5</v>
      </c>
      <c r="W313" s="1">
        <v>28572.7</v>
      </c>
      <c r="X313" s="1">
        <v>600.73</v>
      </c>
      <c r="Y313" s="1">
        <v>1199</v>
      </c>
      <c r="Z313" s="1">
        <v>129331.5</v>
      </c>
      <c r="AA313" s="1">
        <v>27</v>
      </c>
    </row>
    <row r="314" spans="1:27" x14ac:dyDescent="0.4">
      <c r="A314" s="1" t="s">
        <v>93</v>
      </c>
      <c r="B314" s="1">
        <v>4000</v>
      </c>
      <c r="C314" s="1">
        <v>0.4</v>
      </c>
      <c r="D314" s="1">
        <v>0.5</v>
      </c>
      <c r="E314" s="1">
        <v>1000</v>
      </c>
      <c r="F314" s="1">
        <v>1</v>
      </c>
      <c r="G314" s="1">
        <v>4</v>
      </c>
      <c r="H314" s="1" t="s">
        <v>592</v>
      </c>
      <c r="I314" s="1">
        <v>172274.8</v>
      </c>
      <c r="J314" s="1">
        <v>71609</v>
      </c>
      <c r="K314" s="1">
        <v>100665.8</v>
      </c>
      <c r="L314" s="1">
        <v>1200</v>
      </c>
      <c r="M314" s="1">
        <v>601.97</v>
      </c>
      <c r="N314" s="1">
        <v>40075.9</v>
      </c>
      <c r="O314" s="1">
        <v>55024.5</v>
      </c>
      <c r="P314" s="1">
        <v>95100.4</v>
      </c>
      <c r="Q314" s="1">
        <v>21964.2</v>
      </c>
      <c r="R314" s="1">
        <v>8255</v>
      </c>
      <c r="S314" s="1">
        <v>30219.200000000001</v>
      </c>
      <c r="T314" s="1">
        <v>27.26</v>
      </c>
      <c r="U314" s="1">
        <v>0.48</v>
      </c>
      <c r="V314" s="1">
        <v>8252.2000000000007</v>
      </c>
      <c r="W314" s="1">
        <v>30216.400000000001</v>
      </c>
      <c r="X314" s="1">
        <v>602.45000000000005</v>
      </c>
      <c r="Y314" s="1">
        <v>1200</v>
      </c>
      <c r="Z314" s="1">
        <v>125316.8</v>
      </c>
      <c r="AA314" s="1">
        <v>27.26</v>
      </c>
    </row>
    <row r="315" spans="1:27" x14ac:dyDescent="0.4">
      <c r="A315" s="1" t="s">
        <v>93</v>
      </c>
      <c r="B315" s="1">
        <v>4000</v>
      </c>
      <c r="C315" s="1">
        <v>0.4</v>
      </c>
      <c r="D315" s="1">
        <v>0.5</v>
      </c>
      <c r="E315" s="1">
        <v>1000</v>
      </c>
      <c r="F315" s="1">
        <v>1</v>
      </c>
      <c r="G315" s="1">
        <v>4</v>
      </c>
      <c r="H315" s="1" t="s">
        <v>14</v>
      </c>
      <c r="I315" s="1">
        <v>172274.8</v>
      </c>
      <c r="J315" s="1">
        <v>71609</v>
      </c>
      <c r="K315" s="1">
        <v>100665.8</v>
      </c>
      <c r="L315" s="1">
        <v>1200</v>
      </c>
      <c r="M315" s="1">
        <v>600</v>
      </c>
      <c r="N315" s="1">
        <v>41066.9</v>
      </c>
      <c r="O315" s="1">
        <v>55183.3</v>
      </c>
      <c r="P315" s="1">
        <v>96250.2</v>
      </c>
      <c r="Q315" s="1">
        <v>21552.1</v>
      </c>
      <c r="R315" s="1">
        <v>9536.6</v>
      </c>
      <c r="S315" s="1">
        <v>31088.7</v>
      </c>
      <c r="T315" s="1">
        <v>26.08</v>
      </c>
      <c r="U315" s="1">
        <v>0.45</v>
      </c>
      <c r="V315" s="1">
        <v>9374.7000000000007</v>
      </c>
      <c r="W315" s="1">
        <v>30926.799999999999</v>
      </c>
      <c r="X315" s="1">
        <v>600.45000000000005</v>
      </c>
      <c r="Y315" s="1">
        <v>1200</v>
      </c>
      <c r="Z315" s="1">
        <v>127177</v>
      </c>
      <c r="AA315" s="1">
        <v>26.18</v>
      </c>
    </row>
    <row r="316" spans="1:27" x14ac:dyDescent="0.4">
      <c r="A316" s="1" t="s">
        <v>93</v>
      </c>
      <c r="B316" s="1">
        <v>4000</v>
      </c>
      <c r="C316" s="1">
        <v>0.4</v>
      </c>
      <c r="D316" s="1">
        <v>0.5</v>
      </c>
      <c r="E316" s="1">
        <v>1000</v>
      </c>
      <c r="F316" s="1">
        <v>1</v>
      </c>
      <c r="G316" s="1">
        <v>4</v>
      </c>
      <c r="H316" s="1" t="s">
        <v>580</v>
      </c>
      <c r="I316" s="1">
        <v>172274.8</v>
      </c>
      <c r="J316" s="1">
        <v>71609</v>
      </c>
      <c r="K316" s="1">
        <v>100665.8</v>
      </c>
      <c r="L316" s="1">
        <v>1200</v>
      </c>
      <c r="M316" s="1">
        <v>600.78</v>
      </c>
      <c r="N316" s="1">
        <v>41581.300000000003</v>
      </c>
      <c r="O316" s="1">
        <v>56259.8</v>
      </c>
      <c r="P316" s="1">
        <v>97841.1</v>
      </c>
      <c r="Q316" s="1">
        <v>18820.599999999999</v>
      </c>
      <c r="R316" s="1">
        <v>11124.5</v>
      </c>
      <c r="S316" s="1">
        <v>29945.1</v>
      </c>
      <c r="T316" s="1">
        <v>25.82</v>
      </c>
      <c r="U316" s="1">
        <v>1.94</v>
      </c>
      <c r="V316" s="1">
        <v>10843.9</v>
      </c>
      <c r="W316" s="1">
        <v>29664.5</v>
      </c>
      <c r="X316" s="1">
        <v>602.73</v>
      </c>
      <c r="Y316" s="1">
        <v>1199</v>
      </c>
      <c r="Z316" s="1">
        <v>127505.60000000001</v>
      </c>
      <c r="AA316" s="1">
        <v>25.99</v>
      </c>
    </row>
    <row r="317" spans="1:27" x14ac:dyDescent="0.4">
      <c r="A317" s="1" t="s">
        <v>93</v>
      </c>
      <c r="B317" s="1">
        <v>4000</v>
      </c>
      <c r="C317" s="1">
        <v>0.4</v>
      </c>
      <c r="D317" s="1">
        <v>0.5</v>
      </c>
      <c r="E317" s="1">
        <v>1000</v>
      </c>
      <c r="F317" s="1">
        <v>1</v>
      </c>
      <c r="G317" s="1">
        <v>4</v>
      </c>
      <c r="H317" s="1" t="s">
        <v>15</v>
      </c>
      <c r="I317" s="1">
        <v>172274.8</v>
      </c>
      <c r="J317" s="1">
        <v>71609</v>
      </c>
      <c r="K317" s="1">
        <v>100665.8</v>
      </c>
      <c r="L317" s="1">
        <v>1200</v>
      </c>
      <c r="M317" s="1">
        <v>600.01</v>
      </c>
      <c r="N317" s="1">
        <v>40723.199999999997</v>
      </c>
      <c r="O317" s="1">
        <v>55491.4</v>
      </c>
      <c r="P317" s="1">
        <v>96214.6</v>
      </c>
      <c r="Q317" s="1">
        <v>22412.2</v>
      </c>
      <c r="R317" s="1">
        <v>8340.1</v>
      </c>
      <c r="S317" s="1">
        <v>30752.3</v>
      </c>
      <c r="T317" s="1">
        <v>26.3</v>
      </c>
      <c r="U317" s="1">
        <v>0.31</v>
      </c>
      <c r="V317" s="1">
        <v>8137.8</v>
      </c>
      <c r="W317" s="1">
        <v>30550</v>
      </c>
      <c r="X317" s="1">
        <v>600.32000000000005</v>
      </c>
      <c r="Y317" s="1">
        <v>1195</v>
      </c>
      <c r="Z317" s="1">
        <v>126764.6</v>
      </c>
      <c r="AA317" s="1">
        <v>26.42</v>
      </c>
    </row>
    <row r="318" spans="1:27" x14ac:dyDescent="0.4">
      <c r="A318" s="1" t="s">
        <v>94</v>
      </c>
      <c r="B318" s="1">
        <v>4000</v>
      </c>
      <c r="C318" s="1">
        <v>0.4</v>
      </c>
      <c r="D318" s="1">
        <v>0.5</v>
      </c>
      <c r="E318" s="1">
        <v>1000</v>
      </c>
      <c r="F318" s="1">
        <v>1</v>
      </c>
      <c r="G318" s="1">
        <v>5</v>
      </c>
      <c r="H318" s="1" t="s">
        <v>592</v>
      </c>
      <c r="I318" s="1">
        <v>177440</v>
      </c>
      <c r="J318" s="1">
        <v>71930.2</v>
      </c>
      <c r="K318" s="1">
        <v>105509.8</v>
      </c>
      <c r="L318" s="1">
        <v>1200</v>
      </c>
      <c r="M318" s="1">
        <v>601.21</v>
      </c>
      <c r="N318" s="1">
        <v>41323.1</v>
      </c>
      <c r="O318" s="1">
        <v>57045.2</v>
      </c>
      <c r="P318" s="1">
        <v>98368.3</v>
      </c>
      <c r="Q318" s="1">
        <v>21224.799999999999</v>
      </c>
      <c r="R318" s="1">
        <v>8748.7000000000007</v>
      </c>
      <c r="S318" s="1">
        <v>29973.5</v>
      </c>
      <c r="T318" s="1">
        <v>27.67</v>
      </c>
      <c r="U318" s="1">
        <v>0.6</v>
      </c>
      <c r="V318" s="1">
        <v>8721.2000000000007</v>
      </c>
      <c r="W318" s="1">
        <v>29946</v>
      </c>
      <c r="X318" s="1">
        <v>601.80999999999995</v>
      </c>
      <c r="Y318" s="1">
        <v>1192</v>
      </c>
      <c r="Z318" s="1">
        <v>128314.3</v>
      </c>
      <c r="AA318" s="1">
        <v>27.69</v>
      </c>
    </row>
    <row r="319" spans="1:27" x14ac:dyDescent="0.4">
      <c r="A319" s="1" t="s">
        <v>94</v>
      </c>
      <c r="B319" s="1">
        <v>4000</v>
      </c>
      <c r="C319" s="1">
        <v>0.4</v>
      </c>
      <c r="D319" s="1">
        <v>0.5</v>
      </c>
      <c r="E319" s="1">
        <v>1000</v>
      </c>
      <c r="F319" s="1">
        <v>1</v>
      </c>
      <c r="G319" s="1">
        <v>5</v>
      </c>
      <c r="H319" s="1" t="s">
        <v>14</v>
      </c>
      <c r="I319" s="1">
        <v>177440</v>
      </c>
      <c r="J319" s="1">
        <v>71930.2</v>
      </c>
      <c r="K319" s="1">
        <v>105509.8</v>
      </c>
      <c r="L319" s="1">
        <v>1200</v>
      </c>
      <c r="M319" s="1">
        <v>600</v>
      </c>
      <c r="N319" s="1">
        <v>41010.800000000003</v>
      </c>
      <c r="O319" s="1">
        <v>57166.7</v>
      </c>
      <c r="P319" s="1">
        <v>98177.5</v>
      </c>
      <c r="Q319" s="1">
        <v>22127.599999999999</v>
      </c>
      <c r="R319" s="1">
        <v>9667.7999999999993</v>
      </c>
      <c r="S319" s="1">
        <v>31795.4</v>
      </c>
      <c r="T319" s="1">
        <v>26.75</v>
      </c>
      <c r="U319" s="1">
        <v>0.55000000000000004</v>
      </c>
      <c r="V319" s="1">
        <v>9565</v>
      </c>
      <c r="W319" s="1">
        <v>31692.6</v>
      </c>
      <c r="X319" s="1">
        <v>600.54999999999995</v>
      </c>
      <c r="Y319" s="1">
        <v>1200</v>
      </c>
      <c r="Z319" s="1">
        <v>129870.1</v>
      </c>
      <c r="AA319" s="1">
        <v>26.81</v>
      </c>
    </row>
    <row r="320" spans="1:27" x14ac:dyDescent="0.4">
      <c r="A320" s="1" t="s">
        <v>94</v>
      </c>
      <c r="B320" s="1">
        <v>4000</v>
      </c>
      <c r="C320" s="1">
        <v>0.4</v>
      </c>
      <c r="D320" s="1">
        <v>0.5</v>
      </c>
      <c r="E320" s="1">
        <v>1000</v>
      </c>
      <c r="F320" s="1">
        <v>1</v>
      </c>
      <c r="G320" s="1">
        <v>5</v>
      </c>
      <c r="H320" s="1" t="s">
        <v>580</v>
      </c>
      <c r="I320" s="1">
        <v>177440</v>
      </c>
      <c r="J320" s="1">
        <v>71930.2</v>
      </c>
      <c r="K320" s="1">
        <v>105509.8</v>
      </c>
      <c r="L320" s="1">
        <v>1200</v>
      </c>
      <c r="M320" s="1">
        <v>600.13</v>
      </c>
      <c r="N320" s="1">
        <v>42105.1</v>
      </c>
      <c r="O320" s="1">
        <v>58109.5</v>
      </c>
      <c r="P320" s="1">
        <v>100214.6</v>
      </c>
      <c r="Q320" s="1">
        <v>18919.8</v>
      </c>
      <c r="R320" s="1">
        <v>10942.8</v>
      </c>
      <c r="S320" s="1">
        <v>29862.6</v>
      </c>
      <c r="T320" s="1">
        <v>26.69</v>
      </c>
      <c r="U320" s="1">
        <v>1.62</v>
      </c>
      <c r="V320" s="1">
        <v>10678.5</v>
      </c>
      <c r="W320" s="1">
        <v>29598.3</v>
      </c>
      <c r="X320" s="1">
        <v>601.74</v>
      </c>
      <c r="Y320" s="1">
        <v>1200</v>
      </c>
      <c r="Z320" s="1">
        <v>129812.9</v>
      </c>
      <c r="AA320" s="1">
        <v>26.84</v>
      </c>
    </row>
    <row r="321" spans="1:27" x14ac:dyDescent="0.4">
      <c r="A321" s="1" t="s">
        <v>94</v>
      </c>
      <c r="B321" s="1">
        <v>4000</v>
      </c>
      <c r="C321" s="1">
        <v>0.4</v>
      </c>
      <c r="D321" s="1">
        <v>0.5</v>
      </c>
      <c r="E321" s="1">
        <v>1000</v>
      </c>
      <c r="F321" s="1">
        <v>1</v>
      </c>
      <c r="G321" s="1">
        <v>5</v>
      </c>
      <c r="H321" s="1" t="s">
        <v>15</v>
      </c>
      <c r="I321" s="1">
        <v>177440</v>
      </c>
      <c r="J321" s="1">
        <v>71930.2</v>
      </c>
      <c r="K321" s="1">
        <v>105509.8</v>
      </c>
      <c r="L321" s="1">
        <v>1200</v>
      </c>
      <c r="M321" s="1">
        <v>600</v>
      </c>
      <c r="N321" s="1">
        <v>42803</v>
      </c>
      <c r="O321" s="1">
        <v>57682.7</v>
      </c>
      <c r="P321" s="1">
        <v>100485.7</v>
      </c>
      <c r="Q321" s="1">
        <v>21311.3</v>
      </c>
      <c r="R321" s="1">
        <v>8140</v>
      </c>
      <c r="S321" s="1">
        <v>29451.3</v>
      </c>
      <c r="T321" s="1">
        <v>26.77</v>
      </c>
      <c r="U321" s="1">
        <v>0.38</v>
      </c>
      <c r="V321" s="1">
        <v>8017.7</v>
      </c>
      <c r="W321" s="1">
        <v>29329</v>
      </c>
      <c r="X321" s="1">
        <v>600.38</v>
      </c>
      <c r="Y321" s="1">
        <v>1200</v>
      </c>
      <c r="Z321" s="1">
        <v>129814.7</v>
      </c>
      <c r="AA321" s="1">
        <v>26.84</v>
      </c>
    </row>
    <row r="322" spans="1:27" x14ac:dyDescent="0.4">
      <c r="A322" s="1" t="s">
        <v>95</v>
      </c>
      <c r="B322" s="1">
        <v>4000</v>
      </c>
      <c r="C322" s="1">
        <v>0.4</v>
      </c>
      <c r="D322" s="1">
        <v>0.5</v>
      </c>
      <c r="E322" s="1">
        <v>1000</v>
      </c>
      <c r="F322" s="1">
        <v>2</v>
      </c>
      <c r="G322" s="1">
        <v>1</v>
      </c>
      <c r="H322" s="1" t="s">
        <v>592</v>
      </c>
      <c r="I322" s="1">
        <v>272984.8</v>
      </c>
      <c r="J322" s="1">
        <v>106266.9</v>
      </c>
      <c r="K322" s="1">
        <v>166717.9</v>
      </c>
      <c r="L322" s="1">
        <v>1200</v>
      </c>
      <c r="M322" s="1">
        <v>601.25</v>
      </c>
      <c r="N322" s="1">
        <v>63787.8</v>
      </c>
      <c r="O322" s="1">
        <v>91548.3</v>
      </c>
      <c r="P322" s="1">
        <v>155336.1</v>
      </c>
      <c r="Q322" s="1">
        <v>20182.3</v>
      </c>
      <c r="R322" s="1">
        <v>9245.9</v>
      </c>
      <c r="S322" s="1">
        <v>29428.2</v>
      </c>
      <c r="T322" s="1">
        <v>32.32</v>
      </c>
      <c r="U322" s="1">
        <v>0.74</v>
      </c>
      <c r="V322" s="1">
        <v>9160.2000000000007</v>
      </c>
      <c r="W322" s="1">
        <v>29342.5</v>
      </c>
      <c r="X322" s="1">
        <v>601.99</v>
      </c>
      <c r="Y322" s="1">
        <v>1200</v>
      </c>
      <c r="Z322" s="1">
        <v>184678.6</v>
      </c>
      <c r="AA322" s="1">
        <v>32.35</v>
      </c>
    </row>
    <row r="323" spans="1:27" x14ac:dyDescent="0.4">
      <c r="A323" s="1" t="s">
        <v>95</v>
      </c>
      <c r="B323" s="1">
        <v>4000</v>
      </c>
      <c r="C323" s="1">
        <v>0.4</v>
      </c>
      <c r="D323" s="1">
        <v>0.5</v>
      </c>
      <c r="E323" s="1">
        <v>1000</v>
      </c>
      <c r="F323" s="1">
        <v>2</v>
      </c>
      <c r="G323" s="1">
        <v>1</v>
      </c>
      <c r="H323" s="1" t="s">
        <v>14</v>
      </c>
      <c r="I323" s="1">
        <v>272984.8</v>
      </c>
      <c r="J323" s="1">
        <v>106266.9</v>
      </c>
      <c r="K323" s="1">
        <v>166717.9</v>
      </c>
      <c r="L323" s="1">
        <v>1200</v>
      </c>
      <c r="M323" s="1">
        <v>600.01</v>
      </c>
      <c r="N323" s="1">
        <v>64436.5</v>
      </c>
      <c r="O323" s="1">
        <v>92569.5</v>
      </c>
      <c r="P323" s="1">
        <v>157006</v>
      </c>
      <c r="Q323" s="1">
        <v>21290.5</v>
      </c>
      <c r="R323" s="1">
        <v>10149.9</v>
      </c>
      <c r="S323" s="1">
        <v>31440.400000000001</v>
      </c>
      <c r="T323" s="1">
        <v>30.97</v>
      </c>
      <c r="U323" s="1">
        <v>0.74</v>
      </c>
      <c r="V323" s="1">
        <v>9941.9</v>
      </c>
      <c r="W323" s="1">
        <v>31232.400000000001</v>
      </c>
      <c r="X323" s="1">
        <v>600.75</v>
      </c>
      <c r="Y323" s="1">
        <v>1200</v>
      </c>
      <c r="Z323" s="1">
        <v>188238.4</v>
      </c>
      <c r="AA323" s="1">
        <v>31.04</v>
      </c>
    </row>
    <row r="324" spans="1:27" x14ac:dyDescent="0.4">
      <c r="A324" s="1" t="s">
        <v>95</v>
      </c>
      <c r="B324" s="1">
        <v>4000</v>
      </c>
      <c r="C324" s="1">
        <v>0.4</v>
      </c>
      <c r="D324" s="1">
        <v>0.5</v>
      </c>
      <c r="E324" s="1">
        <v>1000</v>
      </c>
      <c r="F324" s="1">
        <v>2</v>
      </c>
      <c r="G324" s="1">
        <v>1</v>
      </c>
      <c r="H324" s="1" t="s">
        <v>580</v>
      </c>
      <c r="I324" s="1">
        <v>272984.8</v>
      </c>
      <c r="J324" s="1">
        <v>106266.9</v>
      </c>
      <c r="K324" s="1">
        <v>166717.9</v>
      </c>
      <c r="L324" s="1">
        <v>1200</v>
      </c>
      <c r="M324" s="1">
        <v>600.47</v>
      </c>
      <c r="N324" s="1">
        <v>63541</v>
      </c>
      <c r="O324" s="1">
        <v>92641.4</v>
      </c>
      <c r="P324" s="1">
        <v>156182.39999999999</v>
      </c>
      <c r="Q324" s="1">
        <v>19161.2</v>
      </c>
      <c r="R324" s="1">
        <v>10766.5</v>
      </c>
      <c r="S324" s="1">
        <v>29927.7</v>
      </c>
      <c r="T324" s="1">
        <v>31.82</v>
      </c>
      <c r="U324" s="1">
        <v>2.04</v>
      </c>
      <c r="V324" s="1">
        <v>10337.700000000001</v>
      </c>
      <c r="W324" s="1">
        <v>29498.9</v>
      </c>
      <c r="X324" s="1">
        <v>602.51</v>
      </c>
      <c r="Y324" s="1">
        <v>1200</v>
      </c>
      <c r="Z324" s="1">
        <v>185681.3</v>
      </c>
      <c r="AA324" s="1">
        <v>31.98</v>
      </c>
    </row>
    <row r="325" spans="1:27" x14ac:dyDescent="0.4">
      <c r="A325" s="1" t="s">
        <v>95</v>
      </c>
      <c r="B325" s="1">
        <v>4000</v>
      </c>
      <c r="C325" s="1">
        <v>0.4</v>
      </c>
      <c r="D325" s="1">
        <v>0.5</v>
      </c>
      <c r="E325" s="1">
        <v>1000</v>
      </c>
      <c r="F325" s="1">
        <v>2</v>
      </c>
      <c r="G325" s="1">
        <v>1</v>
      </c>
      <c r="H325" s="1" t="s">
        <v>15</v>
      </c>
      <c r="I325" s="1">
        <v>272984.8</v>
      </c>
      <c r="J325" s="1">
        <v>106266.9</v>
      </c>
      <c r="K325" s="1">
        <v>166717.9</v>
      </c>
      <c r="L325" s="1">
        <v>1200</v>
      </c>
      <c r="M325" s="1">
        <v>600.02</v>
      </c>
      <c r="N325" s="1">
        <v>64242</v>
      </c>
      <c r="O325" s="1">
        <v>93068.4</v>
      </c>
      <c r="P325" s="1">
        <v>157310.39999999999</v>
      </c>
      <c r="Q325" s="1">
        <v>20703.7</v>
      </c>
      <c r="R325" s="1">
        <v>9200.4</v>
      </c>
      <c r="S325" s="1">
        <v>29904.1</v>
      </c>
      <c r="T325" s="1">
        <v>31.42</v>
      </c>
      <c r="U325" s="1">
        <v>0.66</v>
      </c>
      <c r="V325" s="1">
        <v>8938.6</v>
      </c>
      <c r="W325" s="1">
        <v>29642.3</v>
      </c>
      <c r="X325" s="1">
        <v>600.67999999999995</v>
      </c>
      <c r="Y325" s="1">
        <v>1200</v>
      </c>
      <c r="Z325" s="1">
        <v>186952.7</v>
      </c>
      <c r="AA325" s="1">
        <v>31.52</v>
      </c>
    </row>
    <row r="326" spans="1:27" x14ac:dyDescent="0.4">
      <c r="A326" s="1" t="s">
        <v>96</v>
      </c>
      <c r="B326" s="1">
        <v>4000</v>
      </c>
      <c r="C326" s="1">
        <v>0.4</v>
      </c>
      <c r="D326" s="1">
        <v>0.5</v>
      </c>
      <c r="E326" s="1">
        <v>1000</v>
      </c>
      <c r="F326" s="1">
        <v>2</v>
      </c>
      <c r="G326" s="1">
        <v>2</v>
      </c>
      <c r="H326" s="1" t="s">
        <v>592</v>
      </c>
      <c r="I326" s="1">
        <v>263794</v>
      </c>
      <c r="J326" s="1">
        <v>97689.9</v>
      </c>
      <c r="K326" s="1">
        <v>166104.1</v>
      </c>
      <c r="L326" s="1">
        <v>1200</v>
      </c>
      <c r="M326" s="1">
        <v>602.16999999999996</v>
      </c>
      <c r="N326" s="1">
        <v>58414.7</v>
      </c>
      <c r="O326" s="1">
        <v>91768.6</v>
      </c>
      <c r="P326" s="1">
        <v>150183.29999999999</v>
      </c>
      <c r="Q326" s="1">
        <v>19988.900000000001</v>
      </c>
      <c r="R326" s="1">
        <v>9095.4</v>
      </c>
      <c r="S326" s="1">
        <v>29084.3</v>
      </c>
      <c r="T326" s="1">
        <v>32.04</v>
      </c>
      <c r="U326" s="1">
        <v>0.8</v>
      </c>
      <c r="V326" s="1">
        <v>9087.2000000000007</v>
      </c>
      <c r="W326" s="1">
        <v>29076.1</v>
      </c>
      <c r="X326" s="1">
        <v>602.97</v>
      </c>
      <c r="Y326" s="1">
        <v>1200</v>
      </c>
      <c r="Z326" s="1">
        <v>179259.4</v>
      </c>
      <c r="AA326" s="1">
        <v>32.049999999999997</v>
      </c>
    </row>
    <row r="327" spans="1:27" x14ac:dyDescent="0.4">
      <c r="A327" s="1" t="s">
        <v>96</v>
      </c>
      <c r="B327" s="1">
        <v>4000</v>
      </c>
      <c r="C327" s="1">
        <v>0.4</v>
      </c>
      <c r="D327" s="1">
        <v>0.5</v>
      </c>
      <c r="E327" s="1">
        <v>1000</v>
      </c>
      <c r="F327" s="1">
        <v>2</v>
      </c>
      <c r="G327" s="1">
        <v>2</v>
      </c>
      <c r="H327" s="1" t="s">
        <v>14</v>
      </c>
      <c r="I327" s="1">
        <v>263794</v>
      </c>
      <c r="J327" s="1">
        <v>97689.9</v>
      </c>
      <c r="K327" s="1">
        <v>166104.1</v>
      </c>
      <c r="L327" s="1">
        <v>1200</v>
      </c>
      <c r="M327" s="1">
        <v>600.02</v>
      </c>
      <c r="N327" s="1">
        <v>59312.2</v>
      </c>
      <c r="O327" s="1">
        <v>93505.7</v>
      </c>
      <c r="P327" s="1">
        <v>152817.9</v>
      </c>
      <c r="Q327" s="1">
        <v>20610.7</v>
      </c>
      <c r="R327" s="1">
        <v>10246.9</v>
      </c>
      <c r="S327" s="1">
        <v>30857.599999999999</v>
      </c>
      <c r="T327" s="1">
        <v>30.37</v>
      </c>
      <c r="U327" s="1">
        <v>1.2</v>
      </c>
      <c r="V327" s="1">
        <v>9949.6</v>
      </c>
      <c r="W327" s="1">
        <v>30560.3</v>
      </c>
      <c r="X327" s="1">
        <v>601.23</v>
      </c>
      <c r="Y327" s="1">
        <v>1200</v>
      </c>
      <c r="Z327" s="1">
        <v>183378.2</v>
      </c>
      <c r="AA327" s="1">
        <v>30.48</v>
      </c>
    </row>
    <row r="328" spans="1:27" x14ac:dyDescent="0.4">
      <c r="A328" s="1" t="s">
        <v>96</v>
      </c>
      <c r="B328" s="1">
        <v>4000</v>
      </c>
      <c r="C328" s="1">
        <v>0.4</v>
      </c>
      <c r="D328" s="1">
        <v>0.5</v>
      </c>
      <c r="E328" s="1">
        <v>1000</v>
      </c>
      <c r="F328" s="1">
        <v>2</v>
      </c>
      <c r="G328" s="1">
        <v>2</v>
      </c>
      <c r="H328" s="1" t="s">
        <v>580</v>
      </c>
      <c r="I328" s="1">
        <v>263794</v>
      </c>
      <c r="J328" s="1">
        <v>97689.9</v>
      </c>
      <c r="K328" s="1">
        <v>166104.1</v>
      </c>
      <c r="L328" s="1">
        <v>1200</v>
      </c>
      <c r="M328" s="1">
        <v>600.95000000000005</v>
      </c>
      <c r="N328" s="1">
        <v>60112.9</v>
      </c>
      <c r="O328" s="1">
        <v>93596.9</v>
      </c>
      <c r="P328" s="1">
        <v>153709.79999999999</v>
      </c>
      <c r="Q328" s="1">
        <v>18799.8</v>
      </c>
      <c r="R328" s="1">
        <v>10110.5</v>
      </c>
      <c r="S328" s="1">
        <v>28910.3</v>
      </c>
      <c r="T328" s="1">
        <v>30.77</v>
      </c>
      <c r="U328" s="1">
        <v>1.89</v>
      </c>
      <c r="V328" s="1">
        <v>9696.1</v>
      </c>
      <c r="W328" s="1">
        <v>28495.9</v>
      </c>
      <c r="X328" s="1">
        <v>602.83000000000004</v>
      </c>
      <c r="Y328" s="1">
        <v>1200</v>
      </c>
      <c r="Z328" s="1">
        <v>182205.7</v>
      </c>
      <c r="AA328" s="1">
        <v>30.93</v>
      </c>
    </row>
    <row r="329" spans="1:27" x14ac:dyDescent="0.4">
      <c r="A329" s="1" t="s">
        <v>96</v>
      </c>
      <c r="B329" s="1">
        <v>4000</v>
      </c>
      <c r="C329" s="1">
        <v>0.4</v>
      </c>
      <c r="D329" s="1">
        <v>0.5</v>
      </c>
      <c r="E329" s="1">
        <v>1000</v>
      </c>
      <c r="F329" s="1">
        <v>2</v>
      </c>
      <c r="G329" s="1">
        <v>2</v>
      </c>
      <c r="H329" s="1" t="s">
        <v>15</v>
      </c>
      <c r="I329" s="1">
        <v>263794</v>
      </c>
      <c r="J329" s="1">
        <v>97689.9</v>
      </c>
      <c r="K329" s="1">
        <v>166104.1</v>
      </c>
      <c r="L329" s="1">
        <v>1200</v>
      </c>
      <c r="M329" s="1">
        <v>600.79999999999995</v>
      </c>
      <c r="N329" s="1">
        <v>58901.7</v>
      </c>
      <c r="O329" s="1">
        <v>91546</v>
      </c>
      <c r="P329" s="1">
        <v>150447.70000000001</v>
      </c>
      <c r="Q329" s="1">
        <v>21329.3</v>
      </c>
      <c r="R329" s="1">
        <v>9185.1</v>
      </c>
      <c r="S329" s="1">
        <v>30514.400000000001</v>
      </c>
      <c r="T329" s="1">
        <v>31.4</v>
      </c>
      <c r="U329" s="1">
        <v>0.66</v>
      </c>
      <c r="V329" s="1">
        <v>9021</v>
      </c>
      <c r="W329" s="1">
        <v>30350.3</v>
      </c>
      <c r="X329" s="1">
        <v>601.46</v>
      </c>
      <c r="Y329" s="1">
        <v>1200</v>
      </c>
      <c r="Z329" s="1">
        <v>180798</v>
      </c>
      <c r="AA329" s="1">
        <v>31.46</v>
      </c>
    </row>
    <row r="330" spans="1:27" x14ac:dyDescent="0.4">
      <c r="A330" s="1" t="s">
        <v>97</v>
      </c>
      <c r="B330" s="1">
        <v>4000</v>
      </c>
      <c r="C330" s="1">
        <v>0.4</v>
      </c>
      <c r="D330" s="1">
        <v>0.5</v>
      </c>
      <c r="E330" s="1">
        <v>1000</v>
      </c>
      <c r="F330" s="1">
        <v>2</v>
      </c>
      <c r="G330" s="1">
        <v>3</v>
      </c>
      <c r="H330" s="1" t="s">
        <v>592</v>
      </c>
      <c r="I330" s="1">
        <v>267654.8</v>
      </c>
      <c r="J330" s="1">
        <v>104237.1</v>
      </c>
      <c r="K330" s="1">
        <v>163417.70000000001</v>
      </c>
      <c r="L330" s="1">
        <v>1200</v>
      </c>
      <c r="M330" s="1">
        <v>601.67999999999995</v>
      </c>
      <c r="N330" s="1">
        <v>61871.7</v>
      </c>
      <c r="O330" s="1">
        <v>89610.7</v>
      </c>
      <c r="P330" s="1">
        <v>151482.4</v>
      </c>
      <c r="Q330" s="1">
        <v>20434.3</v>
      </c>
      <c r="R330" s="1">
        <v>9057.6</v>
      </c>
      <c r="S330" s="1">
        <v>29491.9</v>
      </c>
      <c r="T330" s="1">
        <v>32.39</v>
      </c>
      <c r="U330" s="1">
        <v>0.83</v>
      </c>
      <c r="V330" s="1">
        <v>9040.1</v>
      </c>
      <c r="W330" s="1">
        <v>29474.400000000001</v>
      </c>
      <c r="X330" s="1">
        <v>602.51</v>
      </c>
      <c r="Y330" s="1">
        <v>1200</v>
      </c>
      <c r="Z330" s="1">
        <v>180956.79999999999</v>
      </c>
      <c r="AA330" s="1">
        <v>32.39</v>
      </c>
    </row>
    <row r="331" spans="1:27" x14ac:dyDescent="0.4">
      <c r="A331" s="1" t="s">
        <v>97</v>
      </c>
      <c r="B331" s="1">
        <v>4000</v>
      </c>
      <c r="C331" s="1">
        <v>0.4</v>
      </c>
      <c r="D331" s="1">
        <v>0.5</v>
      </c>
      <c r="E331" s="1">
        <v>1000</v>
      </c>
      <c r="F331" s="1">
        <v>2</v>
      </c>
      <c r="G331" s="1">
        <v>3</v>
      </c>
      <c r="H331" s="1" t="s">
        <v>14</v>
      </c>
      <c r="I331" s="1">
        <v>267654.8</v>
      </c>
      <c r="J331" s="1">
        <v>104237.1</v>
      </c>
      <c r="K331" s="1">
        <v>163417.70000000001</v>
      </c>
      <c r="L331" s="1">
        <v>1200</v>
      </c>
      <c r="M331" s="1">
        <v>600.02</v>
      </c>
      <c r="N331" s="1">
        <v>61242.2</v>
      </c>
      <c r="O331" s="1">
        <v>91075.7</v>
      </c>
      <c r="P331" s="1">
        <v>152317.9</v>
      </c>
      <c r="Q331" s="1">
        <v>21947.4</v>
      </c>
      <c r="R331" s="1">
        <v>10541.9</v>
      </c>
      <c r="S331" s="1">
        <v>32489.3</v>
      </c>
      <c r="T331" s="1">
        <v>30.95</v>
      </c>
      <c r="U331" s="1">
        <v>0.67</v>
      </c>
      <c r="V331" s="1">
        <v>10307</v>
      </c>
      <c r="W331" s="1">
        <v>32254.400000000001</v>
      </c>
      <c r="X331" s="1">
        <v>600.69000000000005</v>
      </c>
      <c r="Y331" s="1">
        <v>1200</v>
      </c>
      <c r="Z331" s="1">
        <v>184572.3</v>
      </c>
      <c r="AA331" s="1">
        <v>31.04</v>
      </c>
    </row>
    <row r="332" spans="1:27" x14ac:dyDescent="0.4">
      <c r="A332" s="1" t="s">
        <v>97</v>
      </c>
      <c r="B332" s="1">
        <v>4000</v>
      </c>
      <c r="C332" s="1">
        <v>0.4</v>
      </c>
      <c r="D332" s="1">
        <v>0.5</v>
      </c>
      <c r="E332" s="1">
        <v>1000</v>
      </c>
      <c r="F332" s="1">
        <v>2</v>
      </c>
      <c r="G332" s="1">
        <v>3</v>
      </c>
      <c r="H332" s="1" t="s">
        <v>580</v>
      </c>
      <c r="I332" s="1">
        <v>267654.8</v>
      </c>
      <c r="J332" s="1">
        <v>104237.1</v>
      </c>
      <c r="K332" s="1">
        <v>163417.70000000001</v>
      </c>
      <c r="L332" s="1">
        <v>1200</v>
      </c>
      <c r="M332" s="1">
        <v>600.14</v>
      </c>
      <c r="N332" s="1">
        <v>62538.9</v>
      </c>
      <c r="O332" s="1">
        <v>91073.9</v>
      </c>
      <c r="P332" s="1">
        <v>153612.79999999999</v>
      </c>
      <c r="Q332" s="1">
        <v>19244.7</v>
      </c>
      <c r="R332" s="1">
        <v>10903.6</v>
      </c>
      <c r="S332" s="1">
        <v>30148.3</v>
      </c>
      <c r="T332" s="1">
        <v>31.34</v>
      </c>
      <c r="U332" s="1">
        <v>2.0099999999999998</v>
      </c>
      <c r="V332" s="1">
        <v>10465.5</v>
      </c>
      <c r="W332" s="1">
        <v>29710.2</v>
      </c>
      <c r="X332" s="1">
        <v>602.15</v>
      </c>
      <c r="Y332" s="1">
        <v>1200</v>
      </c>
      <c r="Z332" s="1">
        <v>183323</v>
      </c>
      <c r="AA332" s="1">
        <v>31.51</v>
      </c>
    </row>
    <row r="333" spans="1:27" x14ac:dyDescent="0.4">
      <c r="A333" s="1" t="s">
        <v>97</v>
      </c>
      <c r="B333" s="1">
        <v>4000</v>
      </c>
      <c r="C333" s="1">
        <v>0.4</v>
      </c>
      <c r="D333" s="1">
        <v>0.5</v>
      </c>
      <c r="E333" s="1">
        <v>1000</v>
      </c>
      <c r="F333" s="1">
        <v>2</v>
      </c>
      <c r="G333" s="1">
        <v>3</v>
      </c>
      <c r="H333" s="1" t="s">
        <v>15</v>
      </c>
      <c r="I333" s="1">
        <v>267654.8</v>
      </c>
      <c r="J333" s="1">
        <v>104237.1</v>
      </c>
      <c r="K333" s="1">
        <v>163417.70000000001</v>
      </c>
      <c r="L333" s="1">
        <v>1200</v>
      </c>
      <c r="M333" s="1">
        <v>600.5</v>
      </c>
      <c r="N333" s="1">
        <v>62640.9</v>
      </c>
      <c r="O333" s="1">
        <v>90315.6</v>
      </c>
      <c r="P333" s="1">
        <v>152956.5</v>
      </c>
      <c r="Q333" s="1">
        <v>21196.799999999999</v>
      </c>
      <c r="R333" s="1">
        <v>9443.9</v>
      </c>
      <c r="S333" s="1">
        <v>30640.7</v>
      </c>
      <c r="T333" s="1">
        <v>31.41</v>
      </c>
      <c r="U333" s="1">
        <v>0.74</v>
      </c>
      <c r="V333" s="1">
        <v>9210.9</v>
      </c>
      <c r="W333" s="1">
        <v>30407.7</v>
      </c>
      <c r="X333" s="1">
        <v>601.25</v>
      </c>
      <c r="Y333" s="1">
        <v>1200</v>
      </c>
      <c r="Z333" s="1">
        <v>183364.2</v>
      </c>
      <c r="AA333" s="1">
        <v>31.49</v>
      </c>
    </row>
    <row r="334" spans="1:27" x14ac:dyDescent="0.4">
      <c r="A334" s="1" t="s">
        <v>98</v>
      </c>
      <c r="B334" s="1">
        <v>4000</v>
      </c>
      <c r="C334" s="1">
        <v>0.4</v>
      </c>
      <c r="D334" s="1">
        <v>0.5</v>
      </c>
      <c r="E334" s="1">
        <v>1000</v>
      </c>
      <c r="F334" s="1">
        <v>2</v>
      </c>
      <c r="G334" s="1">
        <v>4</v>
      </c>
      <c r="H334" s="1" t="s">
        <v>592</v>
      </c>
      <c r="I334" s="1">
        <v>271917.09999999998</v>
      </c>
      <c r="J334" s="1">
        <v>103980.4</v>
      </c>
      <c r="K334" s="1">
        <v>167936.7</v>
      </c>
      <c r="L334" s="1">
        <v>1200</v>
      </c>
      <c r="M334" s="1">
        <v>600.01</v>
      </c>
      <c r="N334" s="1">
        <v>62005.7</v>
      </c>
      <c r="O334" s="1">
        <v>89832.3</v>
      </c>
      <c r="P334" s="1">
        <v>151838</v>
      </c>
      <c r="Q334" s="1">
        <v>20661.400000000001</v>
      </c>
      <c r="R334" s="1">
        <v>9447.5</v>
      </c>
      <c r="S334" s="1">
        <v>30108.9</v>
      </c>
      <c r="T334" s="1">
        <v>33.090000000000003</v>
      </c>
      <c r="U334" s="1">
        <v>0.86</v>
      </c>
      <c r="V334" s="1">
        <v>9427.1</v>
      </c>
      <c r="W334" s="1">
        <v>30088.5</v>
      </c>
      <c r="X334" s="1">
        <v>600.87</v>
      </c>
      <c r="Y334" s="1">
        <v>1200</v>
      </c>
      <c r="Z334" s="1">
        <v>181926.5</v>
      </c>
      <c r="AA334" s="1">
        <v>33.090000000000003</v>
      </c>
    </row>
    <row r="335" spans="1:27" x14ac:dyDescent="0.4">
      <c r="A335" s="1" t="s">
        <v>98</v>
      </c>
      <c r="B335" s="1">
        <v>4000</v>
      </c>
      <c r="C335" s="1">
        <v>0.4</v>
      </c>
      <c r="D335" s="1">
        <v>0.5</v>
      </c>
      <c r="E335" s="1">
        <v>1000</v>
      </c>
      <c r="F335" s="1">
        <v>2</v>
      </c>
      <c r="G335" s="1">
        <v>4</v>
      </c>
      <c r="H335" s="1" t="s">
        <v>14</v>
      </c>
      <c r="I335" s="1">
        <v>271917.09999999998</v>
      </c>
      <c r="J335" s="1">
        <v>103980.4</v>
      </c>
      <c r="K335" s="1">
        <v>167936.7</v>
      </c>
      <c r="L335" s="1">
        <v>1200</v>
      </c>
      <c r="M335" s="1">
        <v>600.02</v>
      </c>
      <c r="N335" s="1">
        <v>62603.1</v>
      </c>
      <c r="O335" s="1">
        <v>92692.5</v>
      </c>
      <c r="P335" s="1">
        <v>155295.6</v>
      </c>
      <c r="Q335" s="1">
        <v>21370.400000000001</v>
      </c>
      <c r="R335" s="1">
        <v>10226.700000000001</v>
      </c>
      <c r="S335" s="1">
        <v>31597.1</v>
      </c>
      <c r="T335" s="1">
        <v>31.27</v>
      </c>
      <c r="U335" s="1">
        <v>0.82</v>
      </c>
      <c r="V335" s="1">
        <v>9967.6</v>
      </c>
      <c r="W335" s="1">
        <v>31338</v>
      </c>
      <c r="X335" s="1">
        <v>600.83000000000004</v>
      </c>
      <c r="Y335" s="1">
        <v>1200</v>
      </c>
      <c r="Z335" s="1">
        <v>186633.60000000001</v>
      </c>
      <c r="AA335" s="1">
        <v>31.36</v>
      </c>
    </row>
    <row r="336" spans="1:27" x14ac:dyDescent="0.4">
      <c r="A336" s="1" t="s">
        <v>98</v>
      </c>
      <c r="B336" s="1">
        <v>4000</v>
      </c>
      <c r="C336" s="1">
        <v>0.4</v>
      </c>
      <c r="D336" s="1">
        <v>0.5</v>
      </c>
      <c r="E336" s="1">
        <v>1000</v>
      </c>
      <c r="F336" s="1">
        <v>2</v>
      </c>
      <c r="G336" s="1">
        <v>4</v>
      </c>
      <c r="H336" s="1" t="s">
        <v>580</v>
      </c>
      <c r="I336" s="1">
        <v>271917.09999999998</v>
      </c>
      <c r="J336" s="1">
        <v>103980.4</v>
      </c>
      <c r="K336" s="1">
        <v>167936.7</v>
      </c>
      <c r="L336" s="1">
        <v>1200</v>
      </c>
      <c r="M336" s="1">
        <v>600.41999999999996</v>
      </c>
      <c r="N336" s="1">
        <v>63568</v>
      </c>
      <c r="O336" s="1">
        <v>92794.6</v>
      </c>
      <c r="P336" s="1">
        <v>156362.6</v>
      </c>
      <c r="Q336" s="1">
        <v>18906.7</v>
      </c>
      <c r="R336" s="1">
        <v>10723.9</v>
      </c>
      <c r="S336" s="1">
        <v>29630.6</v>
      </c>
      <c r="T336" s="1">
        <v>31.6</v>
      </c>
      <c r="U336" s="1">
        <v>2.25</v>
      </c>
      <c r="V336" s="1">
        <v>10403.700000000001</v>
      </c>
      <c r="W336" s="1">
        <v>29310.400000000001</v>
      </c>
      <c r="X336" s="1">
        <v>602.66999999999996</v>
      </c>
      <c r="Y336" s="1">
        <v>1199</v>
      </c>
      <c r="Z336" s="1">
        <v>185673</v>
      </c>
      <c r="AA336" s="1">
        <v>31.72</v>
      </c>
    </row>
    <row r="337" spans="1:27" x14ac:dyDescent="0.4">
      <c r="A337" s="1" t="s">
        <v>98</v>
      </c>
      <c r="B337" s="1">
        <v>4000</v>
      </c>
      <c r="C337" s="1">
        <v>0.4</v>
      </c>
      <c r="D337" s="1">
        <v>0.5</v>
      </c>
      <c r="E337" s="1">
        <v>1000</v>
      </c>
      <c r="F337" s="1">
        <v>2</v>
      </c>
      <c r="G337" s="1">
        <v>4</v>
      </c>
      <c r="H337" s="1" t="s">
        <v>15</v>
      </c>
      <c r="I337" s="1">
        <v>271917.09999999998</v>
      </c>
      <c r="J337" s="1">
        <v>103980.4</v>
      </c>
      <c r="K337" s="1">
        <v>167936.7</v>
      </c>
      <c r="L337" s="1">
        <v>1200</v>
      </c>
      <c r="M337" s="1">
        <v>600.01</v>
      </c>
      <c r="N337" s="1">
        <v>63360.1</v>
      </c>
      <c r="O337" s="1">
        <v>93462.6</v>
      </c>
      <c r="P337" s="1">
        <v>156822.70000000001</v>
      </c>
      <c r="Q337" s="1">
        <v>20985.9</v>
      </c>
      <c r="R337" s="1">
        <v>9232.1</v>
      </c>
      <c r="S337" s="1">
        <v>30218</v>
      </c>
      <c r="T337" s="1">
        <v>31.21</v>
      </c>
      <c r="U337" s="1">
        <v>0.7</v>
      </c>
      <c r="V337" s="1">
        <v>8899.7999999999993</v>
      </c>
      <c r="W337" s="1">
        <v>29885.7</v>
      </c>
      <c r="X337" s="1">
        <v>600.72</v>
      </c>
      <c r="Y337" s="1">
        <v>1199</v>
      </c>
      <c r="Z337" s="1">
        <v>186708.4</v>
      </c>
      <c r="AA337" s="1">
        <v>31.34</v>
      </c>
    </row>
    <row r="338" spans="1:27" x14ac:dyDescent="0.4">
      <c r="A338" s="1" t="s">
        <v>99</v>
      </c>
      <c r="B338" s="1">
        <v>4000</v>
      </c>
      <c r="C338" s="1">
        <v>0.4</v>
      </c>
      <c r="D338" s="1">
        <v>0.5</v>
      </c>
      <c r="E338" s="1">
        <v>1000</v>
      </c>
      <c r="F338" s="1">
        <v>2</v>
      </c>
      <c r="G338" s="1">
        <v>5</v>
      </c>
      <c r="H338" s="1" t="s">
        <v>592</v>
      </c>
      <c r="I338" s="1">
        <v>276548.7</v>
      </c>
      <c r="J338" s="1">
        <v>105846.5</v>
      </c>
      <c r="K338" s="1">
        <v>170702.2</v>
      </c>
      <c r="L338" s="1">
        <v>1200</v>
      </c>
      <c r="M338" s="1">
        <v>601.05999999999995</v>
      </c>
      <c r="N338" s="1">
        <v>63072.3</v>
      </c>
      <c r="O338" s="1">
        <v>93352.5</v>
      </c>
      <c r="P338" s="1">
        <v>156424.79999999999</v>
      </c>
      <c r="Q338" s="1">
        <v>20013.2</v>
      </c>
      <c r="R338" s="1">
        <v>9185.1</v>
      </c>
      <c r="S338" s="1">
        <v>29198.3</v>
      </c>
      <c r="T338" s="1">
        <v>32.880000000000003</v>
      </c>
      <c r="U338" s="1">
        <v>0.81</v>
      </c>
      <c r="V338" s="1">
        <v>9168.5</v>
      </c>
      <c r="W338" s="1">
        <v>29181.7</v>
      </c>
      <c r="X338" s="1">
        <v>601.87</v>
      </c>
      <c r="Y338" s="1">
        <v>1199</v>
      </c>
      <c r="Z338" s="1">
        <v>185606.5</v>
      </c>
      <c r="AA338" s="1">
        <v>32.880000000000003</v>
      </c>
    </row>
    <row r="339" spans="1:27" x14ac:dyDescent="0.4">
      <c r="A339" s="1" t="s">
        <v>99</v>
      </c>
      <c r="B339" s="1">
        <v>4000</v>
      </c>
      <c r="C339" s="1">
        <v>0.4</v>
      </c>
      <c r="D339" s="1">
        <v>0.5</v>
      </c>
      <c r="E339" s="1">
        <v>1000</v>
      </c>
      <c r="F339" s="1">
        <v>2</v>
      </c>
      <c r="G339" s="1">
        <v>5</v>
      </c>
      <c r="H339" s="1" t="s">
        <v>14</v>
      </c>
      <c r="I339" s="1">
        <v>276548.7</v>
      </c>
      <c r="J339" s="1">
        <v>105846.5</v>
      </c>
      <c r="K339" s="1">
        <v>170702.2</v>
      </c>
      <c r="L339" s="1">
        <v>1200</v>
      </c>
      <c r="M339" s="1">
        <v>600.01</v>
      </c>
      <c r="N339" s="1">
        <v>64264.800000000003</v>
      </c>
      <c r="O339" s="1">
        <v>96727.4</v>
      </c>
      <c r="P339" s="1">
        <v>160992.20000000001</v>
      </c>
      <c r="Q339" s="1">
        <v>20888.400000000001</v>
      </c>
      <c r="R339" s="1">
        <v>10051.5</v>
      </c>
      <c r="S339" s="1">
        <v>30939.9</v>
      </c>
      <c r="T339" s="1">
        <v>30.6</v>
      </c>
      <c r="U339" s="1">
        <v>0.61</v>
      </c>
      <c r="V339" s="1">
        <v>9704.2999999999993</v>
      </c>
      <c r="W339" s="1">
        <v>30592.7</v>
      </c>
      <c r="X339" s="1">
        <v>600.61</v>
      </c>
      <c r="Y339" s="1">
        <v>1200</v>
      </c>
      <c r="Z339" s="1">
        <v>191584.9</v>
      </c>
      <c r="AA339" s="1">
        <v>30.72</v>
      </c>
    </row>
    <row r="340" spans="1:27" x14ac:dyDescent="0.4">
      <c r="A340" s="1" t="s">
        <v>99</v>
      </c>
      <c r="B340" s="1">
        <v>4000</v>
      </c>
      <c r="C340" s="1">
        <v>0.4</v>
      </c>
      <c r="D340" s="1">
        <v>0.5</v>
      </c>
      <c r="E340" s="1">
        <v>1000</v>
      </c>
      <c r="F340" s="1">
        <v>2</v>
      </c>
      <c r="G340" s="1">
        <v>5</v>
      </c>
      <c r="H340" s="1" t="s">
        <v>580</v>
      </c>
      <c r="I340" s="1">
        <v>276548.7</v>
      </c>
      <c r="J340" s="1">
        <v>105846.5</v>
      </c>
      <c r="K340" s="1">
        <v>170702.2</v>
      </c>
      <c r="L340" s="1">
        <v>1200</v>
      </c>
      <c r="M340" s="1">
        <v>600.01</v>
      </c>
      <c r="N340" s="1">
        <v>63102.1</v>
      </c>
      <c r="O340" s="1">
        <v>94854.9</v>
      </c>
      <c r="P340" s="1">
        <v>157957</v>
      </c>
      <c r="Q340" s="1">
        <v>19509.5</v>
      </c>
      <c r="R340" s="1">
        <v>10947.8</v>
      </c>
      <c r="S340" s="1">
        <v>30457.3</v>
      </c>
      <c r="T340" s="1">
        <v>31.87</v>
      </c>
      <c r="U340" s="1">
        <v>1.92</v>
      </c>
      <c r="V340" s="1">
        <v>10467</v>
      </c>
      <c r="W340" s="1">
        <v>29976.5</v>
      </c>
      <c r="X340" s="1">
        <v>601.92999999999995</v>
      </c>
      <c r="Y340" s="1">
        <v>1200</v>
      </c>
      <c r="Z340" s="1">
        <v>187933.5</v>
      </c>
      <c r="AA340" s="1">
        <v>32.04</v>
      </c>
    </row>
    <row r="341" spans="1:27" x14ac:dyDescent="0.4">
      <c r="A341" s="1" t="s">
        <v>99</v>
      </c>
      <c r="B341" s="1">
        <v>4000</v>
      </c>
      <c r="C341" s="1">
        <v>0.4</v>
      </c>
      <c r="D341" s="1">
        <v>0.5</v>
      </c>
      <c r="E341" s="1">
        <v>1000</v>
      </c>
      <c r="F341" s="1">
        <v>2</v>
      </c>
      <c r="G341" s="1">
        <v>5</v>
      </c>
      <c r="H341" s="1" t="s">
        <v>15</v>
      </c>
      <c r="I341" s="1">
        <v>276548.7</v>
      </c>
      <c r="J341" s="1">
        <v>105846.5</v>
      </c>
      <c r="K341" s="1">
        <v>170702.2</v>
      </c>
      <c r="L341" s="1">
        <v>1200</v>
      </c>
      <c r="M341" s="1">
        <v>600.12</v>
      </c>
      <c r="N341" s="1">
        <v>63696.3</v>
      </c>
      <c r="O341" s="1">
        <v>94487.2</v>
      </c>
      <c r="P341" s="1">
        <v>158183.5</v>
      </c>
      <c r="Q341" s="1">
        <v>21219</v>
      </c>
      <c r="R341" s="1">
        <v>9130.7000000000007</v>
      </c>
      <c r="S341" s="1">
        <v>30349.7</v>
      </c>
      <c r="T341" s="1">
        <v>31.83</v>
      </c>
      <c r="U341" s="1">
        <v>0.71</v>
      </c>
      <c r="V341" s="1">
        <v>8896.7999999999993</v>
      </c>
      <c r="W341" s="1">
        <v>30115.8</v>
      </c>
      <c r="X341" s="1">
        <v>600.82000000000005</v>
      </c>
      <c r="Y341" s="1">
        <v>1200</v>
      </c>
      <c r="Z341" s="1">
        <v>188299.3</v>
      </c>
      <c r="AA341" s="1">
        <v>31.91</v>
      </c>
    </row>
    <row r="342" spans="1:27" x14ac:dyDescent="0.4">
      <c r="A342" s="1" t="s">
        <v>100</v>
      </c>
      <c r="B342" s="1">
        <v>4000</v>
      </c>
      <c r="C342" s="1">
        <v>0.4</v>
      </c>
      <c r="D342" s="1">
        <v>0.5</v>
      </c>
      <c r="E342" s="1">
        <v>1000</v>
      </c>
      <c r="F342" s="1">
        <v>3</v>
      </c>
      <c r="G342" s="1">
        <v>1</v>
      </c>
      <c r="H342" s="1" t="s">
        <v>592</v>
      </c>
      <c r="I342" s="1">
        <v>341551.3</v>
      </c>
      <c r="J342" s="1">
        <v>129094.3</v>
      </c>
      <c r="K342" s="1">
        <v>212457</v>
      </c>
      <c r="L342" s="1">
        <v>1200</v>
      </c>
      <c r="M342" s="1">
        <v>600.29999999999995</v>
      </c>
      <c r="N342" s="1">
        <v>76350.600000000006</v>
      </c>
      <c r="O342" s="1">
        <v>117521</v>
      </c>
      <c r="P342" s="1">
        <v>193871.6</v>
      </c>
      <c r="Q342" s="1">
        <v>20603.5</v>
      </c>
      <c r="R342" s="1">
        <v>9493.2000000000007</v>
      </c>
      <c r="S342" s="1">
        <v>30096.7</v>
      </c>
      <c r="T342" s="1">
        <v>34.43</v>
      </c>
      <c r="U342" s="1">
        <v>1.06</v>
      </c>
      <c r="V342" s="1">
        <v>9476.9</v>
      </c>
      <c r="W342" s="1">
        <v>30080.400000000001</v>
      </c>
      <c r="X342" s="1">
        <v>601.36</v>
      </c>
      <c r="Y342" s="1">
        <v>1200</v>
      </c>
      <c r="Z342" s="1">
        <v>223952</v>
      </c>
      <c r="AA342" s="1">
        <v>34.43</v>
      </c>
    </row>
    <row r="343" spans="1:27" x14ac:dyDescent="0.4">
      <c r="A343" s="1" t="s">
        <v>100</v>
      </c>
      <c r="B343" s="1">
        <v>4000</v>
      </c>
      <c r="C343" s="1">
        <v>0.4</v>
      </c>
      <c r="D343" s="1">
        <v>0.5</v>
      </c>
      <c r="E343" s="1">
        <v>1000</v>
      </c>
      <c r="F343" s="1">
        <v>3</v>
      </c>
      <c r="G343" s="1">
        <v>1</v>
      </c>
      <c r="H343" s="1" t="s">
        <v>14</v>
      </c>
      <c r="I343" s="1">
        <v>341551.3</v>
      </c>
      <c r="J343" s="1">
        <v>129094.3</v>
      </c>
      <c r="K343" s="1">
        <v>212457</v>
      </c>
      <c r="L343" s="1">
        <v>1200</v>
      </c>
      <c r="M343" s="1">
        <v>600.01</v>
      </c>
      <c r="N343" s="1">
        <v>77674.100000000006</v>
      </c>
      <c r="O343" s="1">
        <v>119458.9</v>
      </c>
      <c r="P343" s="1">
        <v>197133</v>
      </c>
      <c r="Q343" s="1">
        <v>20539</v>
      </c>
      <c r="R343" s="1">
        <v>10230.4</v>
      </c>
      <c r="S343" s="1">
        <v>30769.4</v>
      </c>
      <c r="T343" s="1">
        <v>33.270000000000003</v>
      </c>
      <c r="U343" s="1">
        <v>0.98</v>
      </c>
      <c r="V343" s="1">
        <v>9884.2999999999993</v>
      </c>
      <c r="W343" s="1">
        <v>30423.3</v>
      </c>
      <c r="X343" s="1">
        <v>600.99</v>
      </c>
      <c r="Y343" s="1">
        <v>1200</v>
      </c>
      <c r="Z343" s="1">
        <v>227556.3</v>
      </c>
      <c r="AA343" s="1">
        <v>33.380000000000003</v>
      </c>
    </row>
    <row r="344" spans="1:27" x14ac:dyDescent="0.4">
      <c r="A344" s="1" t="s">
        <v>100</v>
      </c>
      <c r="B344" s="1">
        <v>4000</v>
      </c>
      <c r="C344" s="1">
        <v>0.4</v>
      </c>
      <c r="D344" s="1">
        <v>0.5</v>
      </c>
      <c r="E344" s="1">
        <v>1000</v>
      </c>
      <c r="F344" s="1">
        <v>3</v>
      </c>
      <c r="G344" s="1">
        <v>1</v>
      </c>
      <c r="H344" s="1" t="s">
        <v>580</v>
      </c>
      <c r="I344" s="1">
        <v>341551.3</v>
      </c>
      <c r="J344" s="1">
        <v>129094.3</v>
      </c>
      <c r="K344" s="1">
        <v>212457</v>
      </c>
      <c r="L344" s="1">
        <v>1200</v>
      </c>
      <c r="M344" s="1">
        <v>600.26</v>
      </c>
      <c r="N344" s="1">
        <v>77237.100000000006</v>
      </c>
      <c r="O344" s="1">
        <v>118482.7</v>
      </c>
      <c r="P344" s="1">
        <v>195719.8</v>
      </c>
      <c r="Q344" s="1">
        <v>19805.5</v>
      </c>
      <c r="R344" s="1">
        <v>10731.8</v>
      </c>
      <c r="S344" s="1">
        <v>30537.3</v>
      </c>
      <c r="T344" s="1">
        <v>33.76</v>
      </c>
      <c r="U344" s="1">
        <v>1.88</v>
      </c>
      <c r="V344" s="1">
        <v>10071.4</v>
      </c>
      <c r="W344" s="1">
        <v>29876.9</v>
      </c>
      <c r="X344" s="1">
        <v>602.14</v>
      </c>
      <c r="Y344" s="1">
        <v>1200</v>
      </c>
      <c r="Z344" s="1">
        <v>225596.7</v>
      </c>
      <c r="AA344" s="1">
        <v>33.950000000000003</v>
      </c>
    </row>
    <row r="345" spans="1:27" x14ac:dyDescent="0.4">
      <c r="A345" s="1" t="s">
        <v>100</v>
      </c>
      <c r="B345" s="1">
        <v>4000</v>
      </c>
      <c r="C345" s="1">
        <v>0.4</v>
      </c>
      <c r="D345" s="1">
        <v>0.5</v>
      </c>
      <c r="E345" s="1">
        <v>1000</v>
      </c>
      <c r="F345" s="1">
        <v>3</v>
      </c>
      <c r="G345" s="1">
        <v>1</v>
      </c>
      <c r="H345" s="1" t="s">
        <v>15</v>
      </c>
      <c r="I345" s="1">
        <v>341551.3</v>
      </c>
      <c r="J345" s="1">
        <v>129094.3</v>
      </c>
      <c r="K345" s="1">
        <v>212457</v>
      </c>
      <c r="L345" s="1">
        <v>1200</v>
      </c>
      <c r="M345" s="1">
        <v>600.44000000000005</v>
      </c>
      <c r="N345" s="1">
        <v>76837.600000000006</v>
      </c>
      <c r="O345" s="1">
        <v>117061.5</v>
      </c>
      <c r="P345" s="1">
        <v>193899.1</v>
      </c>
      <c r="Q345" s="1">
        <v>21097.1</v>
      </c>
      <c r="R345" s="1">
        <v>9354.7999999999993</v>
      </c>
      <c r="S345" s="1">
        <v>30451.9</v>
      </c>
      <c r="T345" s="1">
        <v>34.31</v>
      </c>
      <c r="U345" s="1">
        <v>0.84</v>
      </c>
      <c r="V345" s="1">
        <v>9079</v>
      </c>
      <c r="W345" s="1">
        <v>30176.1</v>
      </c>
      <c r="X345" s="1">
        <v>601.28</v>
      </c>
      <c r="Y345" s="1">
        <v>1200</v>
      </c>
      <c r="Z345" s="1">
        <v>224075.2</v>
      </c>
      <c r="AA345" s="1">
        <v>34.39</v>
      </c>
    </row>
    <row r="346" spans="1:27" x14ac:dyDescent="0.4">
      <c r="A346" s="1" t="s">
        <v>101</v>
      </c>
      <c r="B346" s="1">
        <v>4000</v>
      </c>
      <c r="C346" s="1">
        <v>0.4</v>
      </c>
      <c r="D346" s="1">
        <v>0.5</v>
      </c>
      <c r="E346" s="1">
        <v>1000</v>
      </c>
      <c r="F346" s="1">
        <v>3</v>
      </c>
      <c r="G346" s="1">
        <v>2</v>
      </c>
      <c r="H346" s="1" t="s">
        <v>592</v>
      </c>
      <c r="I346" s="1">
        <v>359905</v>
      </c>
      <c r="J346" s="1">
        <v>140692.79999999999</v>
      </c>
      <c r="K346" s="1">
        <v>219212.2</v>
      </c>
      <c r="L346" s="1">
        <v>1200</v>
      </c>
      <c r="M346" s="1">
        <v>601.30999999999995</v>
      </c>
      <c r="N346" s="1">
        <v>83314.399999999994</v>
      </c>
      <c r="O346" s="1">
        <v>121338</v>
      </c>
      <c r="P346" s="1">
        <v>204652.4</v>
      </c>
      <c r="Q346" s="1">
        <v>20571.3</v>
      </c>
      <c r="R346" s="1">
        <v>9323.7999999999993</v>
      </c>
      <c r="S346" s="1">
        <v>29895.1</v>
      </c>
      <c r="T346" s="1">
        <v>34.83</v>
      </c>
      <c r="U346" s="1">
        <v>0.96</v>
      </c>
      <c r="V346" s="1">
        <v>9311</v>
      </c>
      <c r="W346" s="1">
        <v>29882.3</v>
      </c>
      <c r="X346" s="1">
        <v>602.26</v>
      </c>
      <c r="Y346" s="1">
        <v>1199</v>
      </c>
      <c r="Z346" s="1">
        <v>234534.7</v>
      </c>
      <c r="AA346" s="1">
        <v>34.83</v>
      </c>
    </row>
    <row r="347" spans="1:27" x14ac:dyDescent="0.4">
      <c r="A347" s="1" t="s">
        <v>101</v>
      </c>
      <c r="B347" s="1">
        <v>4000</v>
      </c>
      <c r="C347" s="1">
        <v>0.4</v>
      </c>
      <c r="D347" s="1">
        <v>0.5</v>
      </c>
      <c r="E347" s="1">
        <v>1000</v>
      </c>
      <c r="F347" s="1">
        <v>3</v>
      </c>
      <c r="G347" s="1">
        <v>2</v>
      </c>
      <c r="H347" s="1" t="s">
        <v>14</v>
      </c>
      <c r="I347" s="1">
        <v>359905</v>
      </c>
      <c r="J347" s="1">
        <v>140692.79999999999</v>
      </c>
      <c r="K347" s="1">
        <v>219212.2</v>
      </c>
      <c r="L347" s="1">
        <v>1200</v>
      </c>
      <c r="M347" s="1">
        <v>600.01</v>
      </c>
      <c r="N347" s="1">
        <v>85669.8</v>
      </c>
      <c r="O347" s="1">
        <v>125302</v>
      </c>
      <c r="P347" s="1">
        <v>210971.8</v>
      </c>
      <c r="Q347" s="1">
        <v>21672.6</v>
      </c>
      <c r="R347" s="1">
        <v>9941.7999999999993</v>
      </c>
      <c r="S347" s="1">
        <v>31614.400000000001</v>
      </c>
      <c r="T347" s="1">
        <v>32.6</v>
      </c>
      <c r="U347" s="1">
        <v>0.96</v>
      </c>
      <c r="V347" s="1">
        <v>9474.2999999999993</v>
      </c>
      <c r="W347" s="1">
        <v>31146.9</v>
      </c>
      <c r="X347" s="1">
        <v>600.97</v>
      </c>
      <c r="Y347" s="1">
        <v>1200</v>
      </c>
      <c r="Z347" s="1">
        <v>242118.7</v>
      </c>
      <c r="AA347" s="1">
        <v>32.729999999999997</v>
      </c>
    </row>
    <row r="348" spans="1:27" x14ac:dyDescent="0.4">
      <c r="A348" s="1" t="s">
        <v>101</v>
      </c>
      <c r="B348" s="1">
        <v>4000</v>
      </c>
      <c r="C348" s="1">
        <v>0.4</v>
      </c>
      <c r="D348" s="1">
        <v>0.5</v>
      </c>
      <c r="E348" s="1">
        <v>1000</v>
      </c>
      <c r="F348" s="1">
        <v>3</v>
      </c>
      <c r="G348" s="1">
        <v>2</v>
      </c>
      <c r="H348" s="1" t="s">
        <v>580</v>
      </c>
      <c r="I348" s="1">
        <v>359905</v>
      </c>
      <c r="J348" s="1">
        <v>140692.79999999999</v>
      </c>
      <c r="K348" s="1">
        <v>219212.2</v>
      </c>
      <c r="L348" s="1">
        <v>1200</v>
      </c>
      <c r="M348" s="1">
        <v>600.01</v>
      </c>
      <c r="N348" s="1">
        <v>84774.2</v>
      </c>
      <c r="O348" s="1">
        <v>124034.4</v>
      </c>
      <c r="P348" s="1">
        <v>208808.6</v>
      </c>
      <c r="Q348" s="1">
        <v>19984.7</v>
      </c>
      <c r="R348" s="1">
        <v>10457</v>
      </c>
      <c r="S348" s="1">
        <v>30441.7</v>
      </c>
      <c r="T348" s="1">
        <v>33.520000000000003</v>
      </c>
      <c r="U348" s="1">
        <v>1.87</v>
      </c>
      <c r="V348" s="1">
        <v>9893</v>
      </c>
      <c r="W348" s="1">
        <v>29877.7</v>
      </c>
      <c r="X348" s="1">
        <v>601.88</v>
      </c>
      <c r="Y348" s="1">
        <v>1200</v>
      </c>
      <c r="Z348" s="1">
        <v>238686.3</v>
      </c>
      <c r="AA348" s="1">
        <v>33.68</v>
      </c>
    </row>
    <row r="349" spans="1:27" x14ac:dyDescent="0.4">
      <c r="A349" s="1" t="s">
        <v>101</v>
      </c>
      <c r="B349" s="1">
        <v>4000</v>
      </c>
      <c r="C349" s="1">
        <v>0.4</v>
      </c>
      <c r="D349" s="1">
        <v>0.5</v>
      </c>
      <c r="E349" s="1">
        <v>1000</v>
      </c>
      <c r="F349" s="1">
        <v>3</v>
      </c>
      <c r="G349" s="1">
        <v>2</v>
      </c>
      <c r="H349" s="1" t="s">
        <v>15</v>
      </c>
      <c r="I349" s="1">
        <v>359905</v>
      </c>
      <c r="J349" s="1">
        <v>140692.79999999999</v>
      </c>
      <c r="K349" s="1">
        <v>219212.2</v>
      </c>
      <c r="L349" s="1">
        <v>1200</v>
      </c>
      <c r="M349" s="1">
        <v>600.12</v>
      </c>
      <c r="N349" s="1">
        <v>83687.5</v>
      </c>
      <c r="O349" s="1">
        <v>123010.1</v>
      </c>
      <c r="P349" s="1">
        <v>206697.60000000001</v>
      </c>
      <c r="Q349" s="1">
        <v>21354</v>
      </c>
      <c r="R349" s="1">
        <v>9295.6</v>
      </c>
      <c r="S349" s="1">
        <v>30649.599999999999</v>
      </c>
      <c r="T349" s="1">
        <v>34.049999999999997</v>
      </c>
      <c r="U349" s="1">
        <v>0.77</v>
      </c>
      <c r="V349" s="1">
        <v>9020.6</v>
      </c>
      <c r="W349" s="1">
        <v>30374.6</v>
      </c>
      <c r="X349" s="1">
        <v>600.89</v>
      </c>
      <c r="Y349" s="1">
        <v>1200</v>
      </c>
      <c r="Z349" s="1">
        <v>237072.2</v>
      </c>
      <c r="AA349" s="1">
        <v>34.130000000000003</v>
      </c>
    </row>
    <row r="350" spans="1:27" x14ac:dyDescent="0.4">
      <c r="A350" s="1" t="s">
        <v>102</v>
      </c>
      <c r="B350" s="1">
        <v>4000</v>
      </c>
      <c r="C350" s="1">
        <v>0.4</v>
      </c>
      <c r="D350" s="1">
        <v>0.5</v>
      </c>
      <c r="E350" s="1">
        <v>1000</v>
      </c>
      <c r="F350" s="1">
        <v>3</v>
      </c>
      <c r="G350" s="1">
        <v>3</v>
      </c>
      <c r="H350" s="1" t="s">
        <v>592</v>
      </c>
      <c r="I350" s="1">
        <v>346084.2</v>
      </c>
      <c r="J350" s="1">
        <v>139484.70000000001</v>
      </c>
      <c r="K350" s="1">
        <v>206599.5</v>
      </c>
      <c r="L350" s="1">
        <v>1200</v>
      </c>
      <c r="M350" s="1">
        <v>600.03</v>
      </c>
      <c r="N350" s="1">
        <v>82850.3</v>
      </c>
      <c r="O350" s="1">
        <v>115409.1</v>
      </c>
      <c r="P350" s="1">
        <v>198259.4</v>
      </c>
      <c r="Q350" s="1">
        <v>20396.7</v>
      </c>
      <c r="R350" s="1">
        <v>8612</v>
      </c>
      <c r="S350" s="1">
        <v>29008.7</v>
      </c>
      <c r="T350" s="1">
        <v>34.33</v>
      </c>
      <c r="U350" s="1">
        <v>0.87</v>
      </c>
      <c r="V350" s="1">
        <v>8595.4</v>
      </c>
      <c r="W350" s="1">
        <v>28992.1</v>
      </c>
      <c r="X350" s="1">
        <v>600.89</v>
      </c>
      <c r="Y350" s="1">
        <v>1199</v>
      </c>
      <c r="Z350" s="1">
        <v>227251.5</v>
      </c>
      <c r="AA350" s="1">
        <v>34.340000000000003</v>
      </c>
    </row>
    <row r="351" spans="1:27" x14ac:dyDescent="0.4">
      <c r="A351" s="1" t="s">
        <v>102</v>
      </c>
      <c r="B351" s="1">
        <v>4000</v>
      </c>
      <c r="C351" s="1">
        <v>0.4</v>
      </c>
      <c r="D351" s="1">
        <v>0.5</v>
      </c>
      <c r="E351" s="1">
        <v>1000</v>
      </c>
      <c r="F351" s="1">
        <v>3</v>
      </c>
      <c r="G351" s="1">
        <v>3</v>
      </c>
      <c r="H351" s="1" t="s">
        <v>14</v>
      </c>
      <c r="I351" s="1">
        <v>346084.2</v>
      </c>
      <c r="J351" s="1">
        <v>139484.70000000001</v>
      </c>
      <c r="K351" s="1">
        <v>206599.5</v>
      </c>
      <c r="L351" s="1">
        <v>1200</v>
      </c>
      <c r="M351" s="1">
        <v>600.03</v>
      </c>
      <c r="N351" s="1">
        <v>83895.1</v>
      </c>
      <c r="O351" s="1">
        <v>118123.3</v>
      </c>
      <c r="P351" s="1">
        <v>202018.4</v>
      </c>
      <c r="Q351" s="1">
        <v>20995</v>
      </c>
      <c r="R351" s="1">
        <v>9539.1</v>
      </c>
      <c r="S351" s="1">
        <v>30534.1</v>
      </c>
      <c r="T351" s="1">
        <v>32.799999999999997</v>
      </c>
      <c r="U351" s="1">
        <v>1.02</v>
      </c>
      <c r="V351" s="1">
        <v>9225.5</v>
      </c>
      <c r="W351" s="1">
        <v>30220.5</v>
      </c>
      <c r="X351" s="1">
        <v>601.04999999999995</v>
      </c>
      <c r="Y351" s="1">
        <v>1200</v>
      </c>
      <c r="Z351" s="1">
        <v>232238.9</v>
      </c>
      <c r="AA351" s="1">
        <v>32.9</v>
      </c>
    </row>
    <row r="352" spans="1:27" x14ac:dyDescent="0.4">
      <c r="A352" s="1" t="s">
        <v>102</v>
      </c>
      <c r="B352" s="1">
        <v>4000</v>
      </c>
      <c r="C352" s="1">
        <v>0.4</v>
      </c>
      <c r="D352" s="1">
        <v>0.5</v>
      </c>
      <c r="E352" s="1">
        <v>1000</v>
      </c>
      <c r="F352" s="1">
        <v>3</v>
      </c>
      <c r="G352" s="1">
        <v>3</v>
      </c>
      <c r="H352" s="1" t="s">
        <v>580</v>
      </c>
      <c r="I352" s="1">
        <v>346084.2</v>
      </c>
      <c r="J352" s="1">
        <v>139484.70000000001</v>
      </c>
      <c r="K352" s="1">
        <v>206599.5</v>
      </c>
      <c r="L352" s="1">
        <v>1200</v>
      </c>
      <c r="M352" s="1">
        <v>600.49</v>
      </c>
      <c r="N352" s="1">
        <v>83644.800000000003</v>
      </c>
      <c r="O352" s="1">
        <v>115531.7</v>
      </c>
      <c r="P352" s="1">
        <v>199176.5</v>
      </c>
      <c r="Q352" s="1">
        <v>19829.900000000001</v>
      </c>
      <c r="R352" s="1">
        <v>10301.700000000001</v>
      </c>
      <c r="S352" s="1">
        <v>30131.599999999999</v>
      </c>
      <c r="T352" s="1">
        <v>33.74</v>
      </c>
      <c r="U352" s="1">
        <v>2.5</v>
      </c>
      <c r="V352" s="1">
        <v>9637</v>
      </c>
      <c r="W352" s="1">
        <v>29466.9</v>
      </c>
      <c r="X352" s="1">
        <v>602.98</v>
      </c>
      <c r="Y352" s="1">
        <v>1200</v>
      </c>
      <c r="Z352" s="1">
        <v>228643.4</v>
      </c>
      <c r="AA352" s="1">
        <v>33.93</v>
      </c>
    </row>
    <row r="353" spans="1:27" x14ac:dyDescent="0.4">
      <c r="A353" s="1" t="s">
        <v>102</v>
      </c>
      <c r="B353" s="1">
        <v>4000</v>
      </c>
      <c r="C353" s="1">
        <v>0.4</v>
      </c>
      <c r="D353" s="1">
        <v>0.5</v>
      </c>
      <c r="E353" s="1">
        <v>1000</v>
      </c>
      <c r="F353" s="1">
        <v>3</v>
      </c>
      <c r="G353" s="1">
        <v>3</v>
      </c>
      <c r="H353" s="1" t="s">
        <v>15</v>
      </c>
      <c r="I353" s="1">
        <v>346084.2</v>
      </c>
      <c r="J353" s="1">
        <v>139484.70000000001</v>
      </c>
      <c r="K353" s="1">
        <v>206599.5</v>
      </c>
      <c r="L353" s="1">
        <v>1200</v>
      </c>
      <c r="M353" s="1">
        <v>600.35</v>
      </c>
      <c r="N353" s="1">
        <v>84001.7</v>
      </c>
      <c r="O353" s="1">
        <v>117724.1</v>
      </c>
      <c r="P353" s="1">
        <v>201725.8</v>
      </c>
      <c r="Q353" s="1">
        <v>20929.7</v>
      </c>
      <c r="R353" s="1">
        <v>8690.2999999999993</v>
      </c>
      <c r="S353" s="1">
        <v>29620</v>
      </c>
      <c r="T353" s="1">
        <v>33.15</v>
      </c>
      <c r="U353" s="1">
        <v>0.8</v>
      </c>
      <c r="V353" s="1">
        <v>8541.4</v>
      </c>
      <c r="W353" s="1">
        <v>29471.1</v>
      </c>
      <c r="X353" s="1">
        <v>601.15</v>
      </c>
      <c r="Y353" s="1">
        <v>1200</v>
      </c>
      <c r="Z353" s="1">
        <v>231196.9</v>
      </c>
      <c r="AA353" s="1">
        <v>33.200000000000003</v>
      </c>
    </row>
    <row r="354" spans="1:27" x14ac:dyDescent="0.4">
      <c r="A354" s="1" t="s">
        <v>103</v>
      </c>
      <c r="B354" s="1">
        <v>4000</v>
      </c>
      <c r="C354" s="1">
        <v>0.4</v>
      </c>
      <c r="D354" s="1">
        <v>0.5</v>
      </c>
      <c r="E354" s="1">
        <v>1000</v>
      </c>
      <c r="F354" s="1">
        <v>3</v>
      </c>
      <c r="G354" s="1">
        <v>4</v>
      </c>
      <c r="H354" s="1" t="s">
        <v>592</v>
      </c>
      <c r="I354" s="1">
        <v>368365.6</v>
      </c>
      <c r="J354" s="1">
        <v>138650.29999999999</v>
      </c>
      <c r="K354" s="1">
        <v>229715.3</v>
      </c>
      <c r="L354" s="1">
        <v>1200</v>
      </c>
      <c r="M354" s="1">
        <v>601.80999999999995</v>
      </c>
      <c r="N354" s="1">
        <v>82791.100000000006</v>
      </c>
      <c r="O354" s="1">
        <v>127630.3</v>
      </c>
      <c r="P354" s="1">
        <v>210421.4</v>
      </c>
      <c r="Q354" s="1">
        <v>20936.8</v>
      </c>
      <c r="R354" s="1">
        <v>9224.2999999999993</v>
      </c>
      <c r="S354" s="1">
        <v>30161.1</v>
      </c>
      <c r="T354" s="1">
        <v>34.69</v>
      </c>
      <c r="U354" s="1">
        <v>0.93</v>
      </c>
      <c r="V354" s="1">
        <v>9224.2999999999993</v>
      </c>
      <c r="W354" s="1">
        <v>30161.1</v>
      </c>
      <c r="X354" s="1">
        <v>602.74</v>
      </c>
      <c r="Y354" s="1">
        <v>1200</v>
      </c>
      <c r="Z354" s="1">
        <v>240582.5</v>
      </c>
      <c r="AA354" s="1">
        <v>34.69</v>
      </c>
    </row>
    <row r="355" spans="1:27" x14ac:dyDescent="0.4">
      <c r="A355" s="1" t="s">
        <v>103</v>
      </c>
      <c r="B355" s="1">
        <v>4000</v>
      </c>
      <c r="C355" s="1">
        <v>0.4</v>
      </c>
      <c r="D355" s="1">
        <v>0.5</v>
      </c>
      <c r="E355" s="1">
        <v>1000</v>
      </c>
      <c r="F355" s="1">
        <v>3</v>
      </c>
      <c r="G355" s="1">
        <v>4</v>
      </c>
      <c r="H355" s="1" t="s">
        <v>14</v>
      </c>
      <c r="I355" s="1">
        <v>368365.6</v>
      </c>
      <c r="J355" s="1">
        <v>138650.29999999999</v>
      </c>
      <c r="K355" s="1">
        <v>229715.3</v>
      </c>
      <c r="L355" s="1">
        <v>1200</v>
      </c>
      <c r="M355" s="1">
        <v>600.02</v>
      </c>
      <c r="N355" s="1">
        <v>84605.7</v>
      </c>
      <c r="O355" s="1">
        <v>131942.29999999999</v>
      </c>
      <c r="P355" s="1">
        <v>216548</v>
      </c>
      <c r="Q355" s="1">
        <v>21193.5</v>
      </c>
      <c r="R355" s="1">
        <v>10145.9</v>
      </c>
      <c r="S355" s="1">
        <v>31339.4</v>
      </c>
      <c r="T355" s="1">
        <v>32.71</v>
      </c>
      <c r="U355" s="1">
        <v>0.79</v>
      </c>
      <c r="V355" s="1">
        <v>9696.1</v>
      </c>
      <c r="W355" s="1">
        <v>30889.599999999999</v>
      </c>
      <c r="X355" s="1">
        <v>600.79999999999995</v>
      </c>
      <c r="Y355" s="1">
        <v>1200</v>
      </c>
      <c r="Z355" s="1">
        <v>247437.6</v>
      </c>
      <c r="AA355" s="1">
        <v>32.83</v>
      </c>
    </row>
    <row r="356" spans="1:27" x14ac:dyDescent="0.4">
      <c r="A356" s="1" t="s">
        <v>103</v>
      </c>
      <c r="B356" s="1">
        <v>4000</v>
      </c>
      <c r="C356" s="1">
        <v>0.4</v>
      </c>
      <c r="D356" s="1">
        <v>0.5</v>
      </c>
      <c r="E356" s="1">
        <v>1000</v>
      </c>
      <c r="F356" s="1">
        <v>3</v>
      </c>
      <c r="G356" s="1">
        <v>4</v>
      </c>
      <c r="H356" s="1" t="s">
        <v>580</v>
      </c>
      <c r="I356" s="1">
        <v>368365.6</v>
      </c>
      <c r="J356" s="1">
        <v>138650.29999999999</v>
      </c>
      <c r="K356" s="1">
        <v>229715.3</v>
      </c>
      <c r="L356" s="1">
        <v>1200</v>
      </c>
      <c r="M356" s="1">
        <v>600.02</v>
      </c>
      <c r="N356" s="1">
        <v>83889.1</v>
      </c>
      <c r="O356" s="1">
        <v>129653.2</v>
      </c>
      <c r="P356" s="1">
        <v>213542.3</v>
      </c>
      <c r="Q356" s="1">
        <v>20294.8</v>
      </c>
      <c r="R356" s="1">
        <v>10738.9</v>
      </c>
      <c r="S356" s="1">
        <v>31033.7</v>
      </c>
      <c r="T356" s="1">
        <v>33.61</v>
      </c>
      <c r="U356" s="1">
        <v>1.46</v>
      </c>
      <c r="V356" s="1">
        <v>10030.200000000001</v>
      </c>
      <c r="W356" s="1">
        <v>30325</v>
      </c>
      <c r="X356" s="1">
        <v>601.48</v>
      </c>
      <c r="Y356" s="1">
        <v>1200</v>
      </c>
      <c r="Z356" s="1">
        <v>243867.3</v>
      </c>
      <c r="AA356" s="1">
        <v>33.799999999999997</v>
      </c>
    </row>
    <row r="357" spans="1:27" x14ac:dyDescent="0.4">
      <c r="A357" s="1" t="s">
        <v>103</v>
      </c>
      <c r="B357" s="1">
        <v>4000</v>
      </c>
      <c r="C357" s="1">
        <v>0.4</v>
      </c>
      <c r="D357" s="1">
        <v>0.5</v>
      </c>
      <c r="E357" s="1">
        <v>1000</v>
      </c>
      <c r="F357" s="1">
        <v>3</v>
      </c>
      <c r="G357" s="1">
        <v>4</v>
      </c>
      <c r="H357" s="1" t="s">
        <v>15</v>
      </c>
      <c r="I357" s="1">
        <v>368365.6</v>
      </c>
      <c r="J357" s="1">
        <v>138650.29999999999</v>
      </c>
      <c r="K357" s="1">
        <v>229715.3</v>
      </c>
      <c r="L357" s="1">
        <v>1200</v>
      </c>
      <c r="M357" s="1">
        <v>600.41999999999996</v>
      </c>
      <c r="N357" s="1">
        <v>84279.1</v>
      </c>
      <c r="O357" s="1">
        <v>131019.8</v>
      </c>
      <c r="P357" s="1">
        <v>215298.9</v>
      </c>
      <c r="Q357" s="1">
        <v>20849</v>
      </c>
      <c r="R357" s="1">
        <v>9152.1</v>
      </c>
      <c r="S357" s="1">
        <v>30001.1</v>
      </c>
      <c r="T357" s="1">
        <v>33.409999999999997</v>
      </c>
      <c r="U357" s="1">
        <v>1.1299999999999999</v>
      </c>
      <c r="V357" s="1">
        <v>8868.2000000000007</v>
      </c>
      <c r="W357" s="1">
        <v>29717.200000000001</v>
      </c>
      <c r="X357" s="1">
        <v>601.54</v>
      </c>
      <c r="Y357" s="1">
        <v>1199</v>
      </c>
      <c r="Z357" s="1">
        <v>245016.1</v>
      </c>
      <c r="AA357" s="1">
        <v>33.49</v>
      </c>
    </row>
    <row r="358" spans="1:27" x14ac:dyDescent="0.4">
      <c r="A358" s="1" t="s">
        <v>104</v>
      </c>
      <c r="B358" s="1">
        <v>4000</v>
      </c>
      <c r="C358" s="1">
        <v>0.4</v>
      </c>
      <c r="D358" s="1">
        <v>0.5</v>
      </c>
      <c r="E358" s="1">
        <v>1000</v>
      </c>
      <c r="F358" s="1">
        <v>3</v>
      </c>
      <c r="G358" s="1">
        <v>5</v>
      </c>
      <c r="H358" s="1" t="s">
        <v>592</v>
      </c>
      <c r="I358" s="1">
        <v>339263.6</v>
      </c>
      <c r="J358" s="1">
        <v>129708.3</v>
      </c>
      <c r="K358" s="1">
        <v>209555.3</v>
      </c>
      <c r="L358" s="1">
        <v>1200</v>
      </c>
      <c r="M358" s="1">
        <v>601.39</v>
      </c>
      <c r="N358" s="1">
        <v>78861</v>
      </c>
      <c r="O358" s="1">
        <v>116843.6</v>
      </c>
      <c r="P358" s="1">
        <v>195704.6</v>
      </c>
      <c r="Q358" s="1">
        <v>20895.099999999999</v>
      </c>
      <c r="R358" s="1">
        <v>9206.7000000000007</v>
      </c>
      <c r="S358" s="1">
        <v>30101.8</v>
      </c>
      <c r="T358" s="1">
        <v>33.44</v>
      </c>
      <c r="U358" s="1">
        <v>1.04</v>
      </c>
      <c r="V358" s="1">
        <v>9191.4</v>
      </c>
      <c r="W358" s="1">
        <v>30086.5</v>
      </c>
      <c r="X358" s="1">
        <v>602.42999999999995</v>
      </c>
      <c r="Y358" s="1">
        <v>1200</v>
      </c>
      <c r="Z358" s="1">
        <v>225791.1</v>
      </c>
      <c r="AA358" s="1">
        <v>33.450000000000003</v>
      </c>
    </row>
    <row r="359" spans="1:27" x14ac:dyDescent="0.4">
      <c r="A359" s="1" t="s">
        <v>104</v>
      </c>
      <c r="B359" s="1">
        <v>4000</v>
      </c>
      <c r="C359" s="1">
        <v>0.4</v>
      </c>
      <c r="D359" s="1">
        <v>0.5</v>
      </c>
      <c r="E359" s="1">
        <v>1000</v>
      </c>
      <c r="F359" s="1">
        <v>3</v>
      </c>
      <c r="G359" s="1">
        <v>5</v>
      </c>
      <c r="H359" s="1" t="s">
        <v>14</v>
      </c>
      <c r="I359" s="1">
        <v>339263.6</v>
      </c>
      <c r="J359" s="1">
        <v>129708.3</v>
      </c>
      <c r="K359" s="1">
        <v>209555.3</v>
      </c>
      <c r="L359" s="1">
        <v>1200</v>
      </c>
      <c r="M359" s="1">
        <v>600.01</v>
      </c>
      <c r="N359" s="1">
        <v>80109.7</v>
      </c>
      <c r="O359" s="1">
        <v>119914.6</v>
      </c>
      <c r="P359" s="1">
        <v>200024.3</v>
      </c>
      <c r="Q359" s="1">
        <v>21479.200000000001</v>
      </c>
      <c r="R359" s="1">
        <v>10206.200000000001</v>
      </c>
      <c r="S359" s="1">
        <v>31685.4</v>
      </c>
      <c r="T359" s="1">
        <v>31.7</v>
      </c>
      <c r="U359" s="1">
        <v>0.85</v>
      </c>
      <c r="V359" s="1">
        <v>9946.2000000000007</v>
      </c>
      <c r="W359" s="1">
        <v>31425.4</v>
      </c>
      <c r="X359" s="1">
        <v>600.87</v>
      </c>
      <c r="Y359" s="1">
        <v>1200</v>
      </c>
      <c r="Z359" s="1">
        <v>231449.7</v>
      </c>
      <c r="AA359" s="1">
        <v>31.78</v>
      </c>
    </row>
    <row r="360" spans="1:27" x14ac:dyDescent="0.4">
      <c r="A360" s="1" t="s">
        <v>104</v>
      </c>
      <c r="B360" s="1">
        <v>4000</v>
      </c>
      <c r="C360" s="1">
        <v>0.4</v>
      </c>
      <c r="D360" s="1">
        <v>0.5</v>
      </c>
      <c r="E360" s="1">
        <v>1000</v>
      </c>
      <c r="F360" s="1">
        <v>3</v>
      </c>
      <c r="G360" s="1">
        <v>5</v>
      </c>
      <c r="H360" s="1" t="s">
        <v>580</v>
      </c>
      <c r="I360" s="1">
        <v>339263.6</v>
      </c>
      <c r="J360" s="1">
        <v>129708.3</v>
      </c>
      <c r="K360" s="1">
        <v>209555.3</v>
      </c>
      <c r="L360" s="1">
        <v>1200</v>
      </c>
      <c r="M360" s="1">
        <v>600.03</v>
      </c>
      <c r="N360" s="1">
        <v>79747.899999999994</v>
      </c>
      <c r="O360" s="1">
        <v>119418.8</v>
      </c>
      <c r="P360" s="1">
        <v>199166.7</v>
      </c>
      <c r="Q360" s="1">
        <v>19765.099999999999</v>
      </c>
      <c r="R360" s="1">
        <v>10619.5</v>
      </c>
      <c r="S360" s="1">
        <v>30384.6</v>
      </c>
      <c r="T360" s="1">
        <v>32.340000000000003</v>
      </c>
      <c r="U360" s="1">
        <v>1.62</v>
      </c>
      <c r="V360" s="1">
        <v>10096</v>
      </c>
      <c r="W360" s="1">
        <v>29861.1</v>
      </c>
      <c r="X360" s="1">
        <v>601.65</v>
      </c>
      <c r="Y360" s="1">
        <v>1199</v>
      </c>
      <c r="Z360" s="1">
        <v>229027.8</v>
      </c>
      <c r="AA360" s="1">
        <v>32.49</v>
      </c>
    </row>
    <row r="361" spans="1:27" x14ac:dyDescent="0.4">
      <c r="A361" s="1" t="s">
        <v>104</v>
      </c>
      <c r="B361" s="1">
        <v>4000</v>
      </c>
      <c r="C361" s="1">
        <v>0.4</v>
      </c>
      <c r="D361" s="1">
        <v>0.5</v>
      </c>
      <c r="E361" s="1">
        <v>1000</v>
      </c>
      <c r="F361" s="1">
        <v>3</v>
      </c>
      <c r="G361" s="1">
        <v>5</v>
      </c>
      <c r="H361" s="1" t="s">
        <v>15</v>
      </c>
      <c r="I361" s="1">
        <v>339263.6</v>
      </c>
      <c r="J361" s="1">
        <v>129708.3</v>
      </c>
      <c r="K361" s="1">
        <v>209555.3</v>
      </c>
      <c r="L361" s="1">
        <v>1200</v>
      </c>
      <c r="M361" s="1">
        <v>600.79</v>
      </c>
      <c r="N361" s="1">
        <v>80028.600000000006</v>
      </c>
      <c r="O361" s="1">
        <v>118814.1</v>
      </c>
      <c r="P361" s="1">
        <v>198842.7</v>
      </c>
      <c r="Q361" s="1">
        <v>20844</v>
      </c>
      <c r="R361" s="1">
        <v>9162.1</v>
      </c>
      <c r="S361" s="1">
        <v>30006.1</v>
      </c>
      <c r="T361" s="1">
        <v>32.549999999999997</v>
      </c>
      <c r="U361" s="1">
        <v>0.75</v>
      </c>
      <c r="V361" s="1">
        <v>8893.7000000000007</v>
      </c>
      <c r="W361" s="1">
        <v>29737.7</v>
      </c>
      <c r="X361" s="1">
        <v>601.54</v>
      </c>
      <c r="Y361" s="1">
        <v>1200</v>
      </c>
      <c r="Z361" s="1">
        <v>228580.4</v>
      </c>
      <c r="AA361" s="1">
        <v>32.619999999999997</v>
      </c>
    </row>
    <row r="362" spans="1:27" x14ac:dyDescent="0.4">
      <c r="A362" s="1" t="s">
        <v>105</v>
      </c>
      <c r="B362" s="1">
        <v>8000</v>
      </c>
      <c r="C362" s="1">
        <v>0.2</v>
      </c>
      <c r="D362" s="1">
        <v>0.5</v>
      </c>
      <c r="E362" s="1">
        <v>1000</v>
      </c>
      <c r="F362" s="1">
        <v>1</v>
      </c>
      <c r="G362" s="1">
        <v>1</v>
      </c>
      <c r="H362" s="1" t="s">
        <v>592</v>
      </c>
      <c r="I362" s="1">
        <v>284028.3</v>
      </c>
      <c r="J362" s="1">
        <v>113604.7</v>
      </c>
      <c r="K362" s="1">
        <v>170423.6</v>
      </c>
      <c r="L362" s="1">
        <v>2400</v>
      </c>
      <c r="M362" s="1">
        <v>603.14</v>
      </c>
      <c r="N362" s="1">
        <v>65568.899999999994</v>
      </c>
      <c r="O362" s="1">
        <v>92965.1</v>
      </c>
      <c r="P362" s="1">
        <v>158534</v>
      </c>
      <c r="Q362" s="1">
        <v>42445.5</v>
      </c>
      <c r="R362" s="1">
        <v>7392.2</v>
      </c>
      <c r="S362" s="1">
        <v>49837.7</v>
      </c>
      <c r="T362" s="1">
        <v>26.64</v>
      </c>
      <c r="U362" s="1">
        <v>1.75</v>
      </c>
      <c r="V362" s="1">
        <v>7287.5</v>
      </c>
      <c r="W362" s="1">
        <v>49733</v>
      </c>
      <c r="X362" s="1">
        <v>604.89</v>
      </c>
      <c r="Y362" s="1">
        <v>2361</v>
      </c>
      <c r="Z362" s="1">
        <v>208267</v>
      </c>
      <c r="AA362" s="1">
        <v>26.67</v>
      </c>
    </row>
    <row r="363" spans="1:27" x14ac:dyDescent="0.4">
      <c r="A363" s="1" t="s">
        <v>105</v>
      </c>
      <c r="B363" s="1">
        <v>8000</v>
      </c>
      <c r="C363" s="1">
        <v>0.2</v>
      </c>
      <c r="D363" s="1">
        <v>0.5</v>
      </c>
      <c r="E363" s="1">
        <v>1000</v>
      </c>
      <c r="F363" s="1">
        <v>1</v>
      </c>
      <c r="G363" s="1">
        <v>1</v>
      </c>
      <c r="H363" s="1" t="s">
        <v>14</v>
      </c>
      <c r="I363" s="1">
        <v>284028.3</v>
      </c>
      <c r="J363" s="1">
        <v>113604.7</v>
      </c>
      <c r="K363" s="1">
        <v>170423.6</v>
      </c>
      <c r="L363" s="1">
        <v>2400</v>
      </c>
      <c r="M363" s="1">
        <v>600.03</v>
      </c>
      <c r="N363" s="1">
        <v>68866.899999999994</v>
      </c>
      <c r="O363" s="1">
        <v>93704.7</v>
      </c>
      <c r="P363" s="1">
        <v>162571.6</v>
      </c>
      <c r="Q363" s="1">
        <v>40844.1</v>
      </c>
      <c r="R363" s="1">
        <v>7051.1</v>
      </c>
      <c r="S363" s="1">
        <v>47895.199999999997</v>
      </c>
      <c r="T363" s="1">
        <v>25.9</v>
      </c>
      <c r="U363" s="1">
        <v>0.33</v>
      </c>
      <c r="V363" s="1">
        <v>6859.3</v>
      </c>
      <c r="W363" s="1">
        <v>47703.4</v>
      </c>
      <c r="X363" s="1">
        <v>600.35</v>
      </c>
      <c r="Y363" s="1">
        <v>2400</v>
      </c>
      <c r="Z363" s="1">
        <v>210275</v>
      </c>
      <c r="AA363" s="1">
        <v>25.97</v>
      </c>
    </row>
    <row r="364" spans="1:27" x14ac:dyDescent="0.4">
      <c r="A364" s="1" t="s">
        <v>105</v>
      </c>
      <c r="B364" s="1">
        <v>8000</v>
      </c>
      <c r="C364" s="1">
        <v>0.2</v>
      </c>
      <c r="D364" s="1">
        <v>0.5</v>
      </c>
      <c r="E364" s="1">
        <v>1000</v>
      </c>
      <c r="F364" s="1">
        <v>1</v>
      </c>
      <c r="G364" s="1">
        <v>1</v>
      </c>
      <c r="H364" s="1" t="s">
        <v>580</v>
      </c>
      <c r="I364" s="1">
        <v>284028.3</v>
      </c>
      <c r="J364" s="1">
        <v>113604.7</v>
      </c>
      <c r="K364" s="1">
        <v>170423.6</v>
      </c>
      <c r="L364" s="1">
        <v>2400</v>
      </c>
      <c r="M364" s="1">
        <v>600.01</v>
      </c>
      <c r="N364" s="1">
        <v>67714.600000000006</v>
      </c>
      <c r="O364" s="1">
        <v>94088.6</v>
      </c>
      <c r="P364" s="1">
        <v>161803.20000000001</v>
      </c>
      <c r="Q364" s="1">
        <v>36302.800000000003</v>
      </c>
      <c r="R364" s="1">
        <v>13692.9</v>
      </c>
      <c r="S364" s="1">
        <v>49995.7</v>
      </c>
      <c r="T364" s="1">
        <v>25.43</v>
      </c>
      <c r="U364" s="1">
        <v>5.34</v>
      </c>
      <c r="V364" s="1">
        <v>12845.1</v>
      </c>
      <c r="W364" s="1">
        <v>49147.9</v>
      </c>
      <c r="X364" s="1">
        <v>605.35</v>
      </c>
      <c r="Y364" s="1">
        <v>2098</v>
      </c>
      <c r="Z364" s="1">
        <v>210951.1</v>
      </c>
      <c r="AA364" s="1">
        <v>25.73</v>
      </c>
    </row>
    <row r="365" spans="1:27" x14ac:dyDescent="0.4">
      <c r="A365" s="1" t="s">
        <v>105</v>
      </c>
      <c r="B365" s="1">
        <v>8000</v>
      </c>
      <c r="C365" s="1">
        <v>0.2</v>
      </c>
      <c r="D365" s="1">
        <v>0.5</v>
      </c>
      <c r="E365" s="1">
        <v>1000</v>
      </c>
      <c r="F365" s="1">
        <v>1</v>
      </c>
      <c r="G365" s="1">
        <v>1</v>
      </c>
      <c r="H365" s="1" t="s">
        <v>15</v>
      </c>
      <c r="I365" s="1">
        <v>284028.3</v>
      </c>
      <c r="J365" s="1">
        <v>113604.7</v>
      </c>
      <c r="K365" s="1">
        <v>170423.6</v>
      </c>
      <c r="L365" s="1">
        <v>2400</v>
      </c>
      <c r="M365" s="1">
        <v>600.02</v>
      </c>
      <c r="N365" s="1">
        <v>67160.2</v>
      </c>
      <c r="O365" s="1">
        <v>91828.800000000003</v>
      </c>
      <c r="P365" s="1">
        <v>158989</v>
      </c>
      <c r="Q365" s="1">
        <v>44905.599999999999</v>
      </c>
      <c r="R365" s="1">
        <v>5904.4</v>
      </c>
      <c r="S365" s="1">
        <v>50810</v>
      </c>
      <c r="T365" s="1">
        <v>26.13</v>
      </c>
      <c r="U365" s="1">
        <v>0.28999999999999998</v>
      </c>
      <c r="V365" s="1">
        <v>5766.3</v>
      </c>
      <c r="W365" s="1">
        <v>50671.9</v>
      </c>
      <c r="X365" s="1">
        <v>600.29999999999995</v>
      </c>
      <c r="Y365" s="1">
        <v>2393</v>
      </c>
      <c r="Z365" s="1">
        <v>209660.9</v>
      </c>
      <c r="AA365" s="1">
        <v>26.18</v>
      </c>
    </row>
    <row r="366" spans="1:27" x14ac:dyDescent="0.4">
      <c r="A366" s="1" t="s">
        <v>106</v>
      </c>
      <c r="B366" s="1">
        <v>8000</v>
      </c>
      <c r="C366" s="1">
        <v>0.2</v>
      </c>
      <c r="D366" s="1">
        <v>0.5</v>
      </c>
      <c r="E366" s="1">
        <v>1000</v>
      </c>
      <c r="F366" s="1">
        <v>1</v>
      </c>
      <c r="G366" s="1">
        <v>2</v>
      </c>
      <c r="H366" s="1" t="s">
        <v>592</v>
      </c>
      <c r="I366" s="1">
        <v>287896</v>
      </c>
      <c r="J366" s="1">
        <v>114328.4</v>
      </c>
      <c r="K366" s="1">
        <v>173567.6</v>
      </c>
      <c r="L366" s="1">
        <v>2400</v>
      </c>
      <c r="M366" s="1">
        <v>600.01</v>
      </c>
      <c r="N366" s="1">
        <v>66293.600000000006</v>
      </c>
      <c r="O366" s="1">
        <v>94769</v>
      </c>
      <c r="P366" s="1">
        <v>161062.6</v>
      </c>
      <c r="Q366" s="1">
        <v>42110.7</v>
      </c>
      <c r="R366" s="1">
        <v>7037.6</v>
      </c>
      <c r="S366" s="1">
        <v>49148.3</v>
      </c>
      <c r="T366" s="1">
        <v>26.98</v>
      </c>
      <c r="U366" s="1">
        <v>1.32</v>
      </c>
      <c r="V366" s="1">
        <v>6972.8</v>
      </c>
      <c r="W366" s="1">
        <v>49083.5</v>
      </c>
      <c r="X366" s="1">
        <v>601.33000000000004</v>
      </c>
      <c r="Y366" s="1">
        <v>2399</v>
      </c>
      <c r="Z366" s="1">
        <v>210146.1</v>
      </c>
      <c r="AA366" s="1">
        <v>27.01</v>
      </c>
    </row>
    <row r="367" spans="1:27" x14ac:dyDescent="0.4">
      <c r="A367" s="1" t="s">
        <v>106</v>
      </c>
      <c r="B367" s="1">
        <v>8000</v>
      </c>
      <c r="C367" s="1">
        <v>0.2</v>
      </c>
      <c r="D367" s="1">
        <v>0.5</v>
      </c>
      <c r="E367" s="1">
        <v>1000</v>
      </c>
      <c r="F367" s="1">
        <v>1</v>
      </c>
      <c r="G367" s="1">
        <v>2</v>
      </c>
      <c r="H367" s="1" t="s">
        <v>14</v>
      </c>
      <c r="I367" s="1">
        <v>287896</v>
      </c>
      <c r="J367" s="1">
        <v>114328.4</v>
      </c>
      <c r="K367" s="1">
        <v>173567.6</v>
      </c>
      <c r="L367" s="1">
        <v>2400</v>
      </c>
      <c r="M367" s="1">
        <v>600.03</v>
      </c>
      <c r="N367" s="1">
        <v>71091.3</v>
      </c>
      <c r="O367" s="1">
        <v>96425.8</v>
      </c>
      <c r="P367" s="1">
        <v>167517.1</v>
      </c>
      <c r="Q367" s="1">
        <v>39730.6</v>
      </c>
      <c r="R367" s="1">
        <v>7357.9</v>
      </c>
      <c r="S367" s="1">
        <v>47088.5</v>
      </c>
      <c r="T367" s="1">
        <v>25.46</v>
      </c>
      <c r="U367" s="1">
        <v>0.35</v>
      </c>
      <c r="V367" s="1">
        <v>7188.6</v>
      </c>
      <c r="W367" s="1">
        <v>46919.199999999997</v>
      </c>
      <c r="X367" s="1">
        <v>600.37</v>
      </c>
      <c r="Y367" s="1">
        <v>2400</v>
      </c>
      <c r="Z367" s="1">
        <v>214436.3</v>
      </c>
      <c r="AA367" s="1">
        <v>25.52</v>
      </c>
    </row>
    <row r="368" spans="1:27" x14ac:dyDescent="0.4">
      <c r="A368" s="1" t="s">
        <v>106</v>
      </c>
      <c r="B368" s="1">
        <v>8000</v>
      </c>
      <c r="C368" s="1">
        <v>0.2</v>
      </c>
      <c r="D368" s="1">
        <v>0.5</v>
      </c>
      <c r="E368" s="1">
        <v>1000</v>
      </c>
      <c r="F368" s="1">
        <v>1</v>
      </c>
      <c r="G368" s="1">
        <v>2</v>
      </c>
      <c r="H368" s="1" t="s">
        <v>580</v>
      </c>
      <c r="I368" s="1">
        <v>287896</v>
      </c>
      <c r="J368" s="1">
        <v>114328.4</v>
      </c>
      <c r="K368" s="1">
        <v>173567.6</v>
      </c>
      <c r="L368" s="1">
        <v>2400</v>
      </c>
      <c r="M368" s="1">
        <v>600.25</v>
      </c>
      <c r="N368" s="1">
        <v>65166.5</v>
      </c>
      <c r="O368" s="1">
        <v>93967.9</v>
      </c>
      <c r="P368" s="1">
        <v>159134.39999999999</v>
      </c>
      <c r="Q368" s="1">
        <v>40044.9</v>
      </c>
      <c r="R368" s="1">
        <v>13851.6</v>
      </c>
      <c r="S368" s="1">
        <v>53896.5</v>
      </c>
      <c r="T368" s="1">
        <v>26</v>
      </c>
      <c r="U368" s="1">
        <v>5.63</v>
      </c>
      <c r="V368" s="1">
        <v>12898</v>
      </c>
      <c r="W368" s="1">
        <v>52942.9</v>
      </c>
      <c r="X368" s="1">
        <v>605.88</v>
      </c>
      <c r="Y368" s="1">
        <v>2399</v>
      </c>
      <c r="Z368" s="1">
        <v>212077.3</v>
      </c>
      <c r="AA368" s="1">
        <v>26.34</v>
      </c>
    </row>
    <row r="369" spans="1:27" x14ac:dyDescent="0.4">
      <c r="A369" s="1" t="s">
        <v>106</v>
      </c>
      <c r="B369" s="1">
        <v>8000</v>
      </c>
      <c r="C369" s="1">
        <v>0.2</v>
      </c>
      <c r="D369" s="1">
        <v>0.5</v>
      </c>
      <c r="E369" s="1">
        <v>1000</v>
      </c>
      <c r="F369" s="1">
        <v>1</v>
      </c>
      <c r="G369" s="1">
        <v>2</v>
      </c>
      <c r="H369" s="1" t="s">
        <v>15</v>
      </c>
      <c r="I369" s="1">
        <v>287896</v>
      </c>
      <c r="J369" s="1">
        <v>114328.4</v>
      </c>
      <c r="K369" s="1">
        <v>173567.6</v>
      </c>
      <c r="L369" s="1">
        <v>2400</v>
      </c>
      <c r="M369" s="1">
        <v>600.71</v>
      </c>
      <c r="N369" s="1">
        <v>68517</v>
      </c>
      <c r="O369" s="1">
        <v>93858.4</v>
      </c>
      <c r="P369" s="1">
        <v>162375.4</v>
      </c>
      <c r="Q369" s="1">
        <v>44340.800000000003</v>
      </c>
      <c r="R369" s="1">
        <v>5758.6</v>
      </c>
      <c r="S369" s="1">
        <v>50099.4</v>
      </c>
      <c r="T369" s="1">
        <v>26.2</v>
      </c>
      <c r="U369" s="1">
        <v>0.22</v>
      </c>
      <c r="V369" s="1">
        <v>5679.5</v>
      </c>
      <c r="W369" s="1">
        <v>50020.3</v>
      </c>
      <c r="X369" s="1">
        <v>600.92999999999995</v>
      </c>
      <c r="Y369" s="1">
        <v>2395</v>
      </c>
      <c r="Z369" s="1">
        <v>212395.7</v>
      </c>
      <c r="AA369" s="1">
        <v>26.22</v>
      </c>
    </row>
    <row r="370" spans="1:27" x14ac:dyDescent="0.4">
      <c r="A370" s="1" t="s">
        <v>107</v>
      </c>
      <c r="B370" s="1">
        <v>8000</v>
      </c>
      <c r="C370" s="1">
        <v>0.2</v>
      </c>
      <c r="D370" s="1">
        <v>0.5</v>
      </c>
      <c r="E370" s="1">
        <v>1000</v>
      </c>
      <c r="F370" s="1">
        <v>1</v>
      </c>
      <c r="G370" s="1">
        <v>3</v>
      </c>
      <c r="H370" s="1" t="s">
        <v>592</v>
      </c>
      <c r="I370" s="1">
        <v>300995</v>
      </c>
      <c r="J370" s="1">
        <v>115406.7</v>
      </c>
      <c r="K370" s="1">
        <v>185588.3</v>
      </c>
      <c r="L370" s="1">
        <v>2400</v>
      </c>
      <c r="M370" s="1">
        <v>602.49</v>
      </c>
      <c r="N370" s="1">
        <v>68165.5</v>
      </c>
      <c r="O370" s="1">
        <v>100115.2</v>
      </c>
      <c r="P370" s="1">
        <v>168280.7</v>
      </c>
      <c r="Q370" s="1">
        <v>41605.699999999997</v>
      </c>
      <c r="R370" s="1">
        <v>7060.6</v>
      </c>
      <c r="S370" s="1">
        <v>48666.3</v>
      </c>
      <c r="T370" s="1">
        <v>27.92</v>
      </c>
      <c r="U370" s="1">
        <v>1.34</v>
      </c>
      <c r="V370" s="1">
        <v>6939.3</v>
      </c>
      <c r="W370" s="1">
        <v>48545</v>
      </c>
      <c r="X370" s="1">
        <v>603.83000000000004</v>
      </c>
      <c r="Y370" s="1">
        <v>2399</v>
      </c>
      <c r="Z370" s="1">
        <v>216825.7</v>
      </c>
      <c r="AA370" s="1">
        <v>27.96</v>
      </c>
    </row>
    <row r="371" spans="1:27" x14ac:dyDescent="0.4">
      <c r="A371" s="1" t="s">
        <v>107</v>
      </c>
      <c r="B371" s="1">
        <v>8000</v>
      </c>
      <c r="C371" s="1">
        <v>0.2</v>
      </c>
      <c r="D371" s="1">
        <v>0.5</v>
      </c>
      <c r="E371" s="1">
        <v>1000</v>
      </c>
      <c r="F371" s="1">
        <v>1</v>
      </c>
      <c r="G371" s="1">
        <v>3</v>
      </c>
      <c r="H371" s="1" t="s">
        <v>14</v>
      </c>
      <c r="I371" s="1">
        <v>300995</v>
      </c>
      <c r="J371" s="1">
        <v>115406.7</v>
      </c>
      <c r="K371" s="1">
        <v>185588.3</v>
      </c>
      <c r="L371" s="1">
        <v>2400</v>
      </c>
      <c r="M371" s="1">
        <v>600.02</v>
      </c>
      <c r="N371" s="1">
        <v>71114.5</v>
      </c>
      <c r="O371" s="1">
        <v>99759.2</v>
      </c>
      <c r="P371" s="1">
        <v>170873.7</v>
      </c>
      <c r="Q371" s="1">
        <v>40038.9</v>
      </c>
      <c r="R371" s="1">
        <v>7215.6</v>
      </c>
      <c r="S371" s="1">
        <v>47254.5</v>
      </c>
      <c r="T371" s="1">
        <v>27.53</v>
      </c>
      <c r="U371" s="1">
        <v>0.32</v>
      </c>
      <c r="V371" s="1">
        <v>7027.1</v>
      </c>
      <c r="W371" s="1">
        <v>47066</v>
      </c>
      <c r="X371" s="1">
        <v>600.33000000000004</v>
      </c>
      <c r="Y371" s="1">
        <v>2400</v>
      </c>
      <c r="Z371" s="1">
        <v>217939.7</v>
      </c>
      <c r="AA371" s="1">
        <v>27.59</v>
      </c>
    </row>
    <row r="372" spans="1:27" x14ac:dyDescent="0.4">
      <c r="A372" s="1" t="s">
        <v>107</v>
      </c>
      <c r="B372" s="1">
        <v>8000</v>
      </c>
      <c r="C372" s="1">
        <v>0.2</v>
      </c>
      <c r="D372" s="1">
        <v>0.5</v>
      </c>
      <c r="E372" s="1">
        <v>1000</v>
      </c>
      <c r="F372" s="1">
        <v>1</v>
      </c>
      <c r="G372" s="1">
        <v>3</v>
      </c>
      <c r="H372" s="1" t="s">
        <v>580</v>
      </c>
      <c r="I372" s="1">
        <v>300995</v>
      </c>
      <c r="J372" s="1">
        <v>115406.7</v>
      </c>
      <c r="K372" s="1">
        <v>185588.3</v>
      </c>
      <c r="L372" s="1">
        <v>2400</v>
      </c>
      <c r="M372" s="1">
        <v>600.19000000000005</v>
      </c>
      <c r="N372" s="1">
        <v>69372.100000000006</v>
      </c>
      <c r="O372" s="1">
        <v>102104.5</v>
      </c>
      <c r="P372" s="1">
        <v>171476.6</v>
      </c>
      <c r="Q372" s="1">
        <v>35994.1</v>
      </c>
      <c r="R372" s="1">
        <v>14004.4</v>
      </c>
      <c r="S372" s="1">
        <v>49998.5</v>
      </c>
      <c r="T372" s="1">
        <v>26.42</v>
      </c>
      <c r="U372" s="1">
        <v>5.2</v>
      </c>
      <c r="V372" s="1">
        <v>12913.6</v>
      </c>
      <c r="W372" s="1">
        <v>48907.7</v>
      </c>
      <c r="X372" s="1">
        <v>605.38</v>
      </c>
      <c r="Y372" s="1">
        <v>2111</v>
      </c>
      <c r="Z372" s="1">
        <v>220384.3</v>
      </c>
      <c r="AA372" s="1">
        <v>26.78</v>
      </c>
    </row>
    <row r="373" spans="1:27" x14ac:dyDescent="0.4">
      <c r="A373" s="1" t="s">
        <v>107</v>
      </c>
      <c r="B373" s="1">
        <v>8000</v>
      </c>
      <c r="C373" s="1">
        <v>0.2</v>
      </c>
      <c r="D373" s="1">
        <v>0.5</v>
      </c>
      <c r="E373" s="1">
        <v>1000</v>
      </c>
      <c r="F373" s="1">
        <v>1</v>
      </c>
      <c r="G373" s="1">
        <v>3</v>
      </c>
      <c r="H373" s="1" t="s">
        <v>15</v>
      </c>
      <c r="I373" s="1">
        <v>300995</v>
      </c>
      <c r="J373" s="1">
        <v>115406.7</v>
      </c>
      <c r="K373" s="1">
        <v>185588.3</v>
      </c>
      <c r="L373" s="1">
        <v>2400</v>
      </c>
      <c r="M373" s="1">
        <v>600.99</v>
      </c>
      <c r="N373" s="1">
        <v>67104.800000000003</v>
      </c>
      <c r="O373" s="1">
        <v>99381.7</v>
      </c>
      <c r="P373" s="1">
        <v>166486.5</v>
      </c>
      <c r="Q373" s="1">
        <v>44591.199999999997</v>
      </c>
      <c r="R373" s="1">
        <v>6276.9</v>
      </c>
      <c r="S373" s="1">
        <v>50868.1</v>
      </c>
      <c r="T373" s="1">
        <v>27.79</v>
      </c>
      <c r="U373" s="1">
        <v>0.24</v>
      </c>
      <c r="V373" s="1">
        <v>6107.9</v>
      </c>
      <c r="W373" s="1">
        <v>50699.1</v>
      </c>
      <c r="X373" s="1">
        <v>601.22</v>
      </c>
      <c r="Y373" s="1">
        <v>2393</v>
      </c>
      <c r="Z373" s="1">
        <v>217185.6</v>
      </c>
      <c r="AA373" s="1">
        <v>27.84</v>
      </c>
    </row>
    <row r="374" spans="1:27" x14ac:dyDescent="0.4">
      <c r="A374" s="1" t="s">
        <v>108</v>
      </c>
      <c r="B374" s="1">
        <v>8000</v>
      </c>
      <c r="C374" s="1">
        <v>0.2</v>
      </c>
      <c r="D374" s="1">
        <v>0.5</v>
      </c>
      <c r="E374" s="1">
        <v>1000</v>
      </c>
      <c r="F374" s="1">
        <v>1</v>
      </c>
      <c r="G374" s="1">
        <v>4</v>
      </c>
      <c r="H374" s="1" t="s">
        <v>592</v>
      </c>
      <c r="I374" s="1">
        <v>281856.2</v>
      </c>
      <c r="J374" s="1">
        <v>115121.2</v>
      </c>
      <c r="K374" s="1">
        <v>166735</v>
      </c>
      <c r="L374" s="1">
        <v>2400</v>
      </c>
      <c r="M374" s="1">
        <v>600</v>
      </c>
      <c r="N374" s="1">
        <v>66535.399999999994</v>
      </c>
      <c r="O374" s="1">
        <v>92473.8</v>
      </c>
      <c r="P374" s="1">
        <v>159009.20000000001</v>
      </c>
      <c r="Q374" s="1">
        <v>41806.699999999997</v>
      </c>
      <c r="R374" s="1">
        <v>7263.9</v>
      </c>
      <c r="S374" s="1">
        <v>49070.6</v>
      </c>
      <c r="T374" s="1">
        <v>26.18</v>
      </c>
      <c r="U374" s="1">
        <v>1.26</v>
      </c>
      <c r="V374" s="1">
        <v>7226.2</v>
      </c>
      <c r="W374" s="1">
        <v>49032.9</v>
      </c>
      <c r="X374" s="1">
        <v>601.27</v>
      </c>
      <c r="Y374" s="1">
        <v>2292</v>
      </c>
      <c r="Z374" s="1">
        <v>208042.1</v>
      </c>
      <c r="AA374" s="1">
        <v>26.19</v>
      </c>
    </row>
    <row r="375" spans="1:27" x14ac:dyDescent="0.4">
      <c r="A375" s="1" t="s">
        <v>108</v>
      </c>
      <c r="B375" s="1">
        <v>8000</v>
      </c>
      <c r="C375" s="1">
        <v>0.2</v>
      </c>
      <c r="D375" s="1">
        <v>0.5</v>
      </c>
      <c r="E375" s="1">
        <v>1000</v>
      </c>
      <c r="F375" s="1">
        <v>1</v>
      </c>
      <c r="G375" s="1">
        <v>4</v>
      </c>
      <c r="H375" s="1" t="s">
        <v>14</v>
      </c>
      <c r="I375" s="1">
        <v>281856.2</v>
      </c>
      <c r="J375" s="1">
        <v>115121.2</v>
      </c>
      <c r="K375" s="1">
        <v>166735</v>
      </c>
      <c r="L375" s="1">
        <v>2400</v>
      </c>
      <c r="M375" s="1">
        <v>600.03</v>
      </c>
      <c r="N375" s="1">
        <v>70944.7</v>
      </c>
      <c r="O375" s="1">
        <v>93354.5</v>
      </c>
      <c r="P375" s="1">
        <v>164299.20000000001</v>
      </c>
      <c r="Q375" s="1">
        <v>39886.5</v>
      </c>
      <c r="R375" s="1">
        <v>6958.1</v>
      </c>
      <c r="S375" s="1">
        <v>46844.6</v>
      </c>
      <c r="T375" s="1">
        <v>25.09</v>
      </c>
      <c r="U375" s="1">
        <v>0.38</v>
      </c>
      <c r="V375" s="1">
        <v>6785.4</v>
      </c>
      <c r="W375" s="1">
        <v>46671.9</v>
      </c>
      <c r="X375" s="1">
        <v>600.41</v>
      </c>
      <c r="Y375" s="1">
        <v>2400</v>
      </c>
      <c r="Z375" s="1">
        <v>210971.1</v>
      </c>
      <c r="AA375" s="1">
        <v>25.15</v>
      </c>
    </row>
    <row r="376" spans="1:27" x14ac:dyDescent="0.4">
      <c r="A376" s="1" t="s">
        <v>108</v>
      </c>
      <c r="B376" s="1">
        <v>8000</v>
      </c>
      <c r="C376" s="1">
        <v>0.2</v>
      </c>
      <c r="D376" s="1">
        <v>0.5</v>
      </c>
      <c r="E376" s="1">
        <v>1000</v>
      </c>
      <c r="F376" s="1">
        <v>1</v>
      </c>
      <c r="G376" s="1">
        <v>4</v>
      </c>
      <c r="H376" s="1" t="s">
        <v>580</v>
      </c>
      <c r="I376" s="1">
        <v>281856.2</v>
      </c>
      <c r="J376" s="1">
        <v>115121.2</v>
      </c>
      <c r="K376" s="1">
        <v>166735</v>
      </c>
      <c r="L376" s="1">
        <v>2400</v>
      </c>
      <c r="M376" s="1">
        <v>600.66999999999996</v>
      </c>
      <c r="N376" s="1">
        <v>69069.7</v>
      </c>
      <c r="O376" s="1">
        <v>92228.3</v>
      </c>
      <c r="P376" s="1">
        <v>161298</v>
      </c>
      <c r="Q376" s="1">
        <v>36121.9</v>
      </c>
      <c r="R376" s="1">
        <v>13876.2</v>
      </c>
      <c r="S376" s="1">
        <v>49998.1</v>
      </c>
      <c r="T376" s="1">
        <v>25.03</v>
      </c>
      <c r="U376" s="1">
        <v>5.44</v>
      </c>
      <c r="V376" s="1">
        <v>13008</v>
      </c>
      <c r="W376" s="1">
        <v>49129.9</v>
      </c>
      <c r="X376" s="1">
        <v>606.11</v>
      </c>
      <c r="Y376" s="1">
        <v>2045</v>
      </c>
      <c r="Z376" s="1">
        <v>210427.9</v>
      </c>
      <c r="AA376" s="1">
        <v>25.34</v>
      </c>
    </row>
    <row r="377" spans="1:27" x14ac:dyDescent="0.4">
      <c r="A377" s="1" t="s">
        <v>108</v>
      </c>
      <c r="B377" s="1">
        <v>8000</v>
      </c>
      <c r="C377" s="1">
        <v>0.2</v>
      </c>
      <c r="D377" s="1">
        <v>0.5</v>
      </c>
      <c r="E377" s="1">
        <v>1000</v>
      </c>
      <c r="F377" s="1">
        <v>1</v>
      </c>
      <c r="G377" s="1">
        <v>4</v>
      </c>
      <c r="H377" s="1" t="s">
        <v>15</v>
      </c>
      <c r="I377" s="1">
        <v>281856.2</v>
      </c>
      <c r="J377" s="1">
        <v>115121.2</v>
      </c>
      <c r="K377" s="1">
        <v>166735</v>
      </c>
      <c r="L377" s="1">
        <v>2400</v>
      </c>
      <c r="M377" s="1">
        <v>600.83000000000004</v>
      </c>
      <c r="N377" s="1">
        <v>68273.399999999994</v>
      </c>
      <c r="O377" s="1">
        <v>92243.9</v>
      </c>
      <c r="P377" s="1">
        <v>160517.29999999999</v>
      </c>
      <c r="Q377" s="1">
        <v>43758.400000000001</v>
      </c>
      <c r="R377" s="1">
        <v>5852.6</v>
      </c>
      <c r="S377" s="1">
        <v>49611</v>
      </c>
      <c r="T377" s="1">
        <v>25.45</v>
      </c>
      <c r="U377" s="1">
        <v>0.31</v>
      </c>
      <c r="V377" s="1">
        <v>5783.9</v>
      </c>
      <c r="W377" s="1">
        <v>49542.3</v>
      </c>
      <c r="X377" s="1">
        <v>601.14</v>
      </c>
      <c r="Y377" s="1">
        <v>2397</v>
      </c>
      <c r="Z377" s="1">
        <v>210059.6</v>
      </c>
      <c r="AA377" s="1">
        <v>25.47</v>
      </c>
    </row>
    <row r="378" spans="1:27" x14ac:dyDescent="0.4">
      <c r="A378" s="1" t="s">
        <v>109</v>
      </c>
      <c r="B378" s="1">
        <v>8000</v>
      </c>
      <c r="C378" s="1">
        <v>0.2</v>
      </c>
      <c r="D378" s="1">
        <v>0.5</v>
      </c>
      <c r="E378" s="1">
        <v>1000</v>
      </c>
      <c r="F378" s="1">
        <v>1</v>
      </c>
      <c r="G378" s="1">
        <v>5</v>
      </c>
      <c r="H378" s="1" t="s">
        <v>592</v>
      </c>
      <c r="I378" s="1">
        <v>290451.90000000002</v>
      </c>
      <c r="J378" s="1">
        <v>115475.8</v>
      </c>
      <c r="K378" s="1">
        <v>174976.1</v>
      </c>
      <c r="L378" s="1">
        <v>2400</v>
      </c>
      <c r="M378" s="1">
        <v>602.76</v>
      </c>
      <c r="N378" s="1">
        <v>67204.3</v>
      </c>
      <c r="O378" s="1">
        <v>94245.6</v>
      </c>
      <c r="P378" s="1">
        <v>161449.9</v>
      </c>
      <c r="Q378" s="1">
        <v>42534.9</v>
      </c>
      <c r="R378" s="1">
        <v>7146.5</v>
      </c>
      <c r="S378" s="1">
        <v>49681.4</v>
      </c>
      <c r="T378" s="1">
        <v>27.31</v>
      </c>
      <c r="U378" s="1">
        <v>1.42</v>
      </c>
      <c r="V378" s="1">
        <v>7068.8</v>
      </c>
      <c r="W378" s="1">
        <v>49603.7</v>
      </c>
      <c r="X378" s="1">
        <v>604.17999999999995</v>
      </c>
      <c r="Y378" s="1">
        <v>2333</v>
      </c>
      <c r="Z378" s="1">
        <v>211053.6</v>
      </c>
      <c r="AA378" s="1">
        <v>27.34</v>
      </c>
    </row>
    <row r="379" spans="1:27" x14ac:dyDescent="0.4">
      <c r="A379" s="1" t="s">
        <v>109</v>
      </c>
      <c r="B379" s="1">
        <v>8000</v>
      </c>
      <c r="C379" s="1">
        <v>0.2</v>
      </c>
      <c r="D379" s="1">
        <v>0.5</v>
      </c>
      <c r="E379" s="1">
        <v>1000</v>
      </c>
      <c r="F379" s="1">
        <v>1</v>
      </c>
      <c r="G379" s="1">
        <v>5</v>
      </c>
      <c r="H379" s="1" t="s">
        <v>14</v>
      </c>
      <c r="I379" s="1">
        <v>290451.90000000002</v>
      </c>
      <c r="J379" s="1">
        <v>115475.8</v>
      </c>
      <c r="K379" s="1">
        <v>174976.1</v>
      </c>
      <c r="L379" s="1">
        <v>2400</v>
      </c>
      <c r="M379" s="1">
        <v>600.04</v>
      </c>
      <c r="N379" s="1">
        <v>69725.3</v>
      </c>
      <c r="O379" s="1">
        <v>95513</v>
      </c>
      <c r="P379" s="1">
        <v>165238.29999999999</v>
      </c>
      <c r="Q379" s="1">
        <v>40981.800000000003</v>
      </c>
      <c r="R379" s="1">
        <v>7211.8</v>
      </c>
      <c r="S379" s="1">
        <v>48193.599999999999</v>
      </c>
      <c r="T379" s="1">
        <v>26.52</v>
      </c>
      <c r="U379" s="1">
        <v>0.39</v>
      </c>
      <c r="V379" s="1">
        <v>7034.7</v>
      </c>
      <c r="W379" s="1">
        <v>48016.5</v>
      </c>
      <c r="X379" s="1">
        <v>600.41999999999996</v>
      </c>
      <c r="Y379" s="1">
        <v>2399</v>
      </c>
      <c r="Z379" s="1">
        <v>213254.8</v>
      </c>
      <c r="AA379" s="1">
        <v>26.58</v>
      </c>
    </row>
    <row r="380" spans="1:27" x14ac:dyDescent="0.4">
      <c r="A380" s="1" t="s">
        <v>109</v>
      </c>
      <c r="B380" s="1">
        <v>8000</v>
      </c>
      <c r="C380" s="1">
        <v>0.2</v>
      </c>
      <c r="D380" s="1">
        <v>0.5</v>
      </c>
      <c r="E380" s="1">
        <v>1000</v>
      </c>
      <c r="F380" s="1">
        <v>1</v>
      </c>
      <c r="G380" s="1">
        <v>5</v>
      </c>
      <c r="H380" s="1" t="s">
        <v>580</v>
      </c>
      <c r="I380" s="1">
        <v>290451.90000000002</v>
      </c>
      <c r="J380" s="1">
        <v>115475.8</v>
      </c>
      <c r="K380" s="1">
        <v>174976.1</v>
      </c>
      <c r="L380" s="1">
        <v>2400</v>
      </c>
      <c r="M380" s="1">
        <v>600.21</v>
      </c>
      <c r="N380" s="1">
        <v>66361.3</v>
      </c>
      <c r="O380" s="1">
        <v>94793.4</v>
      </c>
      <c r="P380" s="1">
        <v>161154.70000000001</v>
      </c>
      <c r="Q380" s="1">
        <v>39294.400000000001</v>
      </c>
      <c r="R380" s="1">
        <v>15349.3</v>
      </c>
      <c r="S380" s="1">
        <v>54643.7</v>
      </c>
      <c r="T380" s="1">
        <v>25.7</v>
      </c>
      <c r="U380" s="1">
        <v>5.59</v>
      </c>
      <c r="V380" s="1">
        <v>14181.4</v>
      </c>
      <c r="W380" s="1">
        <v>53475.8</v>
      </c>
      <c r="X380" s="1">
        <v>605.79999999999995</v>
      </c>
      <c r="Y380" s="1">
        <v>2301</v>
      </c>
      <c r="Z380" s="1">
        <v>214630.5</v>
      </c>
      <c r="AA380" s="1">
        <v>26.1</v>
      </c>
    </row>
    <row r="381" spans="1:27" x14ac:dyDescent="0.4">
      <c r="A381" s="1" t="s">
        <v>109</v>
      </c>
      <c r="B381" s="1">
        <v>8000</v>
      </c>
      <c r="C381" s="1">
        <v>0.2</v>
      </c>
      <c r="D381" s="1">
        <v>0.5</v>
      </c>
      <c r="E381" s="1">
        <v>1000</v>
      </c>
      <c r="F381" s="1">
        <v>1</v>
      </c>
      <c r="G381" s="1">
        <v>5</v>
      </c>
      <c r="H381" s="1" t="s">
        <v>15</v>
      </c>
      <c r="I381" s="1">
        <v>290451.90000000002</v>
      </c>
      <c r="J381" s="1">
        <v>115475.8</v>
      </c>
      <c r="K381" s="1">
        <v>174976.1</v>
      </c>
      <c r="L381" s="1">
        <v>2400</v>
      </c>
      <c r="M381" s="1">
        <v>600</v>
      </c>
      <c r="N381" s="1">
        <v>66457.5</v>
      </c>
      <c r="O381" s="1">
        <v>92950.9</v>
      </c>
      <c r="P381" s="1">
        <v>159408.4</v>
      </c>
      <c r="Q381" s="1">
        <v>46312.2</v>
      </c>
      <c r="R381" s="1">
        <v>6339.1</v>
      </c>
      <c r="S381" s="1">
        <v>52651.3</v>
      </c>
      <c r="T381" s="1">
        <v>26.99</v>
      </c>
      <c r="U381" s="1">
        <v>0.36</v>
      </c>
      <c r="V381" s="1">
        <v>6160.4</v>
      </c>
      <c r="W381" s="1">
        <v>52472.6</v>
      </c>
      <c r="X381" s="1">
        <v>600.36</v>
      </c>
      <c r="Y381" s="1">
        <v>2400</v>
      </c>
      <c r="Z381" s="1">
        <v>211881</v>
      </c>
      <c r="AA381" s="1">
        <v>27.05</v>
      </c>
    </row>
    <row r="382" spans="1:27" x14ac:dyDescent="0.4">
      <c r="A382" s="1" t="s">
        <v>110</v>
      </c>
      <c r="B382" s="1">
        <v>8000</v>
      </c>
      <c r="C382" s="1">
        <v>0.2</v>
      </c>
      <c r="D382" s="1">
        <v>0.5</v>
      </c>
      <c r="E382" s="1">
        <v>1000</v>
      </c>
      <c r="F382" s="1">
        <v>2</v>
      </c>
      <c r="G382" s="1">
        <v>1</v>
      </c>
      <c r="H382" s="1" t="s">
        <v>592</v>
      </c>
      <c r="I382" s="1">
        <v>451665.2</v>
      </c>
      <c r="J382" s="1">
        <v>173512.3</v>
      </c>
      <c r="K382" s="1">
        <v>278152.90000000002</v>
      </c>
      <c r="L382" s="1">
        <v>2400</v>
      </c>
      <c r="M382" s="1">
        <v>603</v>
      </c>
      <c r="N382" s="1">
        <v>102304.5</v>
      </c>
      <c r="O382" s="1">
        <v>149177.20000000001</v>
      </c>
      <c r="P382" s="1">
        <v>251481.7</v>
      </c>
      <c r="Q382" s="1">
        <v>45355.8</v>
      </c>
      <c r="R382" s="1">
        <v>8967.7000000000007</v>
      </c>
      <c r="S382" s="1">
        <v>54323.5</v>
      </c>
      <c r="T382" s="1">
        <v>32.29</v>
      </c>
      <c r="U382" s="1">
        <v>0.98</v>
      </c>
      <c r="V382" s="1">
        <v>8882.5</v>
      </c>
      <c r="W382" s="1">
        <v>54238.3</v>
      </c>
      <c r="X382" s="1">
        <v>603.98</v>
      </c>
      <c r="Y382" s="1">
        <v>2390</v>
      </c>
      <c r="Z382" s="1">
        <v>305720</v>
      </c>
      <c r="AA382" s="1">
        <v>32.31</v>
      </c>
    </row>
    <row r="383" spans="1:27" x14ac:dyDescent="0.4">
      <c r="A383" s="1" t="s">
        <v>110</v>
      </c>
      <c r="B383" s="1">
        <v>8000</v>
      </c>
      <c r="C383" s="1">
        <v>0.2</v>
      </c>
      <c r="D383" s="1">
        <v>0.5</v>
      </c>
      <c r="E383" s="1">
        <v>1000</v>
      </c>
      <c r="F383" s="1">
        <v>2</v>
      </c>
      <c r="G383" s="1">
        <v>1</v>
      </c>
      <c r="H383" s="1" t="s">
        <v>14</v>
      </c>
      <c r="I383" s="1">
        <v>451665.2</v>
      </c>
      <c r="J383" s="1">
        <v>173512.3</v>
      </c>
      <c r="K383" s="1">
        <v>278152.90000000002</v>
      </c>
      <c r="L383" s="1">
        <v>2400</v>
      </c>
      <c r="M383" s="1">
        <v>600.01</v>
      </c>
      <c r="N383" s="1">
        <v>99904.9</v>
      </c>
      <c r="O383" s="1">
        <v>146245.79999999999</v>
      </c>
      <c r="P383" s="1">
        <v>246150.7</v>
      </c>
      <c r="Q383" s="1">
        <v>47451.7</v>
      </c>
      <c r="R383" s="1">
        <v>10736.2</v>
      </c>
      <c r="S383" s="1">
        <v>58187.9</v>
      </c>
      <c r="T383" s="1">
        <v>32.619999999999997</v>
      </c>
      <c r="U383" s="1">
        <v>0.51</v>
      </c>
      <c r="V383" s="1">
        <v>10221.799999999999</v>
      </c>
      <c r="W383" s="1">
        <v>57673.5</v>
      </c>
      <c r="X383" s="1">
        <v>600.52</v>
      </c>
      <c r="Y383" s="1">
        <v>2398</v>
      </c>
      <c r="Z383" s="1">
        <v>303824.2</v>
      </c>
      <c r="AA383" s="1">
        <v>32.729999999999997</v>
      </c>
    </row>
    <row r="384" spans="1:27" x14ac:dyDescent="0.4">
      <c r="A384" s="1" t="s">
        <v>110</v>
      </c>
      <c r="B384" s="1">
        <v>8000</v>
      </c>
      <c r="C384" s="1">
        <v>0.2</v>
      </c>
      <c r="D384" s="1">
        <v>0.5</v>
      </c>
      <c r="E384" s="1">
        <v>1000</v>
      </c>
      <c r="F384" s="1">
        <v>2</v>
      </c>
      <c r="G384" s="1">
        <v>1</v>
      </c>
      <c r="H384" s="1" t="s">
        <v>580</v>
      </c>
      <c r="I384" s="1">
        <v>451665.2</v>
      </c>
      <c r="J384" s="1">
        <v>173512.3</v>
      </c>
      <c r="K384" s="1">
        <v>278152.90000000002</v>
      </c>
      <c r="L384" s="1">
        <v>2400</v>
      </c>
      <c r="M384" s="1">
        <v>600.83000000000004</v>
      </c>
      <c r="N384" s="1">
        <v>102171.3</v>
      </c>
      <c r="O384" s="1">
        <v>153003.4</v>
      </c>
      <c r="P384" s="1">
        <v>255174.7</v>
      </c>
      <c r="Q384" s="1">
        <v>39793.300000000003</v>
      </c>
      <c r="R384" s="1">
        <v>17484.8</v>
      </c>
      <c r="S384" s="1">
        <v>57278.1</v>
      </c>
      <c r="T384" s="1">
        <v>30.82</v>
      </c>
      <c r="U384" s="1">
        <v>5.52</v>
      </c>
      <c r="V384" s="1">
        <v>16004.6</v>
      </c>
      <c r="W384" s="1">
        <v>55797.9</v>
      </c>
      <c r="X384" s="1">
        <v>606.35</v>
      </c>
      <c r="Y384" s="1">
        <v>2400</v>
      </c>
      <c r="Z384" s="1">
        <v>310972.59999999998</v>
      </c>
      <c r="AA384" s="1">
        <v>31.15</v>
      </c>
    </row>
    <row r="385" spans="1:27" x14ac:dyDescent="0.4">
      <c r="A385" s="1" t="s">
        <v>110</v>
      </c>
      <c r="B385" s="1">
        <v>8000</v>
      </c>
      <c r="C385" s="1">
        <v>0.2</v>
      </c>
      <c r="D385" s="1">
        <v>0.5</v>
      </c>
      <c r="E385" s="1">
        <v>1000</v>
      </c>
      <c r="F385" s="1">
        <v>2</v>
      </c>
      <c r="G385" s="1">
        <v>1</v>
      </c>
      <c r="H385" s="1" t="s">
        <v>15</v>
      </c>
      <c r="I385" s="1">
        <v>451665.2</v>
      </c>
      <c r="J385" s="1">
        <v>173512.3</v>
      </c>
      <c r="K385" s="1">
        <v>278152.90000000002</v>
      </c>
      <c r="L385" s="1">
        <v>2400</v>
      </c>
      <c r="M385" s="1">
        <v>600.82000000000005</v>
      </c>
      <c r="N385" s="1">
        <v>100987.8</v>
      </c>
      <c r="O385" s="1">
        <v>145723.20000000001</v>
      </c>
      <c r="P385" s="1">
        <v>246711</v>
      </c>
      <c r="Q385" s="1">
        <v>50248.6</v>
      </c>
      <c r="R385" s="1">
        <v>8610.2999999999993</v>
      </c>
      <c r="S385" s="1">
        <v>58858.9</v>
      </c>
      <c r="T385" s="1">
        <v>32.35</v>
      </c>
      <c r="U385" s="1">
        <v>0.3</v>
      </c>
      <c r="V385" s="1">
        <v>8232.6</v>
      </c>
      <c r="W385" s="1">
        <v>58481.2</v>
      </c>
      <c r="X385" s="1">
        <v>601.13</v>
      </c>
      <c r="Y385" s="1">
        <v>2381</v>
      </c>
      <c r="Z385" s="1">
        <v>305192.2</v>
      </c>
      <c r="AA385" s="1">
        <v>32.43</v>
      </c>
    </row>
    <row r="386" spans="1:27" x14ac:dyDescent="0.4">
      <c r="A386" s="1" t="s">
        <v>111</v>
      </c>
      <c r="B386" s="1">
        <v>8000</v>
      </c>
      <c r="C386" s="1">
        <v>0.2</v>
      </c>
      <c r="D386" s="1">
        <v>0.5</v>
      </c>
      <c r="E386" s="1">
        <v>1000</v>
      </c>
      <c r="F386" s="1">
        <v>2</v>
      </c>
      <c r="G386" s="1">
        <v>2</v>
      </c>
      <c r="H386" s="1" t="s">
        <v>592</v>
      </c>
      <c r="I386" s="1">
        <v>440100.8</v>
      </c>
      <c r="J386" s="1">
        <v>164654.6</v>
      </c>
      <c r="K386" s="1">
        <v>275446.2</v>
      </c>
      <c r="L386" s="1">
        <v>2400</v>
      </c>
      <c r="M386" s="1">
        <v>602.30999999999995</v>
      </c>
      <c r="N386" s="1">
        <v>96734.7</v>
      </c>
      <c r="O386" s="1">
        <v>146171.20000000001</v>
      </c>
      <c r="P386" s="1">
        <v>242905.9</v>
      </c>
      <c r="Q386" s="1">
        <v>43590.8</v>
      </c>
      <c r="R386" s="1">
        <v>8894.2999999999993</v>
      </c>
      <c r="S386" s="1">
        <v>52485.1</v>
      </c>
      <c r="T386" s="1">
        <v>32.880000000000003</v>
      </c>
      <c r="U386" s="1">
        <v>0.98</v>
      </c>
      <c r="V386" s="1">
        <v>8791.9</v>
      </c>
      <c r="W386" s="1">
        <v>52382.7</v>
      </c>
      <c r="X386" s="1">
        <v>603.28</v>
      </c>
      <c r="Y386" s="1">
        <v>2386</v>
      </c>
      <c r="Z386" s="1">
        <v>295288.59999999998</v>
      </c>
      <c r="AA386" s="1">
        <v>32.9</v>
      </c>
    </row>
    <row r="387" spans="1:27" x14ac:dyDescent="0.4">
      <c r="A387" s="1" t="s">
        <v>111</v>
      </c>
      <c r="B387" s="1">
        <v>8000</v>
      </c>
      <c r="C387" s="1">
        <v>0.2</v>
      </c>
      <c r="D387" s="1">
        <v>0.5</v>
      </c>
      <c r="E387" s="1">
        <v>1000</v>
      </c>
      <c r="F387" s="1">
        <v>2</v>
      </c>
      <c r="G387" s="1">
        <v>2</v>
      </c>
      <c r="H387" s="1" t="s">
        <v>14</v>
      </c>
      <c r="I387" s="1">
        <v>440100.8</v>
      </c>
      <c r="J387" s="1">
        <v>164654.6</v>
      </c>
      <c r="K387" s="1">
        <v>275446.2</v>
      </c>
      <c r="L387" s="1">
        <v>2400</v>
      </c>
      <c r="M387" s="1">
        <v>600.01</v>
      </c>
      <c r="N387" s="1">
        <v>96157.6</v>
      </c>
      <c r="O387" s="1">
        <v>143190</v>
      </c>
      <c r="P387" s="1">
        <v>239347.6</v>
      </c>
      <c r="Q387" s="1">
        <v>45707.9</v>
      </c>
      <c r="R387" s="1">
        <v>10446.299999999999</v>
      </c>
      <c r="S387" s="1">
        <v>56154.2</v>
      </c>
      <c r="T387" s="1">
        <v>32.86</v>
      </c>
      <c r="U387" s="1">
        <v>0.5</v>
      </c>
      <c r="V387" s="1">
        <v>9933.2999999999993</v>
      </c>
      <c r="W387" s="1">
        <v>55641.2</v>
      </c>
      <c r="X387" s="1">
        <v>600.51</v>
      </c>
      <c r="Y387" s="1">
        <v>2400</v>
      </c>
      <c r="Z387" s="1">
        <v>294988.79999999999</v>
      </c>
      <c r="AA387" s="1">
        <v>32.97</v>
      </c>
    </row>
    <row r="388" spans="1:27" x14ac:dyDescent="0.4">
      <c r="A388" s="1" t="s">
        <v>111</v>
      </c>
      <c r="B388" s="1">
        <v>8000</v>
      </c>
      <c r="C388" s="1">
        <v>0.2</v>
      </c>
      <c r="D388" s="1">
        <v>0.5</v>
      </c>
      <c r="E388" s="1">
        <v>1000</v>
      </c>
      <c r="F388" s="1">
        <v>2</v>
      </c>
      <c r="G388" s="1">
        <v>2</v>
      </c>
      <c r="H388" s="1" t="s">
        <v>580</v>
      </c>
      <c r="I388" s="1">
        <v>440100.8</v>
      </c>
      <c r="J388" s="1">
        <v>164654.6</v>
      </c>
      <c r="K388" s="1">
        <v>275446.2</v>
      </c>
      <c r="L388" s="1">
        <v>2400</v>
      </c>
      <c r="M388" s="1">
        <v>601</v>
      </c>
      <c r="N388" s="1">
        <v>97368.1</v>
      </c>
      <c r="O388" s="1">
        <v>147233.79999999999</v>
      </c>
      <c r="P388" s="1">
        <v>244601.9</v>
      </c>
      <c r="Q388" s="1">
        <v>39361.699999999997</v>
      </c>
      <c r="R388" s="1">
        <v>16748.900000000001</v>
      </c>
      <c r="S388" s="1">
        <v>56110.6</v>
      </c>
      <c r="T388" s="1">
        <v>31.67</v>
      </c>
      <c r="U388" s="1">
        <v>5.37</v>
      </c>
      <c r="V388" s="1">
        <v>15238.1</v>
      </c>
      <c r="W388" s="1">
        <v>54599.8</v>
      </c>
      <c r="X388" s="1">
        <v>606.37</v>
      </c>
      <c r="Y388" s="1">
        <v>2400</v>
      </c>
      <c r="Z388" s="1">
        <v>299201.7</v>
      </c>
      <c r="AA388" s="1">
        <v>32.020000000000003</v>
      </c>
    </row>
    <row r="389" spans="1:27" x14ac:dyDescent="0.4">
      <c r="A389" s="1" t="s">
        <v>111</v>
      </c>
      <c r="B389" s="1">
        <v>8000</v>
      </c>
      <c r="C389" s="1">
        <v>0.2</v>
      </c>
      <c r="D389" s="1">
        <v>0.5</v>
      </c>
      <c r="E389" s="1">
        <v>1000</v>
      </c>
      <c r="F389" s="1">
        <v>2</v>
      </c>
      <c r="G389" s="1">
        <v>2</v>
      </c>
      <c r="H389" s="1" t="s">
        <v>15</v>
      </c>
      <c r="I389" s="1">
        <v>440100.8</v>
      </c>
      <c r="J389" s="1">
        <v>164654.6</v>
      </c>
      <c r="K389" s="1">
        <v>275446.2</v>
      </c>
      <c r="L389" s="1">
        <v>2400</v>
      </c>
      <c r="M389" s="1">
        <v>600.85</v>
      </c>
      <c r="N389" s="1">
        <v>95389.4</v>
      </c>
      <c r="O389" s="1">
        <v>142990.1</v>
      </c>
      <c r="P389" s="1">
        <v>238379.5</v>
      </c>
      <c r="Q389" s="1">
        <v>49344.800000000003</v>
      </c>
      <c r="R389" s="1">
        <v>8096.7</v>
      </c>
      <c r="S389" s="1">
        <v>57441.5</v>
      </c>
      <c r="T389" s="1">
        <v>32.78</v>
      </c>
      <c r="U389" s="1">
        <v>0.34</v>
      </c>
      <c r="V389" s="1">
        <v>7747.6</v>
      </c>
      <c r="W389" s="1">
        <v>57092.4</v>
      </c>
      <c r="X389" s="1">
        <v>601.19000000000005</v>
      </c>
      <c r="Y389" s="1">
        <v>2400</v>
      </c>
      <c r="Z389" s="1">
        <v>295471.90000000002</v>
      </c>
      <c r="AA389" s="1">
        <v>32.86</v>
      </c>
    </row>
    <row r="390" spans="1:27" x14ac:dyDescent="0.4">
      <c r="A390" s="1" t="s">
        <v>112</v>
      </c>
      <c r="B390" s="1">
        <v>8000</v>
      </c>
      <c r="C390" s="1">
        <v>0.2</v>
      </c>
      <c r="D390" s="1">
        <v>0.5</v>
      </c>
      <c r="E390" s="1">
        <v>1000</v>
      </c>
      <c r="F390" s="1">
        <v>2</v>
      </c>
      <c r="G390" s="1">
        <v>3</v>
      </c>
      <c r="H390" s="1" t="s">
        <v>592</v>
      </c>
      <c r="I390" s="1">
        <v>437246.5</v>
      </c>
      <c r="J390" s="1">
        <v>162976.70000000001</v>
      </c>
      <c r="K390" s="1">
        <v>274269.8</v>
      </c>
      <c r="L390" s="1">
        <v>2400</v>
      </c>
      <c r="M390" s="1">
        <v>603.54999999999995</v>
      </c>
      <c r="N390" s="1">
        <v>94781.5</v>
      </c>
      <c r="O390" s="1">
        <v>150874.5</v>
      </c>
      <c r="P390" s="1">
        <v>245656</v>
      </c>
      <c r="Q390" s="1">
        <v>42904</v>
      </c>
      <c r="R390" s="1">
        <v>8131.4</v>
      </c>
      <c r="S390" s="1">
        <v>51035.4</v>
      </c>
      <c r="T390" s="1">
        <v>32.15</v>
      </c>
      <c r="U390" s="1">
        <v>0.9</v>
      </c>
      <c r="V390" s="1">
        <v>8074.8</v>
      </c>
      <c r="W390" s="1">
        <v>50978.8</v>
      </c>
      <c r="X390" s="1">
        <v>604.44000000000005</v>
      </c>
      <c r="Y390" s="1">
        <v>2382</v>
      </c>
      <c r="Z390" s="1">
        <v>296634.8</v>
      </c>
      <c r="AA390" s="1">
        <v>32.159999999999997</v>
      </c>
    </row>
    <row r="391" spans="1:27" x14ac:dyDescent="0.4">
      <c r="A391" s="1" t="s">
        <v>112</v>
      </c>
      <c r="B391" s="1">
        <v>8000</v>
      </c>
      <c r="C391" s="1">
        <v>0.2</v>
      </c>
      <c r="D391" s="1">
        <v>0.5</v>
      </c>
      <c r="E391" s="1">
        <v>1000</v>
      </c>
      <c r="F391" s="1">
        <v>2</v>
      </c>
      <c r="G391" s="1">
        <v>3</v>
      </c>
      <c r="H391" s="1" t="s">
        <v>14</v>
      </c>
      <c r="I391" s="1">
        <v>437246.5</v>
      </c>
      <c r="J391" s="1">
        <v>162976.70000000001</v>
      </c>
      <c r="K391" s="1">
        <v>274269.8</v>
      </c>
      <c r="L391" s="1">
        <v>2400</v>
      </c>
      <c r="M391" s="1">
        <v>600.01</v>
      </c>
      <c r="N391" s="1">
        <v>95528.3</v>
      </c>
      <c r="O391" s="1">
        <v>145721.70000000001</v>
      </c>
      <c r="P391" s="1">
        <v>241250</v>
      </c>
      <c r="Q391" s="1">
        <v>44972.1</v>
      </c>
      <c r="R391" s="1">
        <v>10148.9</v>
      </c>
      <c r="S391" s="1">
        <v>55121</v>
      </c>
      <c r="T391" s="1">
        <v>32.22</v>
      </c>
      <c r="U391" s="1">
        <v>0.53</v>
      </c>
      <c r="V391" s="1">
        <v>9697.7999999999993</v>
      </c>
      <c r="W391" s="1">
        <v>54669.9</v>
      </c>
      <c r="X391" s="1">
        <v>600.53</v>
      </c>
      <c r="Y391" s="1">
        <v>2400</v>
      </c>
      <c r="Z391" s="1">
        <v>295919.90000000002</v>
      </c>
      <c r="AA391" s="1">
        <v>32.32</v>
      </c>
    </row>
    <row r="392" spans="1:27" x14ac:dyDescent="0.4">
      <c r="A392" s="1" t="s">
        <v>112</v>
      </c>
      <c r="B392" s="1">
        <v>8000</v>
      </c>
      <c r="C392" s="1">
        <v>0.2</v>
      </c>
      <c r="D392" s="1">
        <v>0.5</v>
      </c>
      <c r="E392" s="1">
        <v>1000</v>
      </c>
      <c r="F392" s="1">
        <v>2</v>
      </c>
      <c r="G392" s="1">
        <v>3</v>
      </c>
      <c r="H392" s="1" t="s">
        <v>580</v>
      </c>
      <c r="I392" s="1">
        <v>437246.5</v>
      </c>
      <c r="J392" s="1">
        <v>162976.70000000001</v>
      </c>
      <c r="K392" s="1">
        <v>274269.8</v>
      </c>
      <c r="L392" s="1">
        <v>2400</v>
      </c>
      <c r="M392" s="1">
        <v>600.51</v>
      </c>
      <c r="N392" s="1">
        <v>95703.7</v>
      </c>
      <c r="O392" s="1">
        <v>151929.9</v>
      </c>
      <c r="P392" s="1">
        <v>247633.6</v>
      </c>
      <c r="Q392" s="1">
        <v>39012.300000000003</v>
      </c>
      <c r="R392" s="1">
        <v>16828.7</v>
      </c>
      <c r="S392" s="1">
        <v>55841</v>
      </c>
      <c r="T392" s="1">
        <v>30.59</v>
      </c>
      <c r="U392" s="1">
        <v>5.27</v>
      </c>
      <c r="V392" s="1">
        <v>15357.3</v>
      </c>
      <c r="W392" s="1">
        <v>54369.599999999999</v>
      </c>
      <c r="X392" s="1">
        <v>605.79</v>
      </c>
      <c r="Y392" s="1">
        <v>2400</v>
      </c>
      <c r="Z392" s="1">
        <v>302003.20000000001</v>
      </c>
      <c r="AA392" s="1">
        <v>30.93</v>
      </c>
    </row>
    <row r="393" spans="1:27" x14ac:dyDescent="0.4">
      <c r="A393" s="1" t="s">
        <v>112</v>
      </c>
      <c r="B393" s="1">
        <v>8000</v>
      </c>
      <c r="C393" s="1">
        <v>0.2</v>
      </c>
      <c r="D393" s="1">
        <v>0.5</v>
      </c>
      <c r="E393" s="1">
        <v>1000</v>
      </c>
      <c r="F393" s="1">
        <v>2</v>
      </c>
      <c r="G393" s="1">
        <v>3</v>
      </c>
      <c r="H393" s="1" t="s">
        <v>15</v>
      </c>
      <c r="I393" s="1">
        <v>437246.5</v>
      </c>
      <c r="J393" s="1">
        <v>162976.70000000001</v>
      </c>
      <c r="K393" s="1">
        <v>274269.8</v>
      </c>
      <c r="L393" s="1">
        <v>2400</v>
      </c>
      <c r="M393" s="1">
        <v>600.72</v>
      </c>
      <c r="N393" s="1">
        <v>92786.5</v>
      </c>
      <c r="O393" s="1">
        <v>145039.29999999999</v>
      </c>
      <c r="P393" s="1">
        <v>237825.8</v>
      </c>
      <c r="Q393" s="1">
        <v>48677.3</v>
      </c>
      <c r="R393" s="1">
        <v>8352.5</v>
      </c>
      <c r="S393" s="1">
        <v>57029.8</v>
      </c>
      <c r="T393" s="1">
        <v>32.57</v>
      </c>
      <c r="U393" s="1">
        <v>0.34</v>
      </c>
      <c r="V393" s="1">
        <v>8009.7</v>
      </c>
      <c r="W393" s="1">
        <v>56687</v>
      </c>
      <c r="X393" s="1">
        <v>601.05999999999995</v>
      </c>
      <c r="Y393" s="1">
        <v>2386</v>
      </c>
      <c r="Z393" s="1">
        <v>294512.8</v>
      </c>
      <c r="AA393" s="1">
        <v>32.64</v>
      </c>
    </row>
    <row r="394" spans="1:27" x14ac:dyDescent="0.4">
      <c r="A394" s="1" t="s">
        <v>113</v>
      </c>
      <c r="B394" s="1">
        <v>8000</v>
      </c>
      <c r="C394" s="1">
        <v>0.2</v>
      </c>
      <c r="D394" s="1">
        <v>0.5</v>
      </c>
      <c r="E394" s="1">
        <v>1000</v>
      </c>
      <c r="F394" s="1">
        <v>2</v>
      </c>
      <c r="G394" s="1">
        <v>4</v>
      </c>
      <c r="H394" s="1" t="s">
        <v>592</v>
      </c>
      <c r="I394" s="1">
        <v>456550.1</v>
      </c>
      <c r="J394" s="1">
        <v>164153.29999999999</v>
      </c>
      <c r="K394" s="1">
        <v>292396.79999999999</v>
      </c>
      <c r="L394" s="1">
        <v>2400</v>
      </c>
      <c r="M394" s="1">
        <v>602.87</v>
      </c>
      <c r="N394" s="1">
        <v>95336.5</v>
      </c>
      <c r="O394" s="1">
        <v>157027.20000000001</v>
      </c>
      <c r="P394" s="1">
        <v>252363.7</v>
      </c>
      <c r="Q394" s="1">
        <v>46067.5</v>
      </c>
      <c r="R394" s="1">
        <v>9211.7000000000007</v>
      </c>
      <c r="S394" s="1">
        <v>55279.199999999997</v>
      </c>
      <c r="T394" s="1">
        <v>32.619999999999997</v>
      </c>
      <c r="U394" s="1">
        <v>0.98</v>
      </c>
      <c r="V394" s="1">
        <v>9076</v>
      </c>
      <c r="W394" s="1">
        <v>55143.5</v>
      </c>
      <c r="X394" s="1">
        <v>603.85</v>
      </c>
      <c r="Y394" s="1">
        <v>2391</v>
      </c>
      <c r="Z394" s="1">
        <v>307507.20000000001</v>
      </c>
      <c r="AA394" s="1">
        <v>32.65</v>
      </c>
    </row>
    <row r="395" spans="1:27" x14ac:dyDescent="0.4">
      <c r="A395" s="1" t="s">
        <v>113</v>
      </c>
      <c r="B395" s="1">
        <v>8000</v>
      </c>
      <c r="C395" s="1">
        <v>0.2</v>
      </c>
      <c r="D395" s="1">
        <v>0.5</v>
      </c>
      <c r="E395" s="1">
        <v>1000</v>
      </c>
      <c r="F395" s="1">
        <v>2</v>
      </c>
      <c r="G395" s="1">
        <v>4</v>
      </c>
      <c r="H395" s="1" t="s">
        <v>14</v>
      </c>
      <c r="I395" s="1">
        <v>456550.1</v>
      </c>
      <c r="J395" s="1">
        <v>164153.29999999999</v>
      </c>
      <c r="K395" s="1">
        <v>292396.79999999999</v>
      </c>
      <c r="L395" s="1">
        <v>2400</v>
      </c>
      <c r="M395" s="1">
        <v>600.02</v>
      </c>
      <c r="N395" s="1">
        <v>95448.7</v>
      </c>
      <c r="O395" s="1">
        <v>152946.9</v>
      </c>
      <c r="P395" s="1">
        <v>248395.6</v>
      </c>
      <c r="Q395" s="1">
        <v>47884.6</v>
      </c>
      <c r="R395" s="1">
        <v>10881.9</v>
      </c>
      <c r="S395" s="1">
        <v>58766.5</v>
      </c>
      <c r="T395" s="1">
        <v>32.72</v>
      </c>
      <c r="U395" s="1">
        <v>0.57999999999999996</v>
      </c>
      <c r="V395" s="1">
        <v>10290.5</v>
      </c>
      <c r="W395" s="1">
        <v>58175.1</v>
      </c>
      <c r="X395" s="1">
        <v>600.6</v>
      </c>
      <c r="Y395" s="1">
        <v>2399</v>
      </c>
      <c r="Z395" s="1">
        <v>306570.7</v>
      </c>
      <c r="AA395" s="1">
        <v>32.85</v>
      </c>
    </row>
    <row r="396" spans="1:27" x14ac:dyDescent="0.4">
      <c r="A396" s="1" t="s">
        <v>113</v>
      </c>
      <c r="B396" s="1">
        <v>8000</v>
      </c>
      <c r="C396" s="1">
        <v>0.2</v>
      </c>
      <c r="D396" s="1">
        <v>0.5</v>
      </c>
      <c r="E396" s="1">
        <v>1000</v>
      </c>
      <c r="F396" s="1">
        <v>2</v>
      </c>
      <c r="G396" s="1">
        <v>4</v>
      </c>
      <c r="H396" s="1" t="s">
        <v>580</v>
      </c>
      <c r="I396" s="1">
        <v>456550.1</v>
      </c>
      <c r="J396" s="1">
        <v>164153.29999999999</v>
      </c>
      <c r="K396" s="1">
        <v>292396.79999999999</v>
      </c>
      <c r="L396" s="1">
        <v>2400</v>
      </c>
      <c r="M396" s="1">
        <v>600.66</v>
      </c>
      <c r="N396" s="1">
        <v>96272.4</v>
      </c>
      <c r="O396" s="1">
        <v>159756.4</v>
      </c>
      <c r="P396" s="1">
        <v>256028.79999999999</v>
      </c>
      <c r="Q396" s="1">
        <v>40475.1</v>
      </c>
      <c r="R396" s="1">
        <v>18221.599999999999</v>
      </c>
      <c r="S396" s="1">
        <v>58696.7</v>
      </c>
      <c r="T396" s="1">
        <v>31.06</v>
      </c>
      <c r="U396" s="1">
        <v>4.9400000000000004</v>
      </c>
      <c r="V396" s="1">
        <v>16503</v>
      </c>
      <c r="W396" s="1">
        <v>56978.1</v>
      </c>
      <c r="X396" s="1">
        <v>605.6</v>
      </c>
      <c r="Y396" s="1">
        <v>2400</v>
      </c>
      <c r="Z396" s="1">
        <v>313006.90000000002</v>
      </c>
      <c r="AA396" s="1">
        <v>31.44</v>
      </c>
    </row>
    <row r="397" spans="1:27" x14ac:dyDescent="0.4">
      <c r="A397" s="1" t="s">
        <v>113</v>
      </c>
      <c r="B397" s="1">
        <v>8000</v>
      </c>
      <c r="C397" s="1">
        <v>0.2</v>
      </c>
      <c r="D397" s="1">
        <v>0.5</v>
      </c>
      <c r="E397" s="1">
        <v>1000</v>
      </c>
      <c r="F397" s="1">
        <v>2</v>
      </c>
      <c r="G397" s="1">
        <v>4</v>
      </c>
      <c r="H397" s="1" t="s">
        <v>15</v>
      </c>
      <c r="I397" s="1">
        <v>456550.1</v>
      </c>
      <c r="J397" s="1">
        <v>164153.29999999999</v>
      </c>
      <c r="K397" s="1">
        <v>292396.79999999999</v>
      </c>
      <c r="L397" s="1">
        <v>2400</v>
      </c>
      <c r="M397" s="1">
        <v>600.53</v>
      </c>
      <c r="N397" s="1">
        <v>93819.199999999997</v>
      </c>
      <c r="O397" s="1">
        <v>151185.29999999999</v>
      </c>
      <c r="P397" s="1">
        <v>245004.5</v>
      </c>
      <c r="Q397" s="1">
        <v>50851</v>
      </c>
      <c r="R397" s="1">
        <v>9235.2999999999993</v>
      </c>
      <c r="S397" s="1">
        <v>60086.3</v>
      </c>
      <c r="T397" s="1">
        <v>33.17</v>
      </c>
      <c r="U397" s="1">
        <v>0.51</v>
      </c>
      <c r="V397" s="1">
        <v>8809.2999999999993</v>
      </c>
      <c r="W397" s="1">
        <v>59660.3</v>
      </c>
      <c r="X397" s="1">
        <v>601.04</v>
      </c>
      <c r="Y397" s="1">
        <v>2399</v>
      </c>
      <c r="Z397" s="1">
        <v>304664.8</v>
      </c>
      <c r="AA397" s="1">
        <v>33.270000000000003</v>
      </c>
    </row>
    <row r="398" spans="1:27" x14ac:dyDescent="0.4">
      <c r="A398" s="1" t="s">
        <v>114</v>
      </c>
      <c r="B398" s="1">
        <v>8000</v>
      </c>
      <c r="C398" s="1">
        <v>0.2</v>
      </c>
      <c r="D398" s="1">
        <v>0.5</v>
      </c>
      <c r="E398" s="1">
        <v>1000</v>
      </c>
      <c r="F398" s="1">
        <v>2</v>
      </c>
      <c r="G398" s="1">
        <v>5</v>
      </c>
      <c r="H398" s="1" t="s">
        <v>592</v>
      </c>
      <c r="I398" s="1">
        <v>457523.20000000001</v>
      </c>
      <c r="J398" s="1">
        <v>176183.7</v>
      </c>
      <c r="K398" s="1">
        <v>281339.5</v>
      </c>
      <c r="L398" s="1">
        <v>2400</v>
      </c>
      <c r="M398" s="1">
        <v>603</v>
      </c>
      <c r="N398" s="1">
        <v>101695.5</v>
      </c>
      <c r="O398" s="1">
        <v>151342.6</v>
      </c>
      <c r="P398" s="1">
        <v>253038.1</v>
      </c>
      <c r="Q398" s="1">
        <v>45831.5</v>
      </c>
      <c r="R398" s="1">
        <v>9058.2000000000007</v>
      </c>
      <c r="S398" s="1">
        <v>54889.7</v>
      </c>
      <c r="T398" s="1">
        <v>32.700000000000003</v>
      </c>
      <c r="U398" s="1">
        <v>1.18</v>
      </c>
      <c r="V398" s="1">
        <v>9007.4</v>
      </c>
      <c r="W398" s="1">
        <v>54838.9</v>
      </c>
      <c r="X398" s="1">
        <v>604.17999999999995</v>
      </c>
      <c r="Y398" s="1">
        <v>2398</v>
      </c>
      <c r="Z398" s="1">
        <v>307877</v>
      </c>
      <c r="AA398" s="1">
        <v>32.71</v>
      </c>
    </row>
    <row r="399" spans="1:27" x14ac:dyDescent="0.4">
      <c r="A399" s="1" t="s">
        <v>114</v>
      </c>
      <c r="B399" s="1">
        <v>8000</v>
      </c>
      <c r="C399" s="1">
        <v>0.2</v>
      </c>
      <c r="D399" s="1">
        <v>0.5</v>
      </c>
      <c r="E399" s="1">
        <v>1000</v>
      </c>
      <c r="F399" s="1">
        <v>2</v>
      </c>
      <c r="G399" s="1">
        <v>5</v>
      </c>
      <c r="H399" s="1" t="s">
        <v>14</v>
      </c>
      <c r="I399" s="1">
        <v>457523.20000000001</v>
      </c>
      <c r="J399" s="1">
        <v>176183.7</v>
      </c>
      <c r="K399" s="1">
        <v>281339.5</v>
      </c>
      <c r="L399" s="1">
        <v>2400</v>
      </c>
      <c r="M399" s="1">
        <v>600</v>
      </c>
      <c r="N399" s="1">
        <v>99805.5</v>
      </c>
      <c r="O399" s="1">
        <v>147084.4</v>
      </c>
      <c r="P399" s="1">
        <v>246889.9</v>
      </c>
      <c r="Q399" s="1">
        <v>48061.5</v>
      </c>
      <c r="R399" s="1">
        <v>11013.6</v>
      </c>
      <c r="S399" s="1">
        <v>59075.1</v>
      </c>
      <c r="T399" s="1">
        <v>33.130000000000003</v>
      </c>
      <c r="U399" s="1">
        <v>0.49</v>
      </c>
      <c r="V399" s="1">
        <v>10411.200000000001</v>
      </c>
      <c r="W399" s="1">
        <v>58472.7</v>
      </c>
      <c r="X399" s="1">
        <v>600.49</v>
      </c>
      <c r="Y399" s="1">
        <v>2400</v>
      </c>
      <c r="Z399" s="1">
        <v>305362.59999999998</v>
      </c>
      <c r="AA399" s="1">
        <v>33.26</v>
      </c>
    </row>
    <row r="400" spans="1:27" x14ac:dyDescent="0.4">
      <c r="A400" s="1" t="s">
        <v>114</v>
      </c>
      <c r="B400" s="1">
        <v>8000</v>
      </c>
      <c r="C400" s="1">
        <v>0.2</v>
      </c>
      <c r="D400" s="1">
        <v>0.5</v>
      </c>
      <c r="E400" s="1">
        <v>1000</v>
      </c>
      <c r="F400" s="1">
        <v>2</v>
      </c>
      <c r="G400" s="1">
        <v>5</v>
      </c>
      <c r="H400" s="1" t="s">
        <v>580</v>
      </c>
      <c r="I400" s="1">
        <v>457523.20000000001</v>
      </c>
      <c r="J400" s="1">
        <v>176183.7</v>
      </c>
      <c r="K400" s="1">
        <v>281339.5</v>
      </c>
      <c r="L400" s="1">
        <v>2400</v>
      </c>
      <c r="M400" s="1">
        <v>600</v>
      </c>
      <c r="N400" s="1">
        <v>101315.6</v>
      </c>
      <c r="O400" s="1">
        <v>152289.79999999999</v>
      </c>
      <c r="P400" s="1">
        <v>253605.4</v>
      </c>
      <c r="Q400" s="1">
        <v>40368.1</v>
      </c>
      <c r="R400" s="1">
        <v>18323.5</v>
      </c>
      <c r="S400" s="1">
        <v>58691.6</v>
      </c>
      <c r="T400" s="1">
        <v>31.74</v>
      </c>
      <c r="U400" s="1">
        <v>5.89</v>
      </c>
      <c r="V400" s="1">
        <v>16602</v>
      </c>
      <c r="W400" s="1">
        <v>56970.1</v>
      </c>
      <c r="X400" s="1">
        <v>605.89</v>
      </c>
      <c r="Y400" s="1">
        <v>2399</v>
      </c>
      <c r="Z400" s="1">
        <v>310575.5</v>
      </c>
      <c r="AA400" s="1">
        <v>32.119999999999997</v>
      </c>
    </row>
    <row r="401" spans="1:27" x14ac:dyDescent="0.4">
      <c r="A401" s="1" t="s">
        <v>114</v>
      </c>
      <c r="B401" s="1">
        <v>8000</v>
      </c>
      <c r="C401" s="1">
        <v>0.2</v>
      </c>
      <c r="D401" s="1">
        <v>0.5</v>
      </c>
      <c r="E401" s="1">
        <v>1000</v>
      </c>
      <c r="F401" s="1">
        <v>2</v>
      </c>
      <c r="G401" s="1">
        <v>5</v>
      </c>
      <c r="H401" s="1" t="s">
        <v>15</v>
      </c>
      <c r="I401" s="1">
        <v>457523.20000000001</v>
      </c>
      <c r="J401" s="1">
        <v>176183.7</v>
      </c>
      <c r="K401" s="1">
        <v>281339.5</v>
      </c>
      <c r="L401" s="1">
        <v>2400</v>
      </c>
      <c r="M401" s="1">
        <v>600.39</v>
      </c>
      <c r="N401" s="1">
        <v>99993.8</v>
      </c>
      <c r="O401" s="1">
        <v>148173.9</v>
      </c>
      <c r="P401" s="1">
        <v>248167.7</v>
      </c>
      <c r="Q401" s="1">
        <v>49533.1</v>
      </c>
      <c r="R401" s="1">
        <v>9290.2000000000007</v>
      </c>
      <c r="S401" s="1">
        <v>58823.3</v>
      </c>
      <c r="T401" s="1">
        <v>32.9</v>
      </c>
      <c r="U401" s="1">
        <v>0.38</v>
      </c>
      <c r="V401" s="1">
        <v>8953.2000000000007</v>
      </c>
      <c r="W401" s="1">
        <v>58486.3</v>
      </c>
      <c r="X401" s="1">
        <v>600.76</v>
      </c>
      <c r="Y401" s="1">
        <v>2399</v>
      </c>
      <c r="Z401" s="1">
        <v>306654</v>
      </c>
      <c r="AA401" s="1">
        <v>32.979999999999997</v>
      </c>
    </row>
    <row r="402" spans="1:27" x14ac:dyDescent="0.4">
      <c r="A402" s="1" t="s">
        <v>115</v>
      </c>
      <c r="B402" s="1">
        <v>8000</v>
      </c>
      <c r="C402" s="1">
        <v>0.2</v>
      </c>
      <c r="D402" s="1">
        <v>0.5</v>
      </c>
      <c r="E402" s="1">
        <v>1000</v>
      </c>
      <c r="F402" s="1">
        <v>3</v>
      </c>
      <c r="G402" s="1">
        <v>1</v>
      </c>
      <c r="H402" s="1" t="s">
        <v>592</v>
      </c>
      <c r="I402" s="1">
        <v>593161.5</v>
      </c>
      <c r="J402" s="1">
        <v>215760</v>
      </c>
      <c r="K402" s="1">
        <v>377401.5</v>
      </c>
      <c r="L402" s="1">
        <v>2400</v>
      </c>
      <c r="M402" s="1">
        <v>603.21</v>
      </c>
      <c r="N402" s="1">
        <v>123523.3</v>
      </c>
      <c r="O402" s="1">
        <v>210950.39999999999</v>
      </c>
      <c r="P402" s="1">
        <v>334473.7</v>
      </c>
      <c r="Q402" s="1">
        <v>49810.1</v>
      </c>
      <c r="R402" s="1">
        <v>12195.4</v>
      </c>
      <c r="S402" s="1">
        <v>62005.5</v>
      </c>
      <c r="T402" s="1">
        <v>33.159999999999997</v>
      </c>
      <c r="U402" s="1">
        <v>1.07</v>
      </c>
      <c r="V402" s="1">
        <v>12040.1</v>
      </c>
      <c r="W402" s="1">
        <v>61850.2</v>
      </c>
      <c r="X402" s="1">
        <v>604.28</v>
      </c>
      <c r="Y402" s="1">
        <v>2399</v>
      </c>
      <c r="Z402" s="1">
        <v>396323.9</v>
      </c>
      <c r="AA402" s="1">
        <v>33.18</v>
      </c>
    </row>
    <row r="403" spans="1:27" x14ac:dyDescent="0.4">
      <c r="A403" s="1" t="s">
        <v>115</v>
      </c>
      <c r="B403" s="1">
        <v>8000</v>
      </c>
      <c r="C403" s="1">
        <v>0.2</v>
      </c>
      <c r="D403" s="1">
        <v>0.5</v>
      </c>
      <c r="E403" s="1">
        <v>1000</v>
      </c>
      <c r="F403" s="1">
        <v>3</v>
      </c>
      <c r="G403" s="1">
        <v>1</v>
      </c>
      <c r="H403" s="1" t="s">
        <v>14</v>
      </c>
      <c r="I403" s="1">
        <v>593161.5</v>
      </c>
      <c r="J403" s="1">
        <v>215760</v>
      </c>
      <c r="K403" s="1">
        <v>377401.5</v>
      </c>
      <c r="L403" s="1">
        <v>2400</v>
      </c>
      <c r="M403" s="1">
        <v>600.02</v>
      </c>
      <c r="N403" s="1">
        <v>123278.8</v>
      </c>
      <c r="O403" s="1">
        <v>209420.4</v>
      </c>
      <c r="P403" s="1">
        <v>332699.2</v>
      </c>
      <c r="Q403" s="1">
        <v>52584.9</v>
      </c>
      <c r="R403" s="1">
        <v>14826.9</v>
      </c>
      <c r="S403" s="1">
        <v>67411.8</v>
      </c>
      <c r="T403" s="1">
        <v>32.549999999999997</v>
      </c>
      <c r="U403" s="1">
        <v>0.76</v>
      </c>
      <c r="V403" s="1">
        <v>13909.5</v>
      </c>
      <c r="W403" s="1">
        <v>66494.399999999994</v>
      </c>
      <c r="X403" s="1">
        <v>600.77</v>
      </c>
      <c r="Y403" s="1">
        <v>2400</v>
      </c>
      <c r="Z403" s="1">
        <v>399193.59999999998</v>
      </c>
      <c r="AA403" s="1">
        <v>32.700000000000003</v>
      </c>
    </row>
    <row r="404" spans="1:27" x14ac:dyDescent="0.4">
      <c r="A404" s="1" t="s">
        <v>115</v>
      </c>
      <c r="B404" s="1">
        <v>8000</v>
      </c>
      <c r="C404" s="1">
        <v>0.2</v>
      </c>
      <c r="D404" s="1">
        <v>0.5</v>
      </c>
      <c r="E404" s="1">
        <v>1000</v>
      </c>
      <c r="F404" s="1">
        <v>3</v>
      </c>
      <c r="G404" s="1">
        <v>1</v>
      </c>
      <c r="H404" s="1" t="s">
        <v>580</v>
      </c>
      <c r="I404" s="1">
        <v>593161.5</v>
      </c>
      <c r="J404" s="1">
        <v>215760</v>
      </c>
      <c r="K404" s="1">
        <v>377401.5</v>
      </c>
      <c r="L404" s="1">
        <v>2400</v>
      </c>
      <c r="M404" s="1">
        <v>600.33000000000004</v>
      </c>
      <c r="N404" s="1">
        <v>127715.6</v>
      </c>
      <c r="O404" s="1">
        <v>218467.6</v>
      </c>
      <c r="P404" s="1">
        <v>346183.2</v>
      </c>
      <c r="Q404" s="1">
        <v>42559.3</v>
      </c>
      <c r="R404" s="1">
        <v>20603.2</v>
      </c>
      <c r="S404" s="1">
        <v>63162.5</v>
      </c>
      <c r="T404" s="1">
        <v>30.99</v>
      </c>
      <c r="U404" s="1">
        <v>4.63</v>
      </c>
      <c r="V404" s="1">
        <v>18323.2</v>
      </c>
      <c r="W404" s="1">
        <v>60882.5</v>
      </c>
      <c r="X404" s="1">
        <v>604.96</v>
      </c>
      <c r="Y404" s="1">
        <v>2400</v>
      </c>
      <c r="Z404" s="1">
        <v>407065.7</v>
      </c>
      <c r="AA404" s="1">
        <v>31.37</v>
      </c>
    </row>
    <row r="405" spans="1:27" x14ac:dyDescent="0.4">
      <c r="A405" s="1" t="s">
        <v>115</v>
      </c>
      <c r="B405" s="1">
        <v>8000</v>
      </c>
      <c r="C405" s="1">
        <v>0.2</v>
      </c>
      <c r="D405" s="1">
        <v>0.5</v>
      </c>
      <c r="E405" s="1">
        <v>1000</v>
      </c>
      <c r="F405" s="1">
        <v>3</v>
      </c>
      <c r="G405" s="1">
        <v>1</v>
      </c>
      <c r="H405" s="1" t="s">
        <v>15</v>
      </c>
      <c r="I405" s="1">
        <v>593161.5</v>
      </c>
      <c r="J405" s="1">
        <v>215760</v>
      </c>
      <c r="K405" s="1">
        <v>377401.5</v>
      </c>
      <c r="L405" s="1">
        <v>2400</v>
      </c>
      <c r="M405" s="1">
        <v>600.41999999999996</v>
      </c>
      <c r="N405" s="1">
        <v>124002.9</v>
      </c>
      <c r="O405" s="1">
        <v>209414.1</v>
      </c>
      <c r="P405" s="1">
        <v>333417</v>
      </c>
      <c r="Q405" s="1">
        <v>55049.5</v>
      </c>
      <c r="R405" s="1">
        <v>11387.6</v>
      </c>
      <c r="S405" s="1">
        <v>66437.100000000006</v>
      </c>
      <c r="T405" s="1">
        <v>32.590000000000003</v>
      </c>
      <c r="U405" s="1">
        <v>0.49</v>
      </c>
      <c r="V405" s="1">
        <v>10823.3</v>
      </c>
      <c r="W405" s="1">
        <v>65872.800000000003</v>
      </c>
      <c r="X405" s="1">
        <v>600.91999999999996</v>
      </c>
      <c r="Y405" s="1">
        <v>2400</v>
      </c>
      <c r="Z405" s="1">
        <v>399289.8</v>
      </c>
      <c r="AA405" s="1">
        <v>32.68</v>
      </c>
    </row>
    <row r="406" spans="1:27" x14ac:dyDescent="0.4">
      <c r="A406" s="1" t="s">
        <v>116</v>
      </c>
      <c r="B406" s="1">
        <v>8000</v>
      </c>
      <c r="C406" s="1">
        <v>0.2</v>
      </c>
      <c r="D406" s="1">
        <v>0.5</v>
      </c>
      <c r="E406" s="1">
        <v>1000</v>
      </c>
      <c r="F406" s="1">
        <v>3</v>
      </c>
      <c r="G406" s="1">
        <v>2</v>
      </c>
      <c r="H406" s="1" t="s">
        <v>592</v>
      </c>
      <c r="I406" s="1">
        <v>597665.69999999995</v>
      </c>
      <c r="J406" s="1">
        <v>223856.5</v>
      </c>
      <c r="K406" s="1">
        <v>373809.2</v>
      </c>
      <c r="L406" s="1">
        <v>2400</v>
      </c>
      <c r="M406" s="1">
        <v>602.63</v>
      </c>
      <c r="N406" s="1">
        <v>125673.8</v>
      </c>
      <c r="O406" s="1">
        <v>206015.8</v>
      </c>
      <c r="P406" s="1">
        <v>331689.59999999998</v>
      </c>
      <c r="Q406" s="1">
        <v>52008.5</v>
      </c>
      <c r="R406" s="1">
        <v>12191.4</v>
      </c>
      <c r="S406" s="1">
        <v>64199.9</v>
      </c>
      <c r="T406" s="1">
        <v>33.76</v>
      </c>
      <c r="U406" s="1">
        <v>0.77</v>
      </c>
      <c r="V406" s="1">
        <v>12154.1</v>
      </c>
      <c r="W406" s="1">
        <v>64162.6</v>
      </c>
      <c r="X406" s="1">
        <v>603.4</v>
      </c>
      <c r="Y406" s="1">
        <v>2397</v>
      </c>
      <c r="Z406" s="1">
        <v>395852.2</v>
      </c>
      <c r="AA406" s="1">
        <v>33.770000000000003</v>
      </c>
    </row>
    <row r="407" spans="1:27" x14ac:dyDescent="0.4">
      <c r="A407" s="1" t="s">
        <v>116</v>
      </c>
      <c r="B407" s="1">
        <v>8000</v>
      </c>
      <c r="C407" s="1">
        <v>0.2</v>
      </c>
      <c r="D407" s="1">
        <v>0.5</v>
      </c>
      <c r="E407" s="1">
        <v>1000</v>
      </c>
      <c r="F407" s="1">
        <v>3</v>
      </c>
      <c r="G407" s="1">
        <v>2</v>
      </c>
      <c r="H407" s="1" t="s">
        <v>14</v>
      </c>
      <c r="I407" s="1">
        <v>597665.69999999995</v>
      </c>
      <c r="J407" s="1">
        <v>223856.5</v>
      </c>
      <c r="K407" s="1">
        <v>373809.2</v>
      </c>
      <c r="L407" s="1">
        <v>2400</v>
      </c>
      <c r="M407" s="1">
        <v>600.03</v>
      </c>
      <c r="N407" s="1">
        <v>127780.2</v>
      </c>
      <c r="O407" s="1">
        <v>207385.60000000001</v>
      </c>
      <c r="P407" s="1">
        <v>335165.8</v>
      </c>
      <c r="Q407" s="1">
        <v>53446</v>
      </c>
      <c r="R407" s="1">
        <v>14401.6</v>
      </c>
      <c r="S407" s="1">
        <v>67847.600000000006</v>
      </c>
      <c r="T407" s="1">
        <v>32.57</v>
      </c>
      <c r="U407" s="1">
        <v>0.74</v>
      </c>
      <c r="V407" s="1">
        <v>13617.4</v>
      </c>
      <c r="W407" s="1">
        <v>67063.399999999994</v>
      </c>
      <c r="X407" s="1">
        <v>600.77</v>
      </c>
      <c r="Y407" s="1">
        <v>2400</v>
      </c>
      <c r="Z407" s="1">
        <v>402229.2</v>
      </c>
      <c r="AA407" s="1">
        <v>32.700000000000003</v>
      </c>
    </row>
    <row r="408" spans="1:27" x14ac:dyDescent="0.4">
      <c r="A408" s="1" t="s">
        <v>116</v>
      </c>
      <c r="B408" s="1">
        <v>8000</v>
      </c>
      <c r="C408" s="1">
        <v>0.2</v>
      </c>
      <c r="D408" s="1">
        <v>0.5</v>
      </c>
      <c r="E408" s="1">
        <v>1000</v>
      </c>
      <c r="F408" s="1">
        <v>3</v>
      </c>
      <c r="G408" s="1">
        <v>2</v>
      </c>
      <c r="H408" s="1" t="s">
        <v>580</v>
      </c>
      <c r="I408" s="1">
        <v>597665.69999999995</v>
      </c>
      <c r="J408" s="1">
        <v>223856.5</v>
      </c>
      <c r="K408" s="1">
        <v>373809.2</v>
      </c>
      <c r="L408" s="1">
        <v>2400</v>
      </c>
      <c r="M408" s="1">
        <v>600.91</v>
      </c>
      <c r="N408" s="1">
        <v>129935.1</v>
      </c>
      <c r="O408" s="1">
        <v>211759.5</v>
      </c>
      <c r="P408" s="1">
        <v>341694.6</v>
      </c>
      <c r="Q408" s="1">
        <v>44815.6</v>
      </c>
      <c r="R408" s="1">
        <v>20031.900000000001</v>
      </c>
      <c r="S408" s="1">
        <v>64847.5</v>
      </c>
      <c r="T408" s="1">
        <v>31.98</v>
      </c>
      <c r="U408" s="1">
        <v>3.52</v>
      </c>
      <c r="V408" s="1">
        <v>18356.3</v>
      </c>
      <c r="W408" s="1">
        <v>63171.9</v>
      </c>
      <c r="X408" s="1">
        <v>604.42999999999995</v>
      </c>
      <c r="Y408" s="1">
        <v>2400</v>
      </c>
      <c r="Z408" s="1">
        <v>404866.5</v>
      </c>
      <c r="AA408" s="1">
        <v>32.26</v>
      </c>
    </row>
    <row r="409" spans="1:27" x14ac:dyDescent="0.4">
      <c r="A409" s="1" t="s">
        <v>116</v>
      </c>
      <c r="B409" s="1">
        <v>8000</v>
      </c>
      <c r="C409" s="1">
        <v>0.2</v>
      </c>
      <c r="D409" s="1">
        <v>0.5</v>
      </c>
      <c r="E409" s="1">
        <v>1000</v>
      </c>
      <c r="F409" s="1">
        <v>3</v>
      </c>
      <c r="G409" s="1">
        <v>2</v>
      </c>
      <c r="H409" s="1" t="s">
        <v>15</v>
      </c>
      <c r="I409" s="1">
        <v>597665.69999999995</v>
      </c>
      <c r="J409" s="1">
        <v>223856.5</v>
      </c>
      <c r="K409" s="1">
        <v>373809.2</v>
      </c>
      <c r="L409" s="1">
        <v>2400</v>
      </c>
      <c r="M409" s="1">
        <v>600.05999999999995</v>
      </c>
      <c r="N409" s="1">
        <v>127995.4</v>
      </c>
      <c r="O409" s="1">
        <v>203773.8</v>
      </c>
      <c r="P409" s="1">
        <v>331769.2</v>
      </c>
      <c r="Q409" s="1">
        <v>54750.3</v>
      </c>
      <c r="R409" s="1">
        <v>11545.3</v>
      </c>
      <c r="S409" s="1">
        <v>66295.600000000006</v>
      </c>
      <c r="T409" s="1">
        <v>33.4</v>
      </c>
      <c r="U409" s="1">
        <v>0.37</v>
      </c>
      <c r="V409" s="1">
        <v>11012.5</v>
      </c>
      <c r="W409" s="1">
        <v>65762.8</v>
      </c>
      <c r="X409" s="1">
        <v>600.42999999999995</v>
      </c>
      <c r="Y409" s="1">
        <v>2399</v>
      </c>
      <c r="Z409" s="1">
        <v>397532</v>
      </c>
      <c r="AA409" s="1">
        <v>33.49</v>
      </c>
    </row>
    <row r="410" spans="1:27" x14ac:dyDescent="0.4">
      <c r="A410" s="1" t="s">
        <v>117</v>
      </c>
      <c r="B410" s="1">
        <v>8000</v>
      </c>
      <c r="C410" s="1">
        <v>0.2</v>
      </c>
      <c r="D410" s="1">
        <v>0.5</v>
      </c>
      <c r="E410" s="1">
        <v>1000</v>
      </c>
      <c r="F410" s="1">
        <v>3</v>
      </c>
      <c r="G410" s="1">
        <v>3</v>
      </c>
      <c r="H410" s="1" t="s">
        <v>592</v>
      </c>
      <c r="I410" s="1">
        <v>583722.1</v>
      </c>
      <c r="J410" s="1">
        <v>223799</v>
      </c>
      <c r="K410" s="1">
        <v>359923.1</v>
      </c>
      <c r="L410" s="1">
        <v>2400</v>
      </c>
      <c r="M410" s="1">
        <v>600</v>
      </c>
      <c r="N410" s="1">
        <v>124345.2</v>
      </c>
      <c r="O410" s="1">
        <v>195387.8</v>
      </c>
      <c r="P410" s="1">
        <v>319733</v>
      </c>
      <c r="Q410" s="1">
        <v>51254.3</v>
      </c>
      <c r="R410" s="1">
        <v>11515.7</v>
      </c>
      <c r="S410" s="1">
        <v>62770</v>
      </c>
      <c r="T410" s="1">
        <v>34.47</v>
      </c>
      <c r="U410" s="1">
        <v>0.78</v>
      </c>
      <c r="V410" s="1">
        <v>11388</v>
      </c>
      <c r="W410" s="1">
        <v>62642.3</v>
      </c>
      <c r="X410" s="1">
        <v>600.78</v>
      </c>
      <c r="Y410" s="1">
        <v>2399</v>
      </c>
      <c r="Z410" s="1">
        <v>382375.3</v>
      </c>
      <c r="AA410" s="1">
        <v>34.49</v>
      </c>
    </row>
    <row r="411" spans="1:27" x14ac:dyDescent="0.4">
      <c r="A411" s="1" t="s">
        <v>117</v>
      </c>
      <c r="B411" s="1">
        <v>8000</v>
      </c>
      <c r="C411" s="1">
        <v>0.2</v>
      </c>
      <c r="D411" s="1">
        <v>0.5</v>
      </c>
      <c r="E411" s="1">
        <v>1000</v>
      </c>
      <c r="F411" s="1">
        <v>3</v>
      </c>
      <c r="G411" s="1">
        <v>3</v>
      </c>
      <c r="H411" s="1" t="s">
        <v>14</v>
      </c>
      <c r="I411" s="1">
        <v>583722.1</v>
      </c>
      <c r="J411" s="1">
        <v>223799</v>
      </c>
      <c r="K411" s="1">
        <v>359923.1</v>
      </c>
      <c r="L411" s="1">
        <v>2400</v>
      </c>
      <c r="M411" s="1">
        <v>600</v>
      </c>
      <c r="N411" s="1">
        <v>126681.8</v>
      </c>
      <c r="O411" s="1">
        <v>193827.1</v>
      </c>
      <c r="P411" s="1">
        <v>320508.90000000002</v>
      </c>
      <c r="Q411" s="1">
        <v>52467.8</v>
      </c>
      <c r="R411" s="1">
        <v>14111.2</v>
      </c>
      <c r="S411" s="1">
        <v>66579</v>
      </c>
      <c r="T411" s="1">
        <v>33.69</v>
      </c>
      <c r="U411" s="1">
        <v>0.63</v>
      </c>
      <c r="V411" s="1">
        <v>13411</v>
      </c>
      <c r="W411" s="1">
        <v>65878.8</v>
      </c>
      <c r="X411" s="1">
        <v>600.63</v>
      </c>
      <c r="Y411" s="1">
        <v>2400</v>
      </c>
      <c r="Z411" s="1">
        <v>386387.7</v>
      </c>
      <c r="AA411" s="1">
        <v>33.81</v>
      </c>
    </row>
    <row r="412" spans="1:27" x14ac:dyDescent="0.4">
      <c r="A412" s="1" t="s">
        <v>117</v>
      </c>
      <c r="B412" s="1">
        <v>8000</v>
      </c>
      <c r="C412" s="1">
        <v>0.2</v>
      </c>
      <c r="D412" s="1">
        <v>0.5</v>
      </c>
      <c r="E412" s="1">
        <v>1000</v>
      </c>
      <c r="F412" s="1">
        <v>3</v>
      </c>
      <c r="G412" s="1">
        <v>3</v>
      </c>
      <c r="H412" s="1" t="s">
        <v>580</v>
      </c>
      <c r="I412" s="1">
        <v>583722.1</v>
      </c>
      <c r="J412" s="1">
        <v>223799</v>
      </c>
      <c r="K412" s="1">
        <v>359923.1</v>
      </c>
      <c r="L412" s="1">
        <v>2400</v>
      </c>
      <c r="M412" s="1">
        <v>600.75</v>
      </c>
      <c r="N412" s="1">
        <v>129055.4</v>
      </c>
      <c r="O412" s="1">
        <v>205141.4</v>
      </c>
      <c r="P412" s="1">
        <v>334196.8</v>
      </c>
      <c r="Q412" s="1">
        <v>42299.8</v>
      </c>
      <c r="R412" s="1">
        <v>20219.2</v>
      </c>
      <c r="S412" s="1">
        <v>62519</v>
      </c>
      <c r="T412" s="1">
        <v>32.04</v>
      </c>
      <c r="U412" s="1">
        <v>4.88</v>
      </c>
      <c r="V412" s="1">
        <v>18124.5</v>
      </c>
      <c r="W412" s="1">
        <v>60424.3</v>
      </c>
      <c r="X412" s="1">
        <v>605.63</v>
      </c>
      <c r="Y412" s="1">
        <v>2399</v>
      </c>
      <c r="Z412" s="1">
        <v>394621.1</v>
      </c>
      <c r="AA412" s="1">
        <v>32.4</v>
      </c>
    </row>
    <row r="413" spans="1:27" x14ac:dyDescent="0.4">
      <c r="A413" s="1" t="s">
        <v>117</v>
      </c>
      <c r="B413" s="1">
        <v>8000</v>
      </c>
      <c r="C413" s="1">
        <v>0.2</v>
      </c>
      <c r="D413" s="1">
        <v>0.5</v>
      </c>
      <c r="E413" s="1">
        <v>1000</v>
      </c>
      <c r="F413" s="1">
        <v>3</v>
      </c>
      <c r="G413" s="1">
        <v>3</v>
      </c>
      <c r="H413" s="1" t="s">
        <v>15</v>
      </c>
      <c r="I413" s="1">
        <v>583722.1</v>
      </c>
      <c r="J413" s="1">
        <v>223799</v>
      </c>
      <c r="K413" s="1">
        <v>359923.1</v>
      </c>
      <c r="L413" s="1">
        <v>2400</v>
      </c>
      <c r="M413" s="1">
        <v>600.57000000000005</v>
      </c>
      <c r="N413" s="1">
        <v>125003.8</v>
      </c>
      <c r="O413" s="1">
        <v>193228.1</v>
      </c>
      <c r="P413" s="1">
        <v>318231.90000000002</v>
      </c>
      <c r="Q413" s="1">
        <v>54934.400000000001</v>
      </c>
      <c r="R413" s="1">
        <v>11972.5</v>
      </c>
      <c r="S413" s="1">
        <v>66906.899999999994</v>
      </c>
      <c r="T413" s="1">
        <v>34.020000000000003</v>
      </c>
      <c r="U413" s="1">
        <v>0.45</v>
      </c>
      <c r="V413" s="1">
        <v>11395</v>
      </c>
      <c r="W413" s="1">
        <v>66329.399999999994</v>
      </c>
      <c r="X413" s="1">
        <v>601.01</v>
      </c>
      <c r="Y413" s="1">
        <v>2396</v>
      </c>
      <c r="Z413" s="1">
        <v>384561.3</v>
      </c>
      <c r="AA413" s="1">
        <v>34.119999999999997</v>
      </c>
    </row>
    <row r="414" spans="1:27" x14ac:dyDescent="0.4">
      <c r="A414" s="1" t="s">
        <v>118</v>
      </c>
      <c r="B414" s="1">
        <v>8000</v>
      </c>
      <c r="C414" s="1">
        <v>0.2</v>
      </c>
      <c r="D414" s="1">
        <v>0.5</v>
      </c>
      <c r="E414" s="1">
        <v>1000</v>
      </c>
      <c r="F414" s="1">
        <v>3</v>
      </c>
      <c r="G414" s="1">
        <v>4</v>
      </c>
      <c r="H414" s="1" t="s">
        <v>592</v>
      </c>
      <c r="I414" s="1">
        <v>587036.19999999995</v>
      </c>
      <c r="J414" s="1">
        <v>229321.60000000001</v>
      </c>
      <c r="K414" s="1">
        <v>357714.6</v>
      </c>
      <c r="L414" s="1">
        <v>2400</v>
      </c>
      <c r="M414" s="1">
        <v>603.21</v>
      </c>
      <c r="N414" s="1">
        <v>127765.3</v>
      </c>
      <c r="O414" s="1">
        <v>199696</v>
      </c>
      <c r="P414" s="1">
        <v>327461.3</v>
      </c>
      <c r="Q414" s="1">
        <v>49269.4</v>
      </c>
      <c r="R414" s="1">
        <v>10962.8</v>
      </c>
      <c r="S414" s="1">
        <v>60232.2</v>
      </c>
      <c r="T414" s="1">
        <v>33.96</v>
      </c>
      <c r="U414" s="1">
        <v>0.84</v>
      </c>
      <c r="V414" s="1">
        <v>10916.2</v>
      </c>
      <c r="W414" s="1">
        <v>60185.599999999999</v>
      </c>
      <c r="X414" s="1">
        <v>604.04999999999995</v>
      </c>
      <c r="Y414" s="1">
        <v>2399</v>
      </c>
      <c r="Z414" s="1">
        <v>387646.9</v>
      </c>
      <c r="AA414" s="1">
        <v>33.97</v>
      </c>
    </row>
    <row r="415" spans="1:27" x14ac:dyDescent="0.4">
      <c r="A415" s="1" t="s">
        <v>118</v>
      </c>
      <c r="B415" s="1">
        <v>8000</v>
      </c>
      <c r="C415" s="1">
        <v>0.2</v>
      </c>
      <c r="D415" s="1">
        <v>0.5</v>
      </c>
      <c r="E415" s="1">
        <v>1000</v>
      </c>
      <c r="F415" s="1">
        <v>3</v>
      </c>
      <c r="G415" s="1">
        <v>4</v>
      </c>
      <c r="H415" s="1" t="s">
        <v>14</v>
      </c>
      <c r="I415" s="1">
        <v>587036.19999999995</v>
      </c>
      <c r="J415" s="1">
        <v>229321.60000000001</v>
      </c>
      <c r="K415" s="1">
        <v>357714.6</v>
      </c>
      <c r="L415" s="1">
        <v>2400</v>
      </c>
      <c r="M415" s="1">
        <v>600.02</v>
      </c>
      <c r="N415" s="1">
        <v>127124.7</v>
      </c>
      <c r="O415" s="1">
        <v>198490.9</v>
      </c>
      <c r="P415" s="1">
        <v>325615.59999999998</v>
      </c>
      <c r="Q415" s="1">
        <v>51472.800000000003</v>
      </c>
      <c r="R415" s="1">
        <v>13848.8</v>
      </c>
      <c r="S415" s="1">
        <v>65321.599999999999</v>
      </c>
      <c r="T415" s="1">
        <v>33.4</v>
      </c>
      <c r="U415" s="1">
        <v>0.62</v>
      </c>
      <c r="V415" s="1">
        <v>13206.1</v>
      </c>
      <c r="W415" s="1">
        <v>64678.9</v>
      </c>
      <c r="X415" s="1">
        <v>600.64</v>
      </c>
      <c r="Y415" s="1">
        <v>2400</v>
      </c>
      <c r="Z415" s="1">
        <v>390294.5</v>
      </c>
      <c r="AA415" s="1">
        <v>33.51</v>
      </c>
    </row>
    <row r="416" spans="1:27" x14ac:dyDescent="0.4">
      <c r="A416" s="1" t="s">
        <v>118</v>
      </c>
      <c r="B416" s="1">
        <v>8000</v>
      </c>
      <c r="C416" s="1">
        <v>0.2</v>
      </c>
      <c r="D416" s="1">
        <v>0.5</v>
      </c>
      <c r="E416" s="1">
        <v>1000</v>
      </c>
      <c r="F416" s="1">
        <v>3</v>
      </c>
      <c r="G416" s="1">
        <v>4</v>
      </c>
      <c r="H416" s="1" t="s">
        <v>580</v>
      </c>
      <c r="I416" s="1">
        <v>587036.19999999995</v>
      </c>
      <c r="J416" s="1">
        <v>229321.60000000001</v>
      </c>
      <c r="K416" s="1">
        <v>357714.6</v>
      </c>
      <c r="L416" s="1">
        <v>2400</v>
      </c>
      <c r="M416" s="1">
        <v>600.82000000000005</v>
      </c>
      <c r="N416" s="1">
        <v>131726.20000000001</v>
      </c>
      <c r="O416" s="1">
        <v>204478.8</v>
      </c>
      <c r="P416" s="1">
        <v>336205</v>
      </c>
      <c r="Q416" s="1">
        <v>42278.2</v>
      </c>
      <c r="R416" s="1">
        <v>19310.099999999999</v>
      </c>
      <c r="S416" s="1">
        <v>61588.3</v>
      </c>
      <c r="T416" s="1">
        <v>32.24</v>
      </c>
      <c r="U416" s="1">
        <v>5.54</v>
      </c>
      <c r="V416" s="1">
        <v>17224.5</v>
      </c>
      <c r="W416" s="1">
        <v>59502.7</v>
      </c>
      <c r="X416" s="1">
        <v>606.36</v>
      </c>
      <c r="Y416" s="1">
        <v>2400</v>
      </c>
      <c r="Z416" s="1">
        <v>395707.7</v>
      </c>
      <c r="AA416" s="1">
        <v>32.590000000000003</v>
      </c>
    </row>
    <row r="417" spans="1:27" x14ac:dyDescent="0.4">
      <c r="A417" s="1" t="s">
        <v>118</v>
      </c>
      <c r="B417" s="1">
        <v>8000</v>
      </c>
      <c r="C417" s="1">
        <v>0.2</v>
      </c>
      <c r="D417" s="1">
        <v>0.5</v>
      </c>
      <c r="E417" s="1">
        <v>1000</v>
      </c>
      <c r="F417" s="1">
        <v>3</v>
      </c>
      <c r="G417" s="1">
        <v>4</v>
      </c>
      <c r="H417" s="1" t="s">
        <v>15</v>
      </c>
      <c r="I417" s="1">
        <v>587036.19999999995</v>
      </c>
      <c r="J417" s="1">
        <v>229321.60000000001</v>
      </c>
      <c r="K417" s="1">
        <v>357714.6</v>
      </c>
      <c r="L417" s="1">
        <v>2400</v>
      </c>
      <c r="M417" s="1">
        <v>600.03</v>
      </c>
      <c r="N417" s="1">
        <v>128113.5</v>
      </c>
      <c r="O417" s="1">
        <v>197931.4</v>
      </c>
      <c r="P417" s="1">
        <v>326044.90000000002</v>
      </c>
      <c r="Q417" s="1">
        <v>53875.199999999997</v>
      </c>
      <c r="R417" s="1">
        <v>11166.6</v>
      </c>
      <c r="S417" s="1">
        <v>65041.8</v>
      </c>
      <c r="T417" s="1">
        <v>33.380000000000003</v>
      </c>
      <c r="U417" s="1">
        <v>0.43</v>
      </c>
      <c r="V417" s="1">
        <v>10664.6</v>
      </c>
      <c r="W417" s="1">
        <v>64539.8</v>
      </c>
      <c r="X417" s="1">
        <v>600.46</v>
      </c>
      <c r="Y417" s="1">
        <v>2400</v>
      </c>
      <c r="Z417" s="1">
        <v>390584.7</v>
      </c>
      <c r="AA417" s="1">
        <v>33.46</v>
      </c>
    </row>
    <row r="418" spans="1:27" x14ac:dyDescent="0.4">
      <c r="A418" s="1" t="s">
        <v>119</v>
      </c>
      <c r="B418" s="1">
        <v>8000</v>
      </c>
      <c r="C418" s="1">
        <v>0.2</v>
      </c>
      <c r="D418" s="1">
        <v>0.5</v>
      </c>
      <c r="E418" s="1">
        <v>1000</v>
      </c>
      <c r="F418" s="1">
        <v>3</v>
      </c>
      <c r="G418" s="1">
        <v>5</v>
      </c>
      <c r="H418" s="1" t="s">
        <v>592</v>
      </c>
      <c r="I418" s="1">
        <v>592275.9</v>
      </c>
      <c r="J418" s="1">
        <v>226754.8</v>
      </c>
      <c r="K418" s="1">
        <v>365521.1</v>
      </c>
      <c r="L418" s="1">
        <v>2400</v>
      </c>
      <c r="M418" s="1">
        <v>601.47</v>
      </c>
      <c r="N418" s="1">
        <v>128174.5</v>
      </c>
      <c r="O418" s="1">
        <v>200663</v>
      </c>
      <c r="P418" s="1">
        <v>328837.5</v>
      </c>
      <c r="Q418" s="1">
        <v>51220.7</v>
      </c>
      <c r="R418" s="1">
        <v>11172.9</v>
      </c>
      <c r="S418" s="1">
        <v>62393.599999999999</v>
      </c>
      <c r="T418" s="1">
        <v>33.94</v>
      </c>
      <c r="U418" s="1">
        <v>0.65</v>
      </c>
      <c r="V418" s="1">
        <v>11108.1</v>
      </c>
      <c r="W418" s="1">
        <v>62328.800000000003</v>
      </c>
      <c r="X418" s="1">
        <v>602.12</v>
      </c>
      <c r="Y418" s="1">
        <v>2399</v>
      </c>
      <c r="Z418" s="1">
        <v>391166.3</v>
      </c>
      <c r="AA418" s="1">
        <v>33.96</v>
      </c>
    </row>
    <row r="419" spans="1:27" x14ac:dyDescent="0.4">
      <c r="A419" s="1" t="s">
        <v>119</v>
      </c>
      <c r="B419" s="1">
        <v>8000</v>
      </c>
      <c r="C419" s="1">
        <v>0.2</v>
      </c>
      <c r="D419" s="1">
        <v>0.5</v>
      </c>
      <c r="E419" s="1">
        <v>1000</v>
      </c>
      <c r="F419" s="1">
        <v>3</v>
      </c>
      <c r="G419" s="1">
        <v>5</v>
      </c>
      <c r="H419" s="1" t="s">
        <v>14</v>
      </c>
      <c r="I419" s="1">
        <v>592275.9</v>
      </c>
      <c r="J419" s="1">
        <v>226754.8</v>
      </c>
      <c r="K419" s="1">
        <v>365521.1</v>
      </c>
      <c r="L419" s="1">
        <v>2400</v>
      </c>
      <c r="M419" s="1">
        <v>600.01</v>
      </c>
      <c r="N419" s="1">
        <v>129883.4</v>
      </c>
      <c r="O419" s="1">
        <v>198898</v>
      </c>
      <c r="P419" s="1">
        <v>328781.40000000002</v>
      </c>
      <c r="Q419" s="1">
        <v>52928.6</v>
      </c>
      <c r="R419" s="1">
        <v>13832.1</v>
      </c>
      <c r="S419" s="1">
        <v>66760.7</v>
      </c>
      <c r="T419" s="1">
        <v>33.22</v>
      </c>
      <c r="U419" s="1">
        <v>0.76</v>
      </c>
      <c r="V419" s="1">
        <v>13146</v>
      </c>
      <c r="W419" s="1">
        <v>66074.600000000006</v>
      </c>
      <c r="X419" s="1">
        <v>600.77</v>
      </c>
      <c r="Y419" s="1">
        <v>2400</v>
      </c>
      <c r="Z419" s="1">
        <v>394856</v>
      </c>
      <c r="AA419" s="1">
        <v>33.33</v>
      </c>
    </row>
    <row r="420" spans="1:27" x14ac:dyDescent="0.4">
      <c r="A420" s="1" t="s">
        <v>119</v>
      </c>
      <c r="B420" s="1">
        <v>8000</v>
      </c>
      <c r="C420" s="1">
        <v>0.2</v>
      </c>
      <c r="D420" s="1">
        <v>0.5</v>
      </c>
      <c r="E420" s="1">
        <v>1000</v>
      </c>
      <c r="F420" s="1">
        <v>3</v>
      </c>
      <c r="G420" s="1">
        <v>5</v>
      </c>
      <c r="H420" s="1" t="s">
        <v>580</v>
      </c>
      <c r="I420" s="1">
        <v>592275.9</v>
      </c>
      <c r="J420" s="1">
        <v>226754.8</v>
      </c>
      <c r="K420" s="1">
        <v>365521.1</v>
      </c>
      <c r="L420" s="1">
        <v>2400</v>
      </c>
      <c r="M420" s="1">
        <v>600.03</v>
      </c>
      <c r="N420" s="1">
        <v>132415.6</v>
      </c>
      <c r="O420" s="1">
        <v>211471.2</v>
      </c>
      <c r="P420" s="1">
        <v>343886.8</v>
      </c>
      <c r="Q420" s="1">
        <v>43017.9</v>
      </c>
      <c r="R420" s="1">
        <v>20889.599999999999</v>
      </c>
      <c r="S420" s="1">
        <v>63907.5</v>
      </c>
      <c r="T420" s="1">
        <v>31.15</v>
      </c>
      <c r="U420" s="1">
        <v>4.68</v>
      </c>
      <c r="V420" s="1">
        <v>18931.599999999999</v>
      </c>
      <c r="W420" s="1">
        <v>61949.5</v>
      </c>
      <c r="X420" s="1">
        <v>604.71</v>
      </c>
      <c r="Y420" s="1">
        <v>2399</v>
      </c>
      <c r="Z420" s="1">
        <v>405836.3</v>
      </c>
      <c r="AA420" s="1">
        <v>31.48</v>
      </c>
    </row>
    <row r="421" spans="1:27" x14ac:dyDescent="0.4">
      <c r="A421" s="1" t="s">
        <v>119</v>
      </c>
      <c r="B421" s="1">
        <v>8000</v>
      </c>
      <c r="C421" s="1">
        <v>0.2</v>
      </c>
      <c r="D421" s="1">
        <v>0.5</v>
      </c>
      <c r="E421" s="1">
        <v>1000</v>
      </c>
      <c r="F421" s="1">
        <v>3</v>
      </c>
      <c r="G421" s="1">
        <v>5</v>
      </c>
      <c r="H421" s="1" t="s">
        <v>15</v>
      </c>
      <c r="I421" s="1">
        <v>592275.9</v>
      </c>
      <c r="J421" s="1">
        <v>226754.8</v>
      </c>
      <c r="K421" s="1">
        <v>365521.1</v>
      </c>
      <c r="L421" s="1">
        <v>2400</v>
      </c>
      <c r="M421" s="1">
        <v>600.76</v>
      </c>
      <c r="N421" s="1">
        <v>129322.6</v>
      </c>
      <c r="O421" s="1">
        <v>199546.3</v>
      </c>
      <c r="P421" s="1">
        <v>328868.90000000002</v>
      </c>
      <c r="Q421" s="1">
        <v>53442.2</v>
      </c>
      <c r="R421" s="1">
        <v>11771.2</v>
      </c>
      <c r="S421" s="1">
        <v>65213.4</v>
      </c>
      <c r="T421" s="1">
        <v>33.46</v>
      </c>
      <c r="U421" s="1">
        <v>0.41</v>
      </c>
      <c r="V421" s="1">
        <v>11330.3</v>
      </c>
      <c r="W421" s="1">
        <v>64772.5</v>
      </c>
      <c r="X421" s="1">
        <v>601.16999999999996</v>
      </c>
      <c r="Y421" s="1">
        <v>2397</v>
      </c>
      <c r="Z421" s="1">
        <v>393641.4</v>
      </c>
      <c r="AA421" s="1">
        <v>33.54</v>
      </c>
    </row>
    <row r="422" spans="1:27" x14ac:dyDescent="0.4">
      <c r="A422" s="1" t="s">
        <v>120</v>
      </c>
      <c r="B422" s="1">
        <v>8000</v>
      </c>
      <c r="C422" s="1">
        <v>0.3</v>
      </c>
      <c r="D422" s="1">
        <v>0.5</v>
      </c>
      <c r="E422" s="1">
        <v>1000</v>
      </c>
      <c r="F422" s="1">
        <v>1</v>
      </c>
      <c r="G422" s="1">
        <v>1</v>
      </c>
      <c r="H422" s="1" t="s">
        <v>592</v>
      </c>
      <c r="I422" s="1">
        <v>286040.5</v>
      </c>
      <c r="J422" s="1">
        <v>110201.1</v>
      </c>
      <c r="K422" s="1">
        <v>175839.4</v>
      </c>
      <c r="L422" s="1">
        <v>2400</v>
      </c>
      <c r="M422" s="1">
        <v>603.63</v>
      </c>
      <c r="N422" s="1">
        <v>64328.4</v>
      </c>
      <c r="O422" s="1">
        <v>93529.7</v>
      </c>
      <c r="P422" s="1">
        <v>157858.1</v>
      </c>
      <c r="Q422" s="1">
        <v>40917.599999999999</v>
      </c>
      <c r="R422" s="1">
        <v>8730</v>
      </c>
      <c r="S422" s="1">
        <v>49647.6</v>
      </c>
      <c r="T422" s="1">
        <v>27.46</v>
      </c>
      <c r="U422" s="1">
        <v>1.81</v>
      </c>
      <c r="V422" s="1">
        <v>8709.7999999999993</v>
      </c>
      <c r="W422" s="1">
        <v>49627.4</v>
      </c>
      <c r="X422" s="1">
        <v>605.44000000000005</v>
      </c>
      <c r="Y422" s="1">
        <v>2319</v>
      </c>
      <c r="Z422" s="1">
        <v>207485.5</v>
      </c>
      <c r="AA422" s="1">
        <v>27.46</v>
      </c>
    </row>
    <row r="423" spans="1:27" x14ac:dyDescent="0.4">
      <c r="A423" s="1" t="s">
        <v>120</v>
      </c>
      <c r="B423" s="1">
        <v>8000</v>
      </c>
      <c r="C423" s="1">
        <v>0.3</v>
      </c>
      <c r="D423" s="1">
        <v>0.5</v>
      </c>
      <c r="E423" s="1">
        <v>1000</v>
      </c>
      <c r="F423" s="1">
        <v>1</v>
      </c>
      <c r="G423" s="1">
        <v>1</v>
      </c>
      <c r="H423" s="1" t="s">
        <v>14</v>
      </c>
      <c r="I423" s="1">
        <v>286040.5</v>
      </c>
      <c r="J423" s="1">
        <v>110201.1</v>
      </c>
      <c r="K423" s="1">
        <v>175839.4</v>
      </c>
      <c r="L423" s="1">
        <v>2400</v>
      </c>
      <c r="M423" s="1">
        <v>600.01</v>
      </c>
      <c r="N423" s="1">
        <v>66946.899999999994</v>
      </c>
      <c r="O423" s="1">
        <v>94141.9</v>
      </c>
      <c r="P423" s="1">
        <v>161088.79999999999</v>
      </c>
      <c r="Q423" s="1">
        <v>40046.300000000003</v>
      </c>
      <c r="R423" s="1">
        <v>9854.2000000000007</v>
      </c>
      <c r="S423" s="1">
        <v>49900.5</v>
      </c>
      <c r="T423" s="1">
        <v>26.24</v>
      </c>
      <c r="U423" s="1">
        <v>0.72</v>
      </c>
      <c r="V423" s="1">
        <v>9641.2999999999993</v>
      </c>
      <c r="W423" s="1">
        <v>49687.6</v>
      </c>
      <c r="X423" s="1">
        <v>600.73</v>
      </c>
      <c r="Y423" s="1">
        <v>2399</v>
      </c>
      <c r="Z423" s="1">
        <v>210776.4</v>
      </c>
      <c r="AA423" s="1">
        <v>26.31</v>
      </c>
    </row>
    <row r="424" spans="1:27" x14ac:dyDescent="0.4">
      <c r="A424" s="1" t="s">
        <v>120</v>
      </c>
      <c r="B424" s="1">
        <v>8000</v>
      </c>
      <c r="C424" s="1">
        <v>0.3</v>
      </c>
      <c r="D424" s="1">
        <v>0.5</v>
      </c>
      <c r="E424" s="1">
        <v>1000</v>
      </c>
      <c r="F424" s="1">
        <v>1</v>
      </c>
      <c r="G424" s="1">
        <v>1</v>
      </c>
      <c r="H424" s="1" t="s">
        <v>580</v>
      </c>
      <c r="I424" s="1">
        <v>286040.5</v>
      </c>
      <c r="J424" s="1">
        <v>110201.1</v>
      </c>
      <c r="K424" s="1">
        <v>175839.4</v>
      </c>
      <c r="L424" s="1">
        <v>2400</v>
      </c>
      <c r="M424" s="1">
        <v>600.12</v>
      </c>
      <c r="N424" s="1">
        <v>63722.2</v>
      </c>
      <c r="O424" s="1">
        <v>92813.5</v>
      </c>
      <c r="P424" s="1">
        <v>156535.70000000001</v>
      </c>
      <c r="Q424" s="1">
        <v>38577.4</v>
      </c>
      <c r="R424" s="1">
        <v>15792.2</v>
      </c>
      <c r="S424" s="1">
        <v>54369.599999999999</v>
      </c>
      <c r="T424" s="1">
        <v>26.27</v>
      </c>
      <c r="U424" s="1">
        <v>5.81</v>
      </c>
      <c r="V424" s="1">
        <v>14806.2</v>
      </c>
      <c r="W424" s="1">
        <v>53383.6</v>
      </c>
      <c r="X424" s="1">
        <v>605.92999999999995</v>
      </c>
      <c r="Y424" s="1">
        <v>2284</v>
      </c>
      <c r="Z424" s="1">
        <v>209919.3</v>
      </c>
      <c r="AA424" s="1">
        <v>26.61</v>
      </c>
    </row>
    <row r="425" spans="1:27" x14ac:dyDescent="0.4">
      <c r="A425" s="1" t="s">
        <v>120</v>
      </c>
      <c r="B425" s="1">
        <v>8000</v>
      </c>
      <c r="C425" s="1">
        <v>0.3</v>
      </c>
      <c r="D425" s="1">
        <v>0.5</v>
      </c>
      <c r="E425" s="1">
        <v>1000</v>
      </c>
      <c r="F425" s="1">
        <v>1</v>
      </c>
      <c r="G425" s="1">
        <v>1</v>
      </c>
      <c r="H425" s="1" t="s">
        <v>15</v>
      </c>
      <c r="I425" s="1">
        <v>286040.5</v>
      </c>
      <c r="J425" s="1">
        <v>110201.1</v>
      </c>
      <c r="K425" s="1">
        <v>175839.4</v>
      </c>
      <c r="L425" s="1">
        <v>2400</v>
      </c>
      <c r="M425" s="1">
        <v>600.78</v>
      </c>
      <c r="N425" s="1">
        <v>64502</v>
      </c>
      <c r="O425" s="1">
        <v>93003.199999999997</v>
      </c>
      <c r="P425" s="1">
        <v>157505.20000000001</v>
      </c>
      <c r="Q425" s="1">
        <v>44421.4</v>
      </c>
      <c r="R425" s="1">
        <v>8119.3</v>
      </c>
      <c r="S425" s="1">
        <v>52540.7</v>
      </c>
      <c r="T425" s="1">
        <v>26.57</v>
      </c>
      <c r="U425" s="1">
        <v>0.28999999999999998</v>
      </c>
      <c r="V425" s="1">
        <v>7839.4</v>
      </c>
      <c r="W425" s="1">
        <v>52260.800000000003</v>
      </c>
      <c r="X425" s="1">
        <v>601.07000000000005</v>
      </c>
      <c r="Y425" s="1">
        <v>2368</v>
      </c>
      <c r="Z425" s="1">
        <v>209766</v>
      </c>
      <c r="AA425" s="1">
        <v>26.67</v>
      </c>
    </row>
    <row r="426" spans="1:27" x14ac:dyDescent="0.4">
      <c r="A426" s="1" t="s">
        <v>121</v>
      </c>
      <c r="B426" s="1">
        <v>8000</v>
      </c>
      <c r="C426" s="1">
        <v>0.3</v>
      </c>
      <c r="D426" s="1">
        <v>0.5</v>
      </c>
      <c r="E426" s="1">
        <v>1000</v>
      </c>
      <c r="F426" s="1">
        <v>1</v>
      </c>
      <c r="G426" s="1">
        <v>2</v>
      </c>
      <c r="H426" s="1" t="s">
        <v>592</v>
      </c>
      <c r="I426" s="1">
        <v>292003.40000000002</v>
      </c>
      <c r="J426" s="1">
        <v>110554.4</v>
      </c>
      <c r="K426" s="1">
        <v>181449</v>
      </c>
      <c r="L426" s="1">
        <v>2400</v>
      </c>
      <c r="M426" s="1">
        <v>602.79</v>
      </c>
      <c r="N426" s="1">
        <v>62069.7</v>
      </c>
      <c r="O426" s="1">
        <v>97874.5</v>
      </c>
      <c r="P426" s="1">
        <v>159944.20000000001</v>
      </c>
      <c r="Q426" s="1">
        <v>41398.6</v>
      </c>
      <c r="R426" s="1">
        <v>8886.2000000000007</v>
      </c>
      <c r="S426" s="1">
        <v>50284.800000000003</v>
      </c>
      <c r="T426" s="1">
        <v>28</v>
      </c>
      <c r="U426" s="1">
        <v>1.76</v>
      </c>
      <c r="V426" s="1">
        <v>8845.2000000000007</v>
      </c>
      <c r="W426" s="1">
        <v>50243.8</v>
      </c>
      <c r="X426" s="1">
        <v>604.54999999999995</v>
      </c>
      <c r="Y426" s="1">
        <v>2316</v>
      </c>
      <c r="Z426" s="1">
        <v>210188</v>
      </c>
      <c r="AA426" s="1">
        <v>28.02</v>
      </c>
    </row>
    <row r="427" spans="1:27" x14ac:dyDescent="0.4">
      <c r="A427" s="1" t="s">
        <v>121</v>
      </c>
      <c r="B427" s="1">
        <v>8000</v>
      </c>
      <c r="C427" s="1">
        <v>0.3</v>
      </c>
      <c r="D427" s="1">
        <v>0.5</v>
      </c>
      <c r="E427" s="1">
        <v>1000</v>
      </c>
      <c r="F427" s="1">
        <v>1</v>
      </c>
      <c r="G427" s="1">
        <v>2</v>
      </c>
      <c r="H427" s="1" t="s">
        <v>14</v>
      </c>
      <c r="I427" s="1">
        <v>292003.40000000002</v>
      </c>
      <c r="J427" s="1">
        <v>110554.4</v>
      </c>
      <c r="K427" s="1">
        <v>181449</v>
      </c>
      <c r="L427" s="1">
        <v>2400</v>
      </c>
      <c r="M427" s="1">
        <v>600</v>
      </c>
      <c r="N427" s="1">
        <v>67597.899999999994</v>
      </c>
      <c r="O427" s="1">
        <v>100329.9</v>
      </c>
      <c r="P427" s="1">
        <v>167927.8</v>
      </c>
      <c r="Q427" s="1">
        <v>37791.4</v>
      </c>
      <c r="R427" s="1">
        <v>8863.2999999999993</v>
      </c>
      <c r="S427" s="1">
        <v>46654.7</v>
      </c>
      <c r="T427" s="1">
        <v>26.51</v>
      </c>
      <c r="U427" s="1">
        <v>0.7</v>
      </c>
      <c r="V427" s="1">
        <v>8576.5</v>
      </c>
      <c r="W427" s="1">
        <v>46367.9</v>
      </c>
      <c r="X427" s="1">
        <v>600.70000000000005</v>
      </c>
      <c r="Y427" s="1">
        <v>2258</v>
      </c>
      <c r="Z427" s="1">
        <v>214295.7</v>
      </c>
      <c r="AA427" s="1">
        <v>26.61</v>
      </c>
    </row>
    <row r="428" spans="1:27" x14ac:dyDescent="0.4">
      <c r="A428" s="1" t="s">
        <v>121</v>
      </c>
      <c r="B428" s="1">
        <v>8000</v>
      </c>
      <c r="C428" s="1">
        <v>0.3</v>
      </c>
      <c r="D428" s="1">
        <v>0.5</v>
      </c>
      <c r="E428" s="1">
        <v>1000</v>
      </c>
      <c r="F428" s="1">
        <v>1</v>
      </c>
      <c r="G428" s="1">
        <v>2</v>
      </c>
      <c r="H428" s="1" t="s">
        <v>580</v>
      </c>
      <c r="I428" s="1">
        <v>292003.40000000002</v>
      </c>
      <c r="J428" s="1">
        <v>110554.4</v>
      </c>
      <c r="K428" s="1">
        <v>181449</v>
      </c>
      <c r="L428" s="1">
        <v>2400</v>
      </c>
      <c r="M428" s="1">
        <v>600.88</v>
      </c>
      <c r="N428" s="1">
        <v>64394.2</v>
      </c>
      <c r="O428" s="1">
        <v>99975.6</v>
      </c>
      <c r="P428" s="1">
        <v>164369.79999999999</v>
      </c>
      <c r="Q428" s="1">
        <v>34932.800000000003</v>
      </c>
      <c r="R428" s="1">
        <v>15065.4</v>
      </c>
      <c r="S428" s="1">
        <v>49998.2</v>
      </c>
      <c r="T428" s="1">
        <v>26.59</v>
      </c>
      <c r="U428" s="1">
        <v>5.26</v>
      </c>
      <c r="V428" s="1">
        <v>14118.9</v>
      </c>
      <c r="W428" s="1">
        <v>49051.7</v>
      </c>
      <c r="X428" s="1">
        <v>606.14</v>
      </c>
      <c r="Y428" s="1">
        <v>1898</v>
      </c>
      <c r="Z428" s="1">
        <v>213421.5</v>
      </c>
      <c r="AA428" s="1">
        <v>26.91</v>
      </c>
    </row>
    <row r="429" spans="1:27" x14ac:dyDescent="0.4">
      <c r="A429" s="1" t="s">
        <v>121</v>
      </c>
      <c r="B429" s="1">
        <v>8000</v>
      </c>
      <c r="C429" s="1">
        <v>0.3</v>
      </c>
      <c r="D429" s="1">
        <v>0.5</v>
      </c>
      <c r="E429" s="1">
        <v>1000</v>
      </c>
      <c r="F429" s="1">
        <v>1</v>
      </c>
      <c r="G429" s="1">
        <v>2</v>
      </c>
      <c r="H429" s="1" t="s">
        <v>15</v>
      </c>
      <c r="I429" s="1">
        <v>292003.40000000002</v>
      </c>
      <c r="J429" s="1">
        <v>110554.4</v>
      </c>
      <c r="K429" s="1">
        <v>181449</v>
      </c>
      <c r="L429" s="1">
        <v>2400</v>
      </c>
      <c r="M429" s="1">
        <v>600.49</v>
      </c>
      <c r="N429" s="1">
        <v>63145.7</v>
      </c>
      <c r="O429" s="1">
        <v>96017.4</v>
      </c>
      <c r="P429" s="1">
        <v>159163.1</v>
      </c>
      <c r="Q429" s="1">
        <v>44907.3</v>
      </c>
      <c r="R429" s="1">
        <v>8046.9</v>
      </c>
      <c r="S429" s="1">
        <v>52954.2</v>
      </c>
      <c r="T429" s="1">
        <v>27.36</v>
      </c>
      <c r="U429" s="1">
        <v>0.38</v>
      </c>
      <c r="V429" s="1">
        <v>7688.8</v>
      </c>
      <c r="W429" s="1">
        <v>52596.1</v>
      </c>
      <c r="X429" s="1">
        <v>600.87</v>
      </c>
      <c r="Y429" s="1">
        <v>2345</v>
      </c>
      <c r="Z429" s="1">
        <v>211759.2</v>
      </c>
      <c r="AA429" s="1">
        <v>27.48</v>
      </c>
    </row>
    <row r="430" spans="1:27" x14ac:dyDescent="0.4">
      <c r="A430" s="1" t="s">
        <v>122</v>
      </c>
      <c r="B430" s="1">
        <v>8000</v>
      </c>
      <c r="C430" s="1">
        <v>0.3</v>
      </c>
      <c r="D430" s="1">
        <v>0.5</v>
      </c>
      <c r="E430" s="1">
        <v>1000</v>
      </c>
      <c r="F430" s="1">
        <v>1</v>
      </c>
      <c r="G430" s="1">
        <v>3</v>
      </c>
      <c r="H430" s="1" t="s">
        <v>592</v>
      </c>
      <c r="I430" s="1">
        <v>292940.79999999999</v>
      </c>
      <c r="J430" s="1">
        <v>116162.1</v>
      </c>
      <c r="K430" s="1">
        <v>176778.7</v>
      </c>
      <c r="L430" s="1">
        <v>2400</v>
      </c>
      <c r="M430" s="1">
        <v>602.32000000000005</v>
      </c>
      <c r="N430" s="1">
        <v>65775.5</v>
      </c>
      <c r="O430" s="1">
        <v>92922.9</v>
      </c>
      <c r="P430" s="1">
        <v>158698.4</v>
      </c>
      <c r="Q430" s="1">
        <v>42648.6</v>
      </c>
      <c r="R430" s="1">
        <v>8932.9</v>
      </c>
      <c r="S430" s="1">
        <v>51581.5</v>
      </c>
      <c r="T430" s="1">
        <v>28.22</v>
      </c>
      <c r="U430" s="1">
        <v>1.75</v>
      </c>
      <c r="V430" s="1">
        <v>8905.9</v>
      </c>
      <c r="W430" s="1">
        <v>51554.5</v>
      </c>
      <c r="X430" s="1">
        <v>604.07000000000005</v>
      </c>
      <c r="Y430" s="1">
        <v>2382</v>
      </c>
      <c r="Z430" s="1">
        <v>210252.9</v>
      </c>
      <c r="AA430" s="1">
        <v>28.23</v>
      </c>
    </row>
    <row r="431" spans="1:27" x14ac:dyDescent="0.4">
      <c r="A431" s="1" t="s">
        <v>122</v>
      </c>
      <c r="B431" s="1">
        <v>8000</v>
      </c>
      <c r="C431" s="1">
        <v>0.3</v>
      </c>
      <c r="D431" s="1">
        <v>0.5</v>
      </c>
      <c r="E431" s="1">
        <v>1000</v>
      </c>
      <c r="F431" s="1">
        <v>1</v>
      </c>
      <c r="G431" s="1">
        <v>3</v>
      </c>
      <c r="H431" s="1" t="s">
        <v>14</v>
      </c>
      <c r="I431" s="1">
        <v>292940.79999999999</v>
      </c>
      <c r="J431" s="1">
        <v>116162.1</v>
      </c>
      <c r="K431" s="1">
        <v>176778.7</v>
      </c>
      <c r="L431" s="1">
        <v>2400</v>
      </c>
      <c r="M431" s="1">
        <v>600.01</v>
      </c>
      <c r="N431" s="1">
        <v>69337.399999999994</v>
      </c>
      <c r="O431" s="1">
        <v>95513.5</v>
      </c>
      <c r="P431" s="1">
        <v>164850.9</v>
      </c>
      <c r="Q431" s="1">
        <v>39891.800000000003</v>
      </c>
      <c r="R431" s="1">
        <v>9497.2999999999993</v>
      </c>
      <c r="S431" s="1">
        <v>49389.1</v>
      </c>
      <c r="T431" s="1">
        <v>26.87</v>
      </c>
      <c r="U431" s="1">
        <v>0.6</v>
      </c>
      <c r="V431" s="1">
        <v>9227.4</v>
      </c>
      <c r="W431" s="1">
        <v>49119.199999999997</v>
      </c>
      <c r="X431" s="1">
        <v>600.6</v>
      </c>
      <c r="Y431" s="1">
        <v>2400</v>
      </c>
      <c r="Z431" s="1">
        <v>213970.1</v>
      </c>
      <c r="AA431" s="1">
        <v>26.96</v>
      </c>
    </row>
    <row r="432" spans="1:27" x14ac:dyDescent="0.4">
      <c r="A432" s="1" t="s">
        <v>122</v>
      </c>
      <c r="B432" s="1">
        <v>8000</v>
      </c>
      <c r="C432" s="1">
        <v>0.3</v>
      </c>
      <c r="D432" s="1">
        <v>0.5</v>
      </c>
      <c r="E432" s="1">
        <v>1000</v>
      </c>
      <c r="F432" s="1">
        <v>1</v>
      </c>
      <c r="G432" s="1">
        <v>3</v>
      </c>
      <c r="H432" s="1" t="s">
        <v>580</v>
      </c>
      <c r="I432" s="1">
        <v>292940.79999999999</v>
      </c>
      <c r="J432" s="1">
        <v>116162.1</v>
      </c>
      <c r="K432" s="1">
        <v>176778.7</v>
      </c>
      <c r="L432" s="1">
        <v>2400</v>
      </c>
      <c r="M432" s="1">
        <v>600.86</v>
      </c>
      <c r="N432" s="1">
        <v>65066</v>
      </c>
      <c r="O432" s="1">
        <v>92554.8</v>
      </c>
      <c r="P432" s="1">
        <v>157620.79999999999</v>
      </c>
      <c r="Q432" s="1">
        <v>38781.1</v>
      </c>
      <c r="R432" s="1">
        <v>15884.1</v>
      </c>
      <c r="S432" s="1">
        <v>54665.2</v>
      </c>
      <c r="T432" s="1">
        <v>27.53</v>
      </c>
      <c r="U432" s="1">
        <v>6.53</v>
      </c>
      <c r="V432" s="1">
        <v>14741.3</v>
      </c>
      <c r="W432" s="1">
        <v>53522.400000000001</v>
      </c>
      <c r="X432" s="1">
        <v>607.39</v>
      </c>
      <c r="Y432" s="1">
        <v>2301</v>
      </c>
      <c r="Z432" s="1">
        <v>211143.2</v>
      </c>
      <c r="AA432" s="1">
        <v>27.92</v>
      </c>
    </row>
    <row r="433" spans="1:27" x14ac:dyDescent="0.4">
      <c r="A433" s="1" t="s">
        <v>122</v>
      </c>
      <c r="B433" s="1">
        <v>8000</v>
      </c>
      <c r="C433" s="1">
        <v>0.3</v>
      </c>
      <c r="D433" s="1">
        <v>0.5</v>
      </c>
      <c r="E433" s="1">
        <v>1000</v>
      </c>
      <c r="F433" s="1">
        <v>1</v>
      </c>
      <c r="G433" s="1">
        <v>3</v>
      </c>
      <c r="H433" s="1" t="s">
        <v>15</v>
      </c>
      <c r="I433" s="1">
        <v>292940.79999999999</v>
      </c>
      <c r="J433" s="1">
        <v>116162.1</v>
      </c>
      <c r="K433" s="1">
        <v>176778.7</v>
      </c>
      <c r="L433" s="1">
        <v>2400</v>
      </c>
      <c r="M433" s="1">
        <v>600.03</v>
      </c>
      <c r="N433" s="1">
        <v>67898.399999999994</v>
      </c>
      <c r="O433" s="1">
        <v>93671.5</v>
      </c>
      <c r="P433" s="1">
        <v>161569.9</v>
      </c>
      <c r="Q433" s="1">
        <v>43164.4</v>
      </c>
      <c r="R433" s="1">
        <v>7714.9</v>
      </c>
      <c r="S433" s="1">
        <v>50879.3</v>
      </c>
      <c r="T433" s="1">
        <v>27.48</v>
      </c>
      <c r="U433" s="1">
        <v>0.4</v>
      </c>
      <c r="V433" s="1">
        <v>7485.8</v>
      </c>
      <c r="W433" s="1">
        <v>50650.2</v>
      </c>
      <c r="X433" s="1">
        <v>600.42999999999995</v>
      </c>
      <c r="Y433" s="1">
        <v>2393</v>
      </c>
      <c r="Z433" s="1">
        <v>212220.1</v>
      </c>
      <c r="AA433" s="1">
        <v>27.56</v>
      </c>
    </row>
    <row r="434" spans="1:27" x14ac:dyDescent="0.4">
      <c r="A434" s="1" t="s">
        <v>123</v>
      </c>
      <c r="B434" s="1">
        <v>8000</v>
      </c>
      <c r="C434" s="1">
        <v>0.3</v>
      </c>
      <c r="D434" s="1">
        <v>0.5</v>
      </c>
      <c r="E434" s="1">
        <v>1000</v>
      </c>
      <c r="F434" s="1">
        <v>1</v>
      </c>
      <c r="G434" s="1">
        <v>4</v>
      </c>
      <c r="H434" s="1" t="s">
        <v>592</v>
      </c>
      <c r="I434" s="1">
        <v>280335.2</v>
      </c>
      <c r="J434" s="1">
        <v>111676</v>
      </c>
      <c r="K434" s="1">
        <v>168659.20000000001</v>
      </c>
      <c r="L434" s="1">
        <v>2400</v>
      </c>
      <c r="M434" s="1">
        <v>603.61</v>
      </c>
      <c r="N434" s="1">
        <v>64187.199999999997</v>
      </c>
      <c r="O434" s="1">
        <v>90911.9</v>
      </c>
      <c r="P434" s="1">
        <v>155099.1</v>
      </c>
      <c r="Q434" s="1">
        <v>41126.300000000003</v>
      </c>
      <c r="R434" s="1">
        <v>8313</v>
      </c>
      <c r="S434" s="1">
        <v>49439.3</v>
      </c>
      <c r="T434" s="1">
        <v>27.04</v>
      </c>
      <c r="U434" s="1">
        <v>1.77</v>
      </c>
      <c r="V434" s="1">
        <v>8291.5</v>
      </c>
      <c r="W434" s="1">
        <v>49417.8</v>
      </c>
      <c r="X434" s="1">
        <v>605.38</v>
      </c>
      <c r="Y434" s="1">
        <v>2334</v>
      </c>
      <c r="Z434" s="1">
        <v>204516.9</v>
      </c>
      <c r="AA434" s="1">
        <v>27.05</v>
      </c>
    </row>
    <row r="435" spans="1:27" x14ac:dyDescent="0.4">
      <c r="A435" s="1" t="s">
        <v>123</v>
      </c>
      <c r="B435" s="1">
        <v>8000</v>
      </c>
      <c r="C435" s="1">
        <v>0.3</v>
      </c>
      <c r="D435" s="1">
        <v>0.5</v>
      </c>
      <c r="E435" s="1">
        <v>1000</v>
      </c>
      <c r="F435" s="1">
        <v>1</v>
      </c>
      <c r="G435" s="1">
        <v>4</v>
      </c>
      <c r="H435" s="1" t="s">
        <v>14</v>
      </c>
      <c r="I435" s="1">
        <v>280335.2</v>
      </c>
      <c r="J435" s="1">
        <v>111676</v>
      </c>
      <c r="K435" s="1">
        <v>168659.20000000001</v>
      </c>
      <c r="L435" s="1">
        <v>2400</v>
      </c>
      <c r="M435" s="1">
        <v>600</v>
      </c>
      <c r="N435" s="1">
        <v>68289.8</v>
      </c>
      <c r="O435" s="1">
        <v>92870.7</v>
      </c>
      <c r="P435" s="1">
        <v>161160.5</v>
      </c>
      <c r="Q435" s="1">
        <v>37784.699999999997</v>
      </c>
      <c r="R435" s="1">
        <v>9508.4</v>
      </c>
      <c r="S435" s="1">
        <v>47293.1</v>
      </c>
      <c r="T435" s="1">
        <v>25.64</v>
      </c>
      <c r="U435" s="1">
        <v>0.72</v>
      </c>
      <c r="V435" s="1">
        <v>9273</v>
      </c>
      <c r="W435" s="1">
        <v>47057.7</v>
      </c>
      <c r="X435" s="1">
        <v>600.72</v>
      </c>
      <c r="Y435" s="1">
        <v>2400</v>
      </c>
      <c r="Z435" s="1">
        <v>208218.2</v>
      </c>
      <c r="AA435" s="1">
        <v>25.73</v>
      </c>
    </row>
    <row r="436" spans="1:27" x14ac:dyDescent="0.4">
      <c r="A436" s="1" t="s">
        <v>123</v>
      </c>
      <c r="B436" s="1">
        <v>8000</v>
      </c>
      <c r="C436" s="1">
        <v>0.3</v>
      </c>
      <c r="D436" s="1">
        <v>0.5</v>
      </c>
      <c r="E436" s="1">
        <v>1000</v>
      </c>
      <c r="F436" s="1">
        <v>1</v>
      </c>
      <c r="G436" s="1">
        <v>4</v>
      </c>
      <c r="H436" s="1" t="s">
        <v>580</v>
      </c>
      <c r="I436" s="1">
        <v>280335.2</v>
      </c>
      <c r="J436" s="1">
        <v>111676</v>
      </c>
      <c r="K436" s="1">
        <v>168659.20000000001</v>
      </c>
      <c r="L436" s="1">
        <v>2400</v>
      </c>
      <c r="M436" s="1">
        <v>600.98</v>
      </c>
      <c r="N436" s="1">
        <v>63238.7</v>
      </c>
      <c r="O436" s="1">
        <v>90547.6</v>
      </c>
      <c r="P436" s="1">
        <v>153786.29999999999</v>
      </c>
      <c r="Q436" s="1">
        <v>38259.4</v>
      </c>
      <c r="R436" s="1">
        <v>15132.8</v>
      </c>
      <c r="S436" s="1">
        <v>53392.2</v>
      </c>
      <c r="T436" s="1">
        <v>26.1</v>
      </c>
      <c r="U436" s="1">
        <v>6.49</v>
      </c>
      <c r="V436" s="1">
        <v>14196.2</v>
      </c>
      <c r="W436" s="1">
        <v>52455.6</v>
      </c>
      <c r="X436" s="1">
        <v>607.47</v>
      </c>
      <c r="Y436" s="1">
        <v>2235</v>
      </c>
      <c r="Z436" s="1">
        <v>206241.9</v>
      </c>
      <c r="AA436" s="1">
        <v>26.43</v>
      </c>
    </row>
    <row r="437" spans="1:27" x14ac:dyDescent="0.4">
      <c r="A437" s="1" t="s">
        <v>123</v>
      </c>
      <c r="B437" s="1">
        <v>8000</v>
      </c>
      <c r="C437" s="1">
        <v>0.3</v>
      </c>
      <c r="D437" s="1">
        <v>0.5</v>
      </c>
      <c r="E437" s="1">
        <v>1000</v>
      </c>
      <c r="F437" s="1">
        <v>1</v>
      </c>
      <c r="G437" s="1">
        <v>4</v>
      </c>
      <c r="H437" s="1" t="s">
        <v>15</v>
      </c>
      <c r="I437" s="1">
        <v>280335.2</v>
      </c>
      <c r="J437" s="1">
        <v>111676</v>
      </c>
      <c r="K437" s="1">
        <v>168659.20000000001</v>
      </c>
      <c r="L437" s="1">
        <v>2400</v>
      </c>
      <c r="M437" s="1">
        <v>600.38</v>
      </c>
      <c r="N437" s="1">
        <v>66127.600000000006</v>
      </c>
      <c r="O437" s="1">
        <v>91165.8</v>
      </c>
      <c r="P437" s="1">
        <v>157293.4</v>
      </c>
      <c r="Q437" s="1">
        <v>42059</v>
      </c>
      <c r="R437" s="1">
        <v>7874.7</v>
      </c>
      <c r="S437" s="1">
        <v>49933.7</v>
      </c>
      <c r="T437" s="1">
        <v>26.08</v>
      </c>
      <c r="U437" s="1">
        <v>0.48</v>
      </c>
      <c r="V437" s="1">
        <v>7704.9</v>
      </c>
      <c r="W437" s="1">
        <v>49763.9</v>
      </c>
      <c r="X437" s="1">
        <v>600.86</v>
      </c>
      <c r="Y437" s="1">
        <v>2400</v>
      </c>
      <c r="Z437" s="1">
        <v>207057.3</v>
      </c>
      <c r="AA437" s="1">
        <v>26.14</v>
      </c>
    </row>
    <row r="438" spans="1:27" x14ac:dyDescent="0.4">
      <c r="A438" s="1" t="s">
        <v>124</v>
      </c>
      <c r="B438" s="1">
        <v>8000</v>
      </c>
      <c r="C438" s="1">
        <v>0.3</v>
      </c>
      <c r="D438" s="1">
        <v>0.5</v>
      </c>
      <c r="E438" s="1">
        <v>1000</v>
      </c>
      <c r="F438" s="1">
        <v>1</v>
      </c>
      <c r="G438" s="1">
        <v>5</v>
      </c>
      <c r="H438" s="1" t="s">
        <v>592</v>
      </c>
      <c r="I438" s="1">
        <v>286002.59999999998</v>
      </c>
      <c r="J438" s="1">
        <v>115303.6</v>
      </c>
      <c r="K438" s="1">
        <v>170699</v>
      </c>
      <c r="L438" s="1">
        <v>2400</v>
      </c>
      <c r="M438" s="1">
        <v>602.66999999999996</v>
      </c>
      <c r="N438" s="1">
        <v>67648.600000000006</v>
      </c>
      <c r="O438" s="1">
        <v>91709.5</v>
      </c>
      <c r="P438" s="1">
        <v>159358.1</v>
      </c>
      <c r="Q438" s="1">
        <v>40305.300000000003</v>
      </c>
      <c r="R438" s="1">
        <v>8874.7999999999993</v>
      </c>
      <c r="S438" s="1">
        <v>49180.1</v>
      </c>
      <c r="T438" s="1">
        <v>27.09</v>
      </c>
      <c r="U438" s="1">
        <v>1.77</v>
      </c>
      <c r="V438" s="1">
        <v>8816.7000000000007</v>
      </c>
      <c r="W438" s="1">
        <v>49122</v>
      </c>
      <c r="X438" s="1">
        <v>604.44000000000005</v>
      </c>
      <c r="Y438" s="1">
        <v>2321</v>
      </c>
      <c r="Z438" s="1">
        <v>208480.1</v>
      </c>
      <c r="AA438" s="1">
        <v>27.11</v>
      </c>
    </row>
    <row r="439" spans="1:27" x14ac:dyDescent="0.4">
      <c r="A439" s="1" t="s">
        <v>124</v>
      </c>
      <c r="B439" s="1">
        <v>8000</v>
      </c>
      <c r="C439" s="1">
        <v>0.3</v>
      </c>
      <c r="D439" s="1">
        <v>0.5</v>
      </c>
      <c r="E439" s="1">
        <v>1000</v>
      </c>
      <c r="F439" s="1">
        <v>1</v>
      </c>
      <c r="G439" s="1">
        <v>5</v>
      </c>
      <c r="H439" s="1" t="s">
        <v>14</v>
      </c>
      <c r="I439" s="1">
        <v>286002.59999999998</v>
      </c>
      <c r="J439" s="1">
        <v>115303.6</v>
      </c>
      <c r="K439" s="1">
        <v>170699</v>
      </c>
      <c r="L439" s="1">
        <v>2400</v>
      </c>
      <c r="M439" s="1">
        <v>600.02</v>
      </c>
      <c r="N439" s="1">
        <v>70475.600000000006</v>
      </c>
      <c r="O439" s="1">
        <v>92395.5</v>
      </c>
      <c r="P439" s="1">
        <v>162871.1</v>
      </c>
      <c r="Q439" s="1">
        <v>39270.1</v>
      </c>
      <c r="R439" s="1">
        <v>9732</v>
      </c>
      <c r="S439" s="1">
        <v>49002.1</v>
      </c>
      <c r="T439" s="1">
        <v>25.92</v>
      </c>
      <c r="U439" s="1">
        <v>0.62</v>
      </c>
      <c r="V439" s="1">
        <v>9436.1</v>
      </c>
      <c r="W439" s="1">
        <v>48706.2</v>
      </c>
      <c r="X439" s="1">
        <v>600.65</v>
      </c>
      <c r="Y439" s="1">
        <v>2398</v>
      </c>
      <c r="Z439" s="1">
        <v>211577.3</v>
      </c>
      <c r="AA439" s="1">
        <v>26.02</v>
      </c>
    </row>
    <row r="440" spans="1:27" x14ac:dyDescent="0.4">
      <c r="A440" s="1" t="s">
        <v>124</v>
      </c>
      <c r="B440" s="1">
        <v>8000</v>
      </c>
      <c r="C440" s="1">
        <v>0.3</v>
      </c>
      <c r="D440" s="1">
        <v>0.5</v>
      </c>
      <c r="E440" s="1">
        <v>1000</v>
      </c>
      <c r="F440" s="1">
        <v>1</v>
      </c>
      <c r="G440" s="1">
        <v>5</v>
      </c>
      <c r="H440" s="1" t="s">
        <v>580</v>
      </c>
      <c r="I440" s="1">
        <v>286002.59999999998</v>
      </c>
      <c r="J440" s="1">
        <v>115303.6</v>
      </c>
      <c r="K440" s="1">
        <v>170699</v>
      </c>
      <c r="L440" s="1">
        <v>2400</v>
      </c>
      <c r="M440" s="1">
        <v>600.07000000000005</v>
      </c>
      <c r="N440" s="1">
        <v>67574.7</v>
      </c>
      <c r="O440" s="1">
        <v>90254.8</v>
      </c>
      <c r="P440" s="1">
        <v>157829.5</v>
      </c>
      <c r="Q440" s="1">
        <v>37462.400000000001</v>
      </c>
      <c r="R440" s="1">
        <v>15631.9</v>
      </c>
      <c r="S440" s="1">
        <v>53094.3</v>
      </c>
      <c r="T440" s="1">
        <v>26.25</v>
      </c>
      <c r="U440" s="1">
        <v>5.75</v>
      </c>
      <c r="V440" s="1">
        <v>14469.5</v>
      </c>
      <c r="W440" s="1">
        <v>51931.9</v>
      </c>
      <c r="X440" s="1">
        <v>605.82000000000005</v>
      </c>
      <c r="Y440" s="1">
        <v>2231</v>
      </c>
      <c r="Z440" s="1">
        <v>209761.4</v>
      </c>
      <c r="AA440" s="1">
        <v>26.66</v>
      </c>
    </row>
    <row r="441" spans="1:27" x14ac:dyDescent="0.4">
      <c r="A441" s="1" t="s">
        <v>124</v>
      </c>
      <c r="B441" s="1">
        <v>8000</v>
      </c>
      <c r="C441" s="1">
        <v>0.3</v>
      </c>
      <c r="D441" s="1">
        <v>0.5</v>
      </c>
      <c r="E441" s="1">
        <v>1000</v>
      </c>
      <c r="F441" s="1">
        <v>1</v>
      </c>
      <c r="G441" s="1">
        <v>5</v>
      </c>
      <c r="H441" s="1" t="s">
        <v>15</v>
      </c>
      <c r="I441" s="1">
        <v>286002.59999999998</v>
      </c>
      <c r="J441" s="1">
        <v>115303.6</v>
      </c>
      <c r="K441" s="1">
        <v>170699</v>
      </c>
      <c r="L441" s="1">
        <v>2400</v>
      </c>
      <c r="M441" s="1">
        <v>600.17999999999995</v>
      </c>
      <c r="N441" s="1">
        <v>70756.100000000006</v>
      </c>
      <c r="O441" s="1">
        <v>92020.3</v>
      </c>
      <c r="P441" s="1">
        <v>162776.4</v>
      </c>
      <c r="Q441" s="1">
        <v>41371.300000000003</v>
      </c>
      <c r="R441" s="1">
        <v>6983.4</v>
      </c>
      <c r="S441" s="1">
        <v>48354.7</v>
      </c>
      <c r="T441" s="1">
        <v>26.18</v>
      </c>
      <c r="U441" s="1">
        <v>0.42</v>
      </c>
      <c r="V441" s="1">
        <v>6832.1</v>
      </c>
      <c r="W441" s="1">
        <v>48203.4</v>
      </c>
      <c r="X441" s="1">
        <v>600.6</v>
      </c>
      <c r="Y441" s="1">
        <v>2400</v>
      </c>
      <c r="Z441" s="1">
        <v>210979.8</v>
      </c>
      <c r="AA441" s="1">
        <v>26.23</v>
      </c>
    </row>
    <row r="442" spans="1:27" x14ac:dyDescent="0.4">
      <c r="A442" s="1" t="s">
        <v>125</v>
      </c>
      <c r="B442" s="1">
        <v>8000</v>
      </c>
      <c r="C442" s="1">
        <v>0.3</v>
      </c>
      <c r="D442" s="1">
        <v>0.5</v>
      </c>
      <c r="E442" s="1">
        <v>1000</v>
      </c>
      <c r="F442" s="1">
        <v>2</v>
      </c>
      <c r="G442" s="1">
        <v>1</v>
      </c>
      <c r="H442" s="1" t="s">
        <v>592</v>
      </c>
      <c r="I442" s="1">
        <v>450971.9</v>
      </c>
      <c r="J442" s="1">
        <v>169991.9</v>
      </c>
      <c r="K442" s="1">
        <v>280980</v>
      </c>
      <c r="L442" s="1">
        <v>2400</v>
      </c>
      <c r="M442" s="1">
        <v>604.45000000000005</v>
      </c>
      <c r="N442" s="1">
        <v>95116.9</v>
      </c>
      <c r="O442" s="1">
        <v>147049.4</v>
      </c>
      <c r="P442" s="1">
        <v>242166.3</v>
      </c>
      <c r="Q442" s="1">
        <v>44196.6</v>
      </c>
      <c r="R442" s="1">
        <v>11533.2</v>
      </c>
      <c r="S442" s="1">
        <v>55729.8</v>
      </c>
      <c r="T442" s="1">
        <v>33.94</v>
      </c>
      <c r="U442" s="1">
        <v>1.73</v>
      </c>
      <c r="V442" s="1">
        <v>11472.1</v>
      </c>
      <c r="W442" s="1">
        <v>55668.7</v>
      </c>
      <c r="X442" s="1">
        <v>606.17999999999995</v>
      </c>
      <c r="Y442" s="1">
        <v>2394</v>
      </c>
      <c r="Z442" s="1">
        <v>297835</v>
      </c>
      <c r="AA442" s="1">
        <v>33.96</v>
      </c>
    </row>
    <row r="443" spans="1:27" x14ac:dyDescent="0.4">
      <c r="A443" s="1" t="s">
        <v>125</v>
      </c>
      <c r="B443" s="1">
        <v>8000</v>
      </c>
      <c r="C443" s="1">
        <v>0.3</v>
      </c>
      <c r="D443" s="1">
        <v>0.5</v>
      </c>
      <c r="E443" s="1">
        <v>1000</v>
      </c>
      <c r="F443" s="1">
        <v>2</v>
      </c>
      <c r="G443" s="1">
        <v>1</v>
      </c>
      <c r="H443" s="1" t="s">
        <v>14</v>
      </c>
      <c r="I443" s="1">
        <v>450971.9</v>
      </c>
      <c r="J443" s="1">
        <v>169991.9</v>
      </c>
      <c r="K443" s="1">
        <v>280980</v>
      </c>
      <c r="L443" s="1">
        <v>2400</v>
      </c>
      <c r="M443" s="1">
        <v>600.02</v>
      </c>
      <c r="N443" s="1">
        <v>93799.2</v>
      </c>
      <c r="O443" s="1">
        <v>141831.79999999999</v>
      </c>
      <c r="P443" s="1">
        <v>235631</v>
      </c>
      <c r="Q443" s="1">
        <v>46607</v>
      </c>
      <c r="R443" s="1">
        <v>14335.7</v>
      </c>
      <c r="S443" s="1">
        <v>60942.7</v>
      </c>
      <c r="T443" s="1">
        <v>34.24</v>
      </c>
      <c r="U443" s="1">
        <v>1.18</v>
      </c>
      <c r="V443" s="1">
        <v>13474.9</v>
      </c>
      <c r="W443" s="1">
        <v>60081.9</v>
      </c>
      <c r="X443" s="1">
        <v>601.20000000000005</v>
      </c>
      <c r="Y443" s="1">
        <v>2400</v>
      </c>
      <c r="Z443" s="1">
        <v>295712.90000000002</v>
      </c>
      <c r="AA443" s="1">
        <v>34.43</v>
      </c>
    </row>
    <row r="444" spans="1:27" x14ac:dyDescent="0.4">
      <c r="A444" s="1" t="s">
        <v>125</v>
      </c>
      <c r="B444" s="1">
        <v>8000</v>
      </c>
      <c r="C444" s="1">
        <v>0.3</v>
      </c>
      <c r="D444" s="1">
        <v>0.5</v>
      </c>
      <c r="E444" s="1">
        <v>1000</v>
      </c>
      <c r="F444" s="1">
        <v>2</v>
      </c>
      <c r="G444" s="1">
        <v>1</v>
      </c>
      <c r="H444" s="1" t="s">
        <v>580</v>
      </c>
      <c r="I444" s="1">
        <v>450971.9</v>
      </c>
      <c r="J444" s="1">
        <v>169991.9</v>
      </c>
      <c r="K444" s="1">
        <v>280980</v>
      </c>
      <c r="L444" s="1">
        <v>2400</v>
      </c>
      <c r="M444" s="1">
        <v>600.36</v>
      </c>
      <c r="N444" s="1">
        <v>94575.5</v>
      </c>
      <c r="O444" s="1">
        <v>146706.29999999999</v>
      </c>
      <c r="P444" s="1">
        <v>241281.8</v>
      </c>
      <c r="Q444" s="1">
        <v>39827.800000000003</v>
      </c>
      <c r="R444" s="1">
        <v>20664.5</v>
      </c>
      <c r="S444" s="1">
        <v>60492.3</v>
      </c>
      <c r="T444" s="1">
        <v>33.08</v>
      </c>
      <c r="U444" s="1">
        <v>6.33</v>
      </c>
      <c r="V444" s="1">
        <v>18651.7</v>
      </c>
      <c r="W444" s="1">
        <v>58479.5</v>
      </c>
      <c r="X444" s="1">
        <v>606.69000000000005</v>
      </c>
      <c r="Y444" s="1">
        <v>2399</v>
      </c>
      <c r="Z444" s="1">
        <v>299761.3</v>
      </c>
      <c r="AA444" s="1">
        <v>33.53</v>
      </c>
    </row>
    <row r="445" spans="1:27" x14ac:dyDescent="0.4">
      <c r="A445" s="1" t="s">
        <v>125</v>
      </c>
      <c r="B445" s="1">
        <v>8000</v>
      </c>
      <c r="C445" s="1">
        <v>0.3</v>
      </c>
      <c r="D445" s="1">
        <v>0.5</v>
      </c>
      <c r="E445" s="1">
        <v>1000</v>
      </c>
      <c r="F445" s="1">
        <v>2</v>
      </c>
      <c r="G445" s="1">
        <v>1</v>
      </c>
      <c r="H445" s="1" t="s">
        <v>15</v>
      </c>
      <c r="I445" s="1">
        <v>450971.9</v>
      </c>
      <c r="J445" s="1">
        <v>169991.9</v>
      </c>
      <c r="K445" s="1">
        <v>280980</v>
      </c>
      <c r="L445" s="1">
        <v>2400</v>
      </c>
      <c r="M445" s="1">
        <v>600.87</v>
      </c>
      <c r="N445" s="1">
        <v>92566.399999999994</v>
      </c>
      <c r="O445" s="1">
        <v>141383.9</v>
      </c>
      <c r="P445" s="1">
        <v>233950.3</v>
      </c>
      <c r="Q445" s="1">
        <v>48888.7</v>
      </c>
      <c r="R445" s="1">
        <v>12573.1</v>
      </c>
      <c r="S445" s="1">
        <v>61461.8</v>
      </c>
      <c r="T445" s="1">
        <v>34.49</v>
      </c>
      <c r="U445" s="1">
        <v>0.8</v>
      </c>
      <c r="V445" s="1">
        <v>11893.6</v>
      </c>
      <c r="W445" s="1">
        <v>60782.3</v>
      </c>
      <c r="X445" s="1">
        <v>601.67999999999995</v>
      </c>
      <c r="Y445" s="1">
        <v>2400</v>
      </c>
      <c r="Z445" s="1">
        <v>294732.59999999998</v>
      </c>
      <c r="AA445" s="1">
        <v>34.65</v>
      </c>
    </row>
    <row r="446" spans="1:27" x14ac:dyDescent="0.4">
      <c r="A446" s="1" t="s">
        <v>126</v>
      </c>
      <c r="B446" s="1">
        <v>8000</v>
      </c>
      <c r="C446" s="1">
        <v>0.3</v>
      </c>
      <c r="D446" s="1">
        <v>0.5</v>
      </c>
      <c r="E446" s="1">
        <v>1000</v>
      </c>
      <c r="F446" s="1">
        <v>2</v>
      </c>
      <c r="G446" s="1">
        <v>2</v>
      </c>
      <c r="H446" s="1" t="s">
        <v>592</v>
      </c>
      <c r="I446" s="1">
        <v>447112</v>
      </c>
      <c r="J446" s="1">
        <v>171904</v>
      </c>
      <c r="K446" s="1">
        <v>275208</v>
      </c>
      <c r="L446" s="1">
        <v>2400</v>
      </c>
      <c r="M446" s="1">
        <v>602.57000000000005</v>
      </c>
      <c r="N446" s="1">
        <v>97193.1</v>
      </c>
      <c r="O446" s="1">
        <v>143204.29999999999</v>
      </c>
      <c r="P446" s="1">
        <v>240397.4</v>
      </c>
      <c r="Q446" s="1">
        <v>44248.4</v>
      </c>
      <c r="R446" s="1">
        <v>11533.2</v>
      </c>
      <c r="S446" s="1">
        <v>55781.599999999999</v>
      </c>
      <c r="T446" s="1">
        <v>33.76</v>
      </c>
      <c r="U446" s="1">
        <v>1.31</v>
      </c>
      <c r="V446" s="1">
        <v>11445.7</v>
      </c>
      <c r="W446" s="1">
        <v>55694.1</v>
      </c>
      <c r="X446" s="1">
        <v>603.89</v>
      </c>
      <c r="Y446" s="1">
        <v>2389</v>
      </c>
      <c r="Z446" s="1">
        <v>296091.5</v>
      </c>
      <c r="AA446" s="1">
        <v>33.78</v>
      </c>
    </row>
    <row r="447" spans="1:27" x14ac:dyDescent="0.4">
      <c r="A447" s="1" t="s">
        <v>126</v>
      </c>
      <c r="B447" s="1">
        <v>8000</v>
      </c>
      <c r="C447" s="1">
        <v>0.3</v>
      </c>
      <c r="D447" s="1">
        <v>0.5</v>
      </c>
      <c r="E447" s="1">
        <v>1000</v>
      </c>
      <c r="F447" s="1">
        <v>2</v>
      </c>
      <c r="G447" s="1">
        <v>2</v>
      </c>
      <c r="H447" s="1" t="s">
        <v>14</v>
      </c>
      <c r="I447" s="1">
        <v>447112</v>
      </c>
      <c r="J447" s="1">
        <v>171904</v>
      </c>
      <c r="K447" s="1">
        <v>275208</v>
      </c>
      <c r="L447" s="1">
        <v>2400</v>
      </c>
      <c r="M447" s="1">
        <v>600.02</v>
      </c>
      <c r="N447" s="1">
        <v>95731.4</v>
      </c>
      <c r="O447" s="1">
        <v>137613.6</v>
      </c>
      <c r="P447" s="1">
        <v>233345</v>
      </c>
      <c r="Q447" s="1">
        <v>47930.9</v>
      </c>
      <c r="R447" s="1">
        <v>15025.1</v>
      </c>
      <c r="S447" s="1">
        <v>62956</v>
      </c>
      <c r="T447" s="1">
        <v>33.729999999999997</v>
      </c>
      <c r="U447" s="1">
        <v>1.21</v>
      </c>
      <c r="V447" s="1">
        <v>14158.3</v>
      </c>
      <c r="W447" s="1">
        <v>62089.2</v>
      </c>
      <c r="X447" s="1">
        <v>601.23</v>
      </c>
      <c r="Y447" s="1">
        <v>2400</v>
      </c>
      <c r="Z447" s="1">
        <v>295434.2</v>
      </c>
      <c r="AA447" s="1">
        <v>33.92</v>
      </c>
    </row>
    <row r="448" spans="1:27" x14ac:dyDescent="0.4">
      <c r="A448" s="1" t="s">
        <v>126</v>
      </c>
      <c r="B448" s="1">
        <v>8000</v>
      </c>
      <c r="C448" s="1">
        <v>0.3</v>
      </c>
      <c r="D448" s="1">
        <v>0.5</v>
      </c>
      <c r="E448" s="1">
        <v>1000</v>
      </c>
      <c r="F448" s="1">
        <v>2</v>
      </c>
      <c r="G448" s="1">
        <v>2</v>
      </c>
      <c r="H448" s="1" t="s">
        <v>580</v>
      </c>
      <c r="I448" s="1">
        <v>447112</v>
      </c>
      <c r="J448" s="1">
        <v>171904</v>
      </c>
      <c r="K448" s="1">
        <v>275208</v>
      </c>
      <c r="L448" s="1">
        <v>2400</v>
      </c>
      <c r="M448" s="1">
        <v>600.05999999999995</v>
      </c>
      <c r="N448" s="1">
        <v>96215.3</v>
      </c>
      <c r="O448" s="1">
        <v>142972.9</v>
      </c>
      <c r="P448" s="1">
        <v>239188.2</v>
      </c>
      <c r="Q448" s="1">
        <v>40670.199999999997</v>
      </c>
      <c r="R448" s="1">
        <v>21168.6</v>
      </c>
      <c r="S448" s="1">
        <v>61838.8</v>
      </c>
      <c r="T448" s="1">
        <v>32.67</v>
      </c>
      <c r="U448" s="1">
        <v>7.06</v>
      </c>
      <c r="V448" s="1">
        <v>19103.099999999999</v>
      </c>
      <c r="W448" s="1">
        <v>59773.3</v>
      </c>
      <c r="X448" s="1">
        <v>607.11</v>
      </c>
      <c r="Y448" s="1">
        <v>2400</v>
      </c>
      <c r="Z448" s="1">
        <v>298961.5</v>
      </c>
      <c r="AA448" s="1">
        <v>33.130000000000003</v>
      </c>
    </row>
    <row r="449" spans="1:27" x14ac:dyDescent="0.4">
      <c r="A449" s="1" t="s">
        <v>126</v>
      </c>
      <c r="B449" s="1">
        <v>8000</v>
      </c>
      <c r="C449" s="1">
        <v>0.3</v>
      </c>
      <c r="D449" s="1">
        <v>0.5</v>
      </c>
      <c r="E449" s="1">
        <v>1000</v>
      </c>
      <c r="F449" s="1">
        <v>2</v>
      </c>
      <c r="G449" s="1">
        <v>2</v>
      </c>
      <c r="H449" s="1" t="s">
        <v>15</v>
      </c>
      <c r="I449" s="1">
        <v>447112</v>
      </c>
      <c r="J449" s="1">
        <v>171904</v>
      </c>
      <c r="K449" s="1">
        <v>275208</v>
      </c>
      <c r="L449" s="1">
        <v>2400</v>
      </c>
      <c r="M449" s="1">
        <v>600.29999999999995</v>
      </c>
      <c r="N449" s="1">
        <v>94710.9</v>
      </c>
      <c r="O449" s="1">
        <v>136474.5</v>
      </c>
      <c r="P449" s="1">
        <v>231185.4</v>
      </c>
      <c r="Q449" s="1">
        <v>49637</v>
      </c>
      <c r="R449" s="1">
        <v>12550.5</v>
      </c>
      <c r="S449" s="1">
        <v>62187.5</v>
      </c>
      <c r="T449" s="1">
        <v>34.380000000000003</v>
      </c>
      <c r="U449" s="1">
        <v>0.66</v>
      </c>
      <c r="V449" s="1">
        <v>11967</v>
      </c>
      <c r="W449" s="1">
        <v>61604</v>
      </c>
      <c r="X449" s="1">
        <v>600.96</v>
      </c>
      <c r="Y449" s="1">
        <v>2397</v>
      </c>
      <c r="Z449" s="1">
        <v>292789.40000000002</v>
      </c>
      <c r="AA449" s="1">
        <v>34.520000000000003</v>
      </c>
    </row>
    <row r="450" spans="1:27" x14ac:dyDescent="0.4">
      <c r="A450" s="1" t="s">
        <v>127</v>
      </c>
      <c r="B450" s="1">
        <v>8000</v>
      </c>
      <c r="C450" s="1">
        <v>0.3</v>
      </c>
      <c r="D450" s="1">
        <v>0.5</v>
      </c>
      <c r="E450" s="1">
        <v>1000</v>
      </c>
      <c r="F450" s="1">
        <v>2</v>
      </c>
      <c r="G450" s="1">
        <v>3</v>
      </c>
      <c r="H450" s="1" t="s">
        <v>592</v>
      </c>
      <c r="I450" s="1">
        <v>447008.9</v>
      </c>
      <c r="J450" s="1">
        <v>167665.79999999999</v>
      </c>
      <c r="K450" s="1">
        <v>279343.09999999998</v>
      </c>
      <c r="L450" s="1">
        <v>2400</v>
      </c>
      <c r="M450" s="1">
        <v>603</v>
      </c>
      <c r="N450" s="1">
        <v>95470.3</v>
      </c>
      <c r="O450" s="1">
        <v>145065.70000000001</v>
      </c>
      <c r="P450" s="1">
        <v>240536</v>
      </c>
      <c r="Q450" s="1">
        <v>44503.7</v>
      </c>
      <c r="R450" s="1">
        <v>10693.2</v>
      </c>
      <c r="S450" s="1">
        <v>55196.9</v>
      </c>
      <c r="T450" s="1">
        <v>33.840000000000003</v>
      </c>
      <c r="U450" s="1">
        <v>1.52</v>
      </c>
      <c r="V450" s="1">
        <v>10662.9</v>
      </c>
      <c r="W450" s="1">
        <v>55166.6</v>
      </c>
      <c r="X450" s="1">
        <v>604.52</v>
      </c>
      <c r="Y450" s="1">
        <v>2367</v>
      </c>
      <c r="Z450" s="1">
        <v>295702.59999999998</v>
      </c>
      <c r="AA450" s="1">
        <v>33.85</v>
      </c>
    </row>
    <row r="451" spans="1:27" x14ac:dyDescent="0.4">
      <c r="A451" s="1" t="s">
        <v>127</v>
      </c>
      <c r="B451" s="1">
        <v>8000</v>
      </c>
      <c r="C451" s="1">
        <v>0.3</v>
      </c>
      <c r="D451" s="1">
        <v>0.5</v>
      </c>
      <c r="E451" s="1">
        <v>1000</v>
      </c>
      <c r="F451" s="1">
        <v>2</v>
      </c>
      <c r="G451" s="1">
        <v>3</v>
      </c>
      <c r="H451" s="1" t="s">
        <v>14</v>
      </c>
      <c r="I451" s="1">
        <v>447008.9</v>
      </c>
      <c r="J451" s="1">
        <v>167665.79999999999</v>
      </c>
      <c r="K451" s="1">
        <v>279343.09999999998</v>
      </c>
      <c r="L451" s="1">
        <v>2400</v>
      </c>
      <c r="M451" s="1">
        <v>600</v>
      </c>
      <c r="N451" s="1">
        <v>94053.3</v>
      </c>
      <c r="O451" s="1">
        <v>139387</v>
      </c>
      <c r="P451" s="1">
        <v>233440.3</v>
      </c>
      <c r="Q451" s="1">
        <v>46331.3</v>
      </c>
      <c r="R451" s="1">
        <v>15330.5</v>
      </c>
      <c r="S451" s="1">
        <v>61661.8</v>
      </c>
      <c r="T451" s="1">
        <v>33.979999999999997</v>
      </c>
      <c r="U451" s="1">
        <v>1.33</v>
      </c>
      <c r="V451" s="1">
        <v>14316.7</v>
      </c>
      <c r="W451" s="1">
        <v>60648</v>
      </c>
      <c r="X451" s="1">
        <v>601.33000000000004</v>
      </c>
      <c r="Y451" s="1">
        <v>2400</v>
      </c>
      <c r="Z451" s="1">
        <v>294088.3</v>
      </c>
      <c r="AA451" s="1">
        <v>34.21</v>
      </c>
    </row>
    <row r="452" spans="1:27" x14ac:dyDescent="0.4">
      <c r="A452" s="1" t="s">
        <v>127</v>
      </c>
      <c r="B452" s="1">
        <v>8000</v>
      </c>
      <c r="C452" s="1">
        <v>0.3</v>
      </c>
      <c r="D452" s="1">
        <v>0.5</v>
      </c>
      <c r="E452" s="1">
        <v>1000</v>
      </c>
      <c r="F452" s="1">
        <v>2</v>
      </c>
      <c r="G452" s="1">
        <v>3</v>
      </c>
      <c r="H452" s="1" t="s">
        <v>580</v>
      </c>
      <c r="I452" s="1">
        <v>447008.9</v>
      </c>
      <c r="J452" s="1">
        <v>167665.79999999999</v>
      </c>
      <c r="K452" s="1">
        <v>279343.09999999998</v>
      </c>
      <c r="L452" s="1">
        <v>2400</v>
      </c>
      <c r="M452" s="1">
        <v>600.29</v>
      </c>
      <c r="N452" s="1">
        <v>96058.5</v>
      </c>
      <c r="O452" s="1">
        <v>144860.5</v>
      </c>
      <c r="P452" s="1">
        <v>240919</v>
      </c>
      <c r="Q452" s="1">
        <v>39852.300000000003</v>
      </c>
      <c r="R452" s="1">
        <v>20558.8</v>
      </c>
      <c r="S452" s="1">
        <v>60411.1</v>
      </c>
      <c r="T452" s="1">
        <v>32.590000000000003</v>
      </c>
      <c r="U452" s="1">
        <v>6.6</v>
      </c>
      <c r="V452" s="1">
        <v>18437.2</v>
      </c>
      <c r="W452" s="1">
        <v>58289.5</v>
      </c>
      <c r="X452" s="1">
        <v>606.89</v>
      </c>
      <c r="Y452" s="1">
        <v>2400</v>
      </c>
      <c r="Z452" s="1">
        <v>299208.5</v>
      </c>
      <c r="AA452" s="1">
        <v>33.06</v>
      </c>
    </row>
    <row r="453" spans="1:27" x14ac:dyDescent="0.4">
      <c r="A453" s="1" t="s">
        <v>127</v>
      </c>
      <c r="B453" s="1">
        <v>8000</v>
      </c>
      <c r="C453" s="1">
        <v>0.3</v>
      </c>
      <c r="D453" s="1">
        <v>0.5</v>
      </c>
      <c r="E453" s="1">
        <v>1000</v>
      </c>
      <c r="F453" s="1">
        <v>2</v>
      </c>
      <c r="G453" s="1">
        <v>3</v>
      </c>
      <c r="H453" s="1" t="s">
        <v>15</v>
      </c>
      <c r="I453" s="1">
        <v>447008.9</v>
      </c>
      <c r="J453" s="1">
        <v>167665.79999999999</v>
      </c>
      <c r="K453" s="1">
        <v>279343.09999999998</v>
      </c>
      <c r="L453" s="1">
        <v>2400</v>
      </c>
      <c r="M453" s="1">
        <v>600.36</v>
      </c>
      <c r="N453" s="1">
        <v>94419.3</v>
      </c>
      <c r="O453" s="1">
        <v>140624.5</v>
      </c>
      <c r="P453" s="1">
        <v>235043.8</v>
      </c>
      <c r="Q453" s="1">
        <v>48734.6</v>
      </c>
      <c r="R453" s="1">
        <v>12133.4</v>
      </c>
      <c r="S453" s="1">
        <v>60868</v>
      </c>
      <c r="T453" s="1">
        <v>33.799999999999997</v>
      </c>
      <c r="U453" s="1">
        <v>0.79</v>
      </c>
      <c r="V453" s="1">
        <v>11616.9</v>
      </c>
      <c r="W453" s="1">
        <v>60351.5</v>
      </c>
      <c r="X453" s="1">
        <v>601.15</v>
      </c>
      <c r="Y453" s="1">
        <v>2396</v>
      </c>
      <c r="Z453" s="1">
        <v>295395.3</v>
      </c>
      <c r="AA453" s="1">
        <v>33.92</v>
      </c>
    </row>
    <row r="454" spans="1:27" x14ac:dyDescent="0.4">
      <c r="A454" s="1" t="s">
        <v>128</v>
      </c>
      <c r="B454" s="1">
        <v>8000</v>
      </c>
      <c r="C454" s="1">
        <v>0.3</v>
      </c>
      <c r="D454" s="1">
        <v>0.5</v>
      </c>
      <c r="E454" s="1">
        <v>1000</v>
      </c>
      <c r="F454" s="1">
        <v>2</v>
      </c>
      <c r="G454" s="1">
        <v>4</v>
      </c>
      <c r="H454" s="1" t="s">
        <v>592</v>
      </c>
      <c r="I454" s="1">
        <v>441673.7</v>
      </c>
      <c r="J454" s="1">
        <v>172616.6</v>
      </c>
      <c r="K454" s="1">
        <v>269057.09999999998</v>
      </c>
      <c r="L454" s="1">
        <v>2400</v>
      </c>
      <c r="M454" s="1">
        <v>600.03</v>
      </c>
      <c r="N454" s="1">
        <v>94823.3</v>
      </c>
      <c r="O454" s="1">
        <v>137952.70000000001</v>
      </c>
      <c r="P454" s="1">
        <v>232776</v>
      </c>
      <c r="Q454" s="1">
        <v>45139.1</v>
      </c>
      <c r="R454" s="1">
        <v>11592.2</v>
      </c>
      <c r="S454" s="1">
        <v>56731.3</v>
      </c>
      <c r="T454" s="1">
        <v>34.450000000000003</v>
      </c>
      <c r="U454" s="1">
        <v>1.71</v>
      </c>
      <c r="V454" s="1">
        <v>11533.6</v>
      </c>
      <c r="W454" s="1">
        <v>56672.7</v>
      </c>
      <c r="X454" s="1">
        <v>601.73</v>
      </c>
      <c r="Y454" s="1">
        <v>2397</v>
      </c>
      <c r="Z454" s="1">
        <v>289448.7</v>
      </c>
      <c r="AA454" s="1">
        <v>34.47</v>
      </c>
    </row>
    <row r="455" spans="1:27" x14ac:dyDescent="0.4">
      <c r="A455" s="1" t="s">
        <v>128</v>
      </c>
      <c r="B455" s="1">
        <v>8000</v>
      </c>
      <c r="C455" s="1">
        <v>0.3</v>
      </c>
      <c r="D455" s="1">
        <v>0.5</v>
      </c>
      <c r="E455" s="1">
        <v>1000</v>
      </c>
      <c r="F455" s="1">
        <v>2</v>
      </c>
      <c r="G455" s="1">
        <v>4</v>
      </c>
      <c r="H455" s="1" t="s">
        <v>14</v>
      </c>
      <c r="I455" s="1">
        <v>441673.7</v>
      </c>
      <c r="J455" s="1">
        <v>172616.6</v>
      </c>
      <c r="K455" s="1">
        <v>269057.09999999998</v>
      </c>
      <c r="L455" s="1">
        <v>2400</v>
      </c>
      <c r="M455" s="1">
        <v>600.02</v>
      </c>
      <c r="N455" s="1">
        <v>94775</v>
      </c>
      <c r="O455" s="1">
        <v>133696.6</v>
      </c>
      <c r="P455" s="1">
        <v>228471.6</v>
      </c>
      <c r="Q455" s="1">
        <v>45807.4</v>
      </c>
      <c r="R455" s="1">
        <v>14039.5</v>
      </c>
      <c r="S455" s="1">
        <v>59846.9</v>
      </c>
      <c r="T455" s="1">
        <v>34.72</v>
      </c>
      <c r="U455" s="1">
        <v>1.0900000000000001</v>
      </c>
      <c r="V455" s="1">
        <v>13332.9</v>
      </c>
      <c r="W455" s="1">
        <v>59140.3</v>
      </c>
      <c r="X455" s="1">
        <v>601.11</v>
      </c>
      <c r="Y455" s="1">
        <v>2399</v>
      </c>
      <c r="Z455" s="1">
        <v>287611.90000000002</v>
      </c>
      <c r="AA455" s="1">
        <v>34.880000000000003</v>
      </c>
    </row>
    <row r="456" spans="1:27" x14ac:dyDescent="0.4">
      <c r="A456" s="1" t="s">
        <v>128</v>
      </c>
      <c r="B456" s="1">
        <v>8000</v>
      </c>
      <c r="C456" s="1">
        <v>0.3</v>
      </c>
      <c r="D456" s="1">
        <v>0.5</v>
      </c>
      <c r="E456" s="1">
        <v>1000</v>
      </c>
      <c r="F456" s="1">
        <v>2</v>
      </c>
      <c r="G456" s="1">
        <v>4</v>
      </c>
      <c r="H456" s="1" t="s">
        <v>580</v>
      </c>
      <c r="I456" s="1">
        <v>441673.7</v>
      </c>
      <c r="J456" s="1">
        <v>172616.6</v>
      </c>
      <c r="K456" s="1">
        <v>269057.09999999998</v>
      </c>
      <c r="L456" s="1">
        <v>2400</v>
      </c>
      <c r="M456" s="1">
        <v>600.47</v>
      </c>
      <c r="N456" s="1">
        <v>94861.7</v>
      </c>
      <c r="O456" s="1">
        <v>138637</v>
      </c>
      <c r="P456" s="1">
        <v>233498.7</v>
      </c>
      <c r="Q456" s="1">
        <v>40912.199999999997</v>
      </c>
      <c r="R456" s="1">
        <v>20161.3</v>
      </c>
      <c r="S456" s="1">
        <v>61073.5</v>
      </c>
      <c r="T456" s="1">
        <v>33.31</v>
      </c>
      <c r="U456" s="1">
        <v>7.22</v>
      </c>
      <c r="V456" s="1">
        <v>18313.2</v>
      </c>
      <c r="W456" s="1">
        <v>59225.4</v>
      </c>
      <c r="X456" s="1">
        <v>607.70000000000005</v>
      </c>
      <c r="Y456" s="1">
        <v>2400</v>
      </c>
      <c r="Z456" s="1">
        <v>292724.09999999998</v>
      </c>
      <c r="AA456" s="1">
        <v>33.72</v>
      </c>
    </row>
    <row r="457" spans="1:27" x14ac:dyDescent="0.4">
      <c r="A457" s="1" t="s">
        <v>128</v>
      </c>
      <c r="B457" s="1">
        <v>8000</v>
      </c>
      <c r="C457" s="1">
        <v>0.3</v>
      </c>
      <c r="D457" s="1">
        <v>0.5</v>
      </c>
      <c r="E457" s="1">
        <v>1000</v>
      </c>
      <c r="F457" s="1">
        <v>2</v>
      </c>
      <c r="G457" s="1">
        <v>4</v>
      </c>
      <c r="H457" s="1" t="s">
        <v>15</v>
      </c>
      <c r="I457" s="1">
        <v>441673.7</v>
      </c>
      <c r="J457" s="1">
        <v>172616.6</v>
      </c>
      <c r="K457" s="1">
        <v>269057.09999999998</v>
      </c>
      <c r="L457" s="1">
        <v>2400</v>
      </c>
      <c r="M457" s="1">
        <v>600.03</v>
      </c>
      <c r="N457" s="1">
        <v>93585.5</v>
      </c>
      <c r="O457" s="1">
        <v>131151.1</v>
      </c>
      <c r="P457" s="1">
        <v>224736.6</v>
      </c>
      <c r="Q457" s="1">
        <v>48869</v>
      </c>
      <c r="R457" s="1">
        <v>12613.5</v>
      </c>
      <c r="S457" s="1">
        <v>61482.5</v>
      </c>
      <c r="T457" s="1">
        <v>35.200000000000003</v>
      </c>
      <c r="U457" s="1">
        <v>0.76</v>
      </c>
      <c r="V457" s="1">
        <v>12020.9</v>
      </c>
      <c r="W457" s="1">
        <v>60889.9</v>
      </c>
      <c r="X457" s="1">
        <v>600.79</v>
      </c>
      <c r="Y457" s="1">
        <v>2400</v>
      </c>
      <c r="Z457" s="1">
        <v>285626.5</v>
      </c>
      <c r="AA457" s="1">
        <v>35.33</v>
      </c>
    </row>
    <row r="458" spans="1:27" x14ac:dyDescent="0.4">
      <c r="A458" s="1" t="s">
        <v>129</v>
      </c>
      <c r="B458" s="1">
        <v>8000</v>
      </c>
      <c r="C458" s="1">
        <v>0.3</v>
      </c>
      <c r="D458" s="1">
        <v>0.5</v>
      </c>
      <c r="E458" s="1">
        <v>1000</v>
      </c>
      <c r="F458" s="1">
        <v>2</v>
      </c>
      <c r="G458" s="1">
        <v>5</v>
      </c>
      <c r="H458" s="1" t="s">
        <v>592</v>
      </c>
      <c r="I458" s="1">
        <v>441622.8</v>
      </c>
      <c r="J458" s="1">
        <v>175651.8</v>
      </c>
      <c r="K458" s="1">
        <v>265971</v>
      </c>
      <c r="L458" s="1">
        <v>2400</v>
      </c>
      <c r="M458" s="1">
        <v>603.86</v>
      </c>
      <c r="N458" s="1">
        <v>97013.6</v>
      </c>
      <c r="O458" s="1">
        <v>137192.79999999999</v>
      </c>
      <c r="P458" s="1">
        <v>234206.4</v>
      </c>
      <c r="Q458" s="1">
        <v>45430.9</v>
      </c>
      <c r="R458" s="1">
        <v>11475</v>
      </c>
      <c r="S458" s="1">
        <v>56905.9</v>
      </c>
      <c r="T458" s="1">
        <v>34.08</v>
      </c>
      <c r="U458" s="1">
        <v>1.47</v>
      </c>
      <c r="V458" s="1">
        <v>11418.7</v>
      </c>
      <c r="W458" s="1">
        <v>56849.599999999999</v>
      </c>
      <c r="X458" s="1">
        <v>605.33000000000004</v>
      </c>
      <c r="Y458" s="1">
        <v>2395</v>
      </c>
      <c r="Z458" s="1">
        <v>291056</v>
      </c>
      <c r="AA458" s="1">
        <v>34.090000000000003</v>
      </c>
    </row>
    <row r="459" spans="1:27" x14ac:dyDescent="0.4">
      <c r="A459" s="1" t="s">
        <v>129</v>
      </c>
      <c r="B459" s="1">
        <v>8000</v>
      </c>
      <c r="C459" s="1">
        <v>0.3</v>
      </c>
      <c r="D459" s="1">
        <v>0.5</v>
      </c>
      <c r="E459" s="1">
        <v>1000</v>
      </c>
      <c r="F459" s="1">
        <v>2</v>
      </c>
      <c r="G459" s="1">
        <v>5</v>
      </c>
      <c r="H459" s="1" t="s">
        <v>14</v>
      </c>
      <c r="I459" s="1">
        <v>441622.8</v>
      </c>
      <c r="J459" s="1">
        <v>175651.8</v>
      </c>
      <c r="K459" s="1">
        <v>265971</v>
      </c>
      <c r="L459" s="1">
        <v>2400</v>
      </c>
      <c r="M459" s="1">
        <v>600.01</v>
      </c>
      <c r="N459" s="1">
        <v>95642</v>
      </c>
      <c r="O459" s="1">
        <v>132358.79999999999</v>
      </c>
      <c r="P459" s="1">
        <v>228000.8</v>
      </c>
      <c r="Q459" s="1">
        <v>47643.7</v>
      </c>
      <c r="R459" s="1">
        <v>15219.4</v>
      </c>
      <c r="S459" s="1">
        <v>62863.1</v>
      </c>
      <c r="T459" s="1">
        <v>34.14</v>
      </c>
      <c r="U459" s="1">
        <v>1.18</v>
      </c>
      <c r="V459" s="1">
        <v>14395.7</v>
      </c>
      <c r="W459" s="1">
        <v>62039.4</v>
      </c>
      <c r="X459" s="1">
        <v>601.17999999999995</v>
      </c>
      <c r="Y459" s="1">
        <v>2398</v>
      </c>
      <c r="Z459" s="1">
        <v>290040.2</v>
      </c>
      <c r="AA459" s="1">
        <v>34.32</v>
      </c>
    </row>
    <row r="460" spans="1:27" x14ac:dyDescent="0.4">
      <c r="A460" s="1" t="s">
        <v>129</v>
      </c>
      <c r="B460" s="1">
        <v>8000</v>
      </c>
      <c r="C460" s="1">
        <v>0.3</v>
      </c>
      <c r="D460" s="1">
        <v>0.5</v>
      </c>
      <c r="E460" s="1">
        <v>1000</v>
      </c>
      <c r="F460" s="1">
        <v>2</v>
      </c>
      <c r="G460" s="1">
        <v>5</v>
      </c>
      <c r="H460" s="1" t="s">
        <v>580</v>
      </c>
      <c r="I460" s="1">
        <v>441622.8</v>
      </c>
      <c r="J460" s="1">
        <v>175651.8</v>
      </c>
      <c r="K460" s="1">
        <v>265971</v>
      </c>
      <c r="L460" s="1">
        <v>2400</v>
      </c>
      <c r="M460" s="1">
        <v>600.13</v>
      </c>
      <c r="N460" s="1">
        <v>98247.7</v>
      </c>
      <c r="O460" s="1">
        <v>137994.5</v>
      </c>
      <c r="P460" s="1">
        <v>236242.2</v>
      </c>
      <c r="Q460" s="1">
        <v>41340.6</v>
      </c>
      <c r="R460" s="1">
        <v>20531.400000000001</v>
      </c>
      <c r="S460" s="1">
        <v>61872</v>
      </c>
      <c r="T460" s="1">
        <v>32.5</v>
      </c>
      <c r="U460" s="1">
        <v>6.67</v>
      </c>
      <c r="V460" s="1">
        <v>18638</v>
      </c>
      <c r="W460" s="1">
        <v>59978.6</v>
      </c>
      <c r="X460" s="1">
        <v>606.79999999999995</v>
      </c>
      <c r="Y460" s="1">
        <v>2399</v>
      </c>
      <c r="Z460" s="1">
        <v>296220.79999999999</v>
      </c>
      <c r="AA460" s="1">
        <v>32.92</v>
      </c>
    </row>
    <row r="461" spans="1:27" x14ac:dyDescent="0.4">
      <c r="A461" s="1" t="s">
        <v>129</v>
      </c>
      <c r="B461" s="1">
        <v>8000</v>
      </c>
      <c r="C461" s="1">
        <v>0.3</v>
      </c>
      <c r="D461" s="1">
        <v>0.5</v>
      </c>
      <c r="E461" s="1">
        <v>1000</v>
      </c>
      <c r="F461" s="1">
        <v>2</v>
      </c>
      <c r="G461" s="1">
        <v>5</v>
      </c>
      <c r="H461" s="1" t="s">
        <v>15</v>
      </c>
      <c r="I461" s="1">
        <v>441622.8</v>
      </c>
      <c r="J461" s="1">
        <v>175651.8</v>
      </c>
      <c r="K461" s="1">
        <v>265971</v>
      </c>
      <c r="L461" s="1">
        <v>2400</v>
      </c>
      <c r="M461" s="1">
        <v>600.12</v>
      </c>
      <c r="N461" s="1">
        <v>94529.7</v>
      </c>
      <c r="O461" s="1">
        <v>133582.5</v>
      </c>
      <c r="P461" s="1">
        <v>228112.2</v>
      </c>
      <c r="Q461" s="1">
        <v>49520.5</v>
      </c>
      <c r="R461" s="1">
        <v>12141.1</v>
      </c>
      <c r="S461" s="1">
        <v>61661.599999999999</v>
      </c>
      <c r="T461" s="1">
        <v>34.380000000000003</v>
      </c>
      <c r="U461" s="1">
        <v>0.54</v>
      </c>
      <c r="V461" s="1">
        <v>11481.5</v>
      </c>
      <c r="W461" s="1">
        <v>61002</v>
      </c>
      <c r="X461" s="1">
        <v>600.66999999999996</v>
      </c>
      <c r="Y461" s="1">
        <v>2398</v>
      </c>
      <c r="Z461" s="1">
        <v>289114.2</v>
      </c>
      <c r="AA461" s="1">
        <v>34.53</v>
      </c>
    </row>
    <row r="462" spans="1:27" x14ac:dyDescent="0.4">
      <c r="A462" s="1" t="s">
        <v>130</v>
      </c>
      <c r="B462" s="1">
        <v>8000</v>
      </c>
      <c r="C462" s="1">
        <v>0.3</v>
      </c>
      <c r="D462" s="1">
        <v>0.5</v>
      </c>
      <c r="E462" s="1">
        <v>1000</v>
      </c>
      <c r="F462" s="1">
        <v>3</v>
      </c>
      <c r="G462" s="1">
        <v>1</v>
      </c>
      <c r="H462" s="1" t="s">
        <v>592</v>
      </c>
      <c r="I462" s="1">
        <v>601966.4</v>
      </c>
      <c r="J462" s="1">
        <v>222890</v>
      </c>
      <c r="K462" s="1">
        <v>379076.4</v>
      </c>
      <c r="L462" s="1">
        <v>2400</v>
      </c>
      <c r="M462" s="1">
        <v>603.6</v>
      </c>
      <c r="N462" s="1">
        <v>118021.6</v>
      </c>
      <c r="O462" s="1">
        <v>193406.8</v>
      </c>
      <c r="P462" s="1">
        <v>311428.40000000002</v>
      </c>
      <c r="Q462" s="1">
        <v>51520.9</v>
      </c>
      <c r="R462" s="1">
        <v>16659.099999999999</v>
      </c>
      <c r="S462" s="1">
        <v>68180</v>
      </c>
      <c r="T462" s="1">
        <v>36.94</v>
      </c>
      <c r="U462" s="1">
        <v>1.6</v>
      </c>
      <c r="V462" s="1">
        <v>16597.5</v>
      </c>
      <c r="W462" s="1">
        <v>68118.399999999994</v>
      </c>
      <c r="X462" s="1">
        <v>605.20000000000005</v>
      </c>
      <c r="Y462" s="1">
        <v>2399</v>
      </c>
      <c r="Z462" s="1">
        <v>379546.8</v>
      </c>
      <c r="AA462" s="1">
        <v>36.950000000000003</v>
      </c>
    </row>
    <row r="463" spans="1:27" x14ac:dyDescent="0.4">
      <c r="A463" s="1" t="s">
        <v>130</v>
      </c>
      <c r="B463" s="1">
        <v>8000</v>
      </c>
      <c r="C463" s="1">
        <v>0.3</v>
      </c>
      <c r="D463" s="1">
        <v>0.5</v>
      </c>
      <c r="E463" s="1">
        <v>1000</v>
      </c>
      <c r="F463" s="1">
        <v>3</v>
      </c>
      <c r="G463" s="1">
        <v>1</v>
      </c>
      <c r="H463" s="1" t="s">
        <v>14</v>
      </c>
      <c r="I463" s="1">
        <v>601966.4</v>
      </c>
      <c r="J463" s="1">
        <v>222890</v>
      </c>
      <c r="K463" s="1">
        <v>379076.4</v>
      </c>
      <c r="L463" s="1">
        <v>2400</v>
      </c>
      <c r="M463" s="1">
        <v>600</v>
      </c>
      <c r="N463" s="1">
        <v>118611.3</v>
      </c>
      <c r="O463" s="1">
        <v>193833.5</v>
      </c>
      <c r="P463" s="1">
        <v>312444.79999999999</v>
      </c>
      <c r="Q463" s="1">
        <v>53198.1</v>
      </c>
      <c r="R463" s="1">
        <v>20157.7</v>
      </c>
      <c r="S463" s="1">
        <v>73355.8</v>
      </c>
      <c r="T463" s="1">
        <v>35.909999999999997</v>
      </c>
      <c r="U463" s="1">
        <v>1.18</v>
      </c>
      <c r="V463" s="1">
        <v>19071.400000000001</v>
      </c>
      <c r="W463" s="1">
        <v>72269.5</v>
      </c>
      <c r="X463" s="1">
        <v>601.19000000000005</v>
      </c>
      <c r="Y463" s="1">
        <v>2400</v>
      </c>
      <c r="Z463" s="1">
        <v>384714.3</v>
      </c>
      <c r="AA463" s="1">
        <v>36.090000000000003</v>
      </c>
    </row>
    <row r="464" spans="1:27" x14ac:dyDescent="0.4">
      <c r="A464" s="1" t="s">
        <v>130</v>
      </c>
      <c r="B464" s="1">
        <v>8000</v>
      </c>
      <c r="C464" s="1">
        <v>0.3</v>
      </c>
      <c r="D464" s="1">
        <v>0.5</v>
      </c>
      <c r="E464" s="1">
        <v>1000</v>
      </c>
      <c r="F464" s="1">
        <v>3</v>
      </c>
      <c r="G464" s="1">
        <v>1</v>
      </c>
      <c r="H464" s="1" t="s">
        <v>580</v>
      </c>
      <c r="I464" s="1">
        <v>601966.4</v>
      </c>
      <c r="J464" s="1">
        <v>222890</v>
      </c>
      <c r="K464" s="1">
        <v>379076.4</v>
      </c>
      <c r="L464" s="1">
        <v>2400</v>
      </c>
      <c r="M464" s="1">
        <v>600.34</v>
      </c>
      <c r="N464" s="1">
        <v>122023.3</v>
      </c>
      <c r="O464" s="1">
        <v>199270.9</v>
      </c>
      <c r="P464" s="1">
        <v>321294.2</v>
      </c>
      <c r="Q464" s="1">
        <v>44840.5</v>
      </c>
      <c r="R464" s="1">
        <v>23846.400000000001</v>
      </c>
      <c r="S464" s="1">
        <v>68686.899999999994</v>
      </c>
      <c r="T464" s="1">
        <v>35.22</v>
      </c>
      <c r="U464" s="1">
        <v>5.41</v>
      </c>
      <c r="V464" s="1">
        <v>22150.3</v>
      </c>
      <c r="W464" s="1">
        <v>66990.8</v>
      </c>
      <c r="X464" s="1">
        <v>605.75</v>
      </c>
      <c r="Y464" s="1">
        <v>2399</v>
      </c>
      <c r="Z464" s="1">
        <v>388285</v>
      </c>
      <c r="AA464" s="1">
        <v>35.5</v>
      </c>
    </row>
    <row r="465" spans="1:27" x14ac:dyDescent="0.4">
      <c r="A465" s="1" t="s">
        <v>130</v>
      </c>
      <c r="B465" s="1">
        <v>8000</v>
      </c>
      <c r="C465" s="1">
        <v>0.3</v>
      </c>
      <c r="D465" s="1">
        <v>0.5</v>
      </c>
      <c r="E465" s="1">
        <v>1000</v>
      </c>
      <c r="F465" s="1">
        <v>3</v>
      </c>
      <c r="G465" s="1">
        <v>1</v>
      </c>
      <c r="H465" s="1" t="s">
        <v>15</v>
      </c>
      <c r="I465" s="1">
        <v>601966.4</v>
      </c>
      <c r="J465" s="1">
        <v>222890</v>
      </c>
      <c r="K465" s="1">
        <v>379076.4</v>
      </c>
      <c r="L465" s="1">
        <v>2400</v>
      </c>
      <c r="M465" s="1">
        <v>600.04</v>
      </c>
      <c r="N465" s="1">
        <v>119396.6</v>
      </c>
      <c r="O465" s="1">
        <v>190041.5</v>
      </c>
      <c r="P465" s="1">
        <v>309438.09999999998</v>
      </c>
      <c r="Q465" s="1">
        <v>54586.5</v>
      </c>
      <c r="R465" s="1">
        <v>17759.599999999999</v>
      </c>
      <c r="S465" s="1">
        <v>72346.100000000006</v>
      </c>
      <c r="T465" s="1">
        <v>36.58</v>
      </c>
      <c r="U465" s="1">
        <v>0.86</v>
      </c>
      <c r="V465" s="1">
        <v>17013.8</v>
      </c>
      <c r="W465" s="1">
        <v>71600.3</v>
      </c>
      <c r="X465" s="1">
        <v>600.9</v>
      </c>
      <c r="Y465" s="1">
        <v>2399</v>
      </c>
      <c r="Z465" s="1">
        <v>381038.4</v>
      </c>
      <c r="AA465" s="1">
        <v>36.700000000000003</v>
      </c>
    </row>
    <row r="466" spans="1:27" x14ac:dyDescent="0.4">
      <c r="A466" s="1" t="s">
        <v>131</v>
      </c>
      <c r="B466" s="1">
        <v>8000</v>
      </c>
      <c r="C466" s="1">
        <v>0.3</v>
      </c>
      <c r="D466" s="1">
        <v>0.5</v>
      </c>
      <c r="E466" s="1">
        <v>1000</v>
      </c>
      <c r="F466" s="1">
        <v>3</v>
      </c>
      <c r="G466" s="1">
        <v>2</v>
      </c>
      <c r="H466" s="1" t="s">
        <v>592</v>
      </c>
      <c r="I466" s="1">
        <v>565282.6</v>
      </c>
      <c r="J466" s="1">
        <v>215214.2</v>
      </c>
      <c r="K466" s="1">
        <v>350068.4</v>
      </c>
      <c r="L466" s="1">
        <v>2400</v>
      </c>
      <c r="M466" s="1">
        <v>603.83000000000004</v>
      </c>
      <c r="N466" s="1">
        <v>117604.8</v>
      </c>
      <c r="O466" s="1">
        <v>181910.8</v>
      </c>
      <c r="P466" s="1">
        <v>299515.59999999998</v>
      </c>
      <c r="Q466" s="1">
        <v>49310.5</v>
      </c>
      <c r="R466" s="1">
        <v>15534.9</v>
      </c>
      <c r="S466" s="1">
        <v>64845.4</v>
      </c>
      <c r="T466" s="1">
        <v>35.54</v>
      </c>
      <c r="U466" s="1">
        <v>1.6</v>
      </c>
      <c r="V466" s="1">
        <v>15440.7</v>
      </c>
      <c r="W466" s="1">
        <v>64751.199999999997</v>
      </c>
      <c r="X466" s="1">
        <v>605.42999999999995</v>
      </c>
      <c r="Y466" s="1">
        <v>2398</v>
      </c>
      <c r="Z466" s="1">
        <v>364266.8</v>
      </c>
      <c r="AA466" s="1">
        <v>35.56</v>
      </c>
    </row>
    <row r="467" spans="1:27" x14ac:dyDescent="0.4">
      <c r="A467" s="1" t="s">
        <v>131</v>
      </c>
      <c r="B467" s="1">
        <v>8000</v>
      </c>
      <c r="C467" s="1">
        <v>0.3</v>
      </c>
      <c r="D467" s="1">
        <v>0.5</v>
      </c>
      <c r="E467" s="1">
        <v>1000</v>
      </c>
      <c r="F467" s="1">
        <v>3</v>
      </c>
      <c r="G467" s="1">
        <v>2</v>
      </c>
      <c r="H467" s="1" t="s">
        <v>14</v>
      </c>
      <c r="I467" s="1">
        <v>565282.6</v>
      </c>
      <c r="J467" s="1">
        <v>215214.2</v>
      </c>
      <c r="K467" s="1">
        <v>350068.4</v>
      </c>
      <c r="L467" s="1">
        <v>2400</v>
      </c>
      <c r="M467" s="1">
        <v>600</v>
      </c>
      <c r="N467" s="1">
        <v>117479.6</v>
      </c>
      <c r="O467" s="1">
        <v>180798.4</v>
      </c>
      <c r="P467" s="1">
        <v>298278</v>
      </c>
      <c r="Q467" s="1">
        <v>51854.7</v>
      </c>
      <c r="R467" s="1">
        <v>19232.3</v>
      </c>
      <c r="S467" s="1">
        <v>71087</v>
      </c>
      <c r="T467" s="1">
        <v>34.659999999999997</v>
      </c>
      <c r="U467" s="1">
        <v>1.45</v>
      </c>
      <c r="V467" s="1">
        <v>18173.599999999999</v>
      </c>
      <c r="W467" s="1">
        <v>70028.3</v>
      </c>
      <c r="X467" s="1">
        <v>601.46</v>
      </c>
      <c r="Y467" s="1">
        <v>2400</v>
      </c>
      <c r="Z467" s="1">
        <v>368306.3</v>
      </c>
      <c r="AA467" s="1">
        <v>34.85</v>
      </c>
    </row>
    <row r="468" spans="1:27" x14ac:dyDescent="0.4">
      <c r="A468" s="1" t="s">
        <v>131</v>
      </c>
      <c r="B468" s="1">
        <v>8000</v>
      </c>
      <c r="C468" s="1">
        <v>0.3</v>
      </c>
      <c r="D468" s="1">
        <v>0.5</v>
      </c>
      <c r="E468" s="1">
        <v>1000</v>
      </c>
      <c r="F468" s="1">
        <v>3</v>
      </c>
      <c r="G468" s="1">
        <v>2</v>
      </c>
      <c r="H468" s="1" t="s">
        <v>580</v>
      </c>
      <c r="I468" s="1">
        <v>565282.6</v>
      </c>
      <c r="J468" s="1">
        <v>215214.2</v>
      </c>
      <c r="K468" s="1">
        <v>350068.4</v>
      </c>
      <c r="L468" s="1">
        <v>2400</v>
      </c>
      <c r="M468" s="1">
        <v>600.83000000000004</v>
      </c>
      <c r="N468" s="1">
        <v>118963.6</v>
      </c>
      <c r="O468" s="1">
        <v>186074.7</v>
      </c>
      <c r="P468" s="1">
        <v>305038.3</v>
      </c>
      <c r="Q468" s="1">
        <v>44450.5</v>
      </c>
      <c r="R468" s="1">
        <v>23449.8</v>
      </c>
      <c r="S468" s="1">
        <v>67900.3</v>
      </c>
      <c r="T468" s="1">
        <v>34.03</v>
      </c>
      <c r="U468" s="1">
        <v>6.62</v>
      </c>
      <c r="V468" s="1">
        <v>21543</v>
      </c>
      <c r="W468" s="1">
        <v>65993.5</v>
      </c>
      <c r="X468" s="1">
        <v>607.45000000000005</v>
      </c>
      <c r="Y468" s="1">
        <v>2399</v>
      </c>
      <c r="Z468" s="1">
        <v>371031.8</v>
      </c>
      <c r="AA468" s="1">
        <v>34.36</v>
      </c>
    </row>
    <row r="469" spans="1:27" x14ac:dyDescent="0.4">
      <c r="A469" s="1" t="s">
        <v>131</v>
      </c>
      <c r="B469" s="1">
        <v>8000</v>
      </c>
      <c r="C469" s="1">
        <v>0.3</v>
      </c>
      <c r="D469" s="1">
        <v>0.5</v>
      </c>
      <c r="E469" s="1">
        <v>1000</v>
      </c>
      <c r="F469" s="1">
        <v>3</v>
      </c>
      <c r="G469" s="1">
        <v>2</v>
      </c>
      <c r="H469" s="1" t="s">
        <v>15</v>
      </c>
      <c r="I469" s="1">
        <v>565282.6</v>
      </c>
      <c r="J469" s="1">
        <v>215214.2</v>
      </c>
      <c r="K469" s="1">
        <v>350068.4</v>
      </c>
      <c r="L469" s="1">
        <v>2400</v>
      </c>
      <c r="M469" s="1">
        <v>600.44000000000005</v>
      </c>
      <c r="N469" s="1">
        <v>117473</v>
      </c>
      <c r="O469" s="1">
        <v>180289.4</v>
      </c>
      <c r="P469" s="1">
        <v>297762.40000000002</v>
      </c>
      <c r="Q469" s="1">
        <v>53501.9</v>
      </c>
      <c r="R469" s="1">
        <v>16214.5</v>
      </c>
      <c r="S469" s="1">
        <v>69716.399999999994</v>
      </c>
      <c r="T469" s="1">
        <v>34.99</v>
      </c>
      <c r="U469" s="1">
        <v>0.93</v>
      </c>
      <c r="V469" s="1">
        <v>15468.9</v>
      </c>
      <c r="W469" s="1">
        <v>68970.8</v>
      </c>
      <c r="X469" s="1">
        <v>601.37</v>
      </c>
      <c r="Y469" s="1">
        <v>2397</v>
      </c>
      <c r="Z469" s="1">
        <v>366733.2</v>
      </c>
      <c r="AA469" s="1">
        <v>35.119999999999997</v>
      </c>
    </row>
    <row r="470" spans="1:27" x14ac:dyDescent="0.4">
      <c r="A470" s="1" t="s">
        <v>132</v>
      </c>
      <c r="B470" s="1">
        <v>8000</v>
      </c>
      <c r="C470" s="1">
        <v>0.3</v>
      </c>
      <c r="D470" s="1">
        <v>0.5</v>
      </c>
      <c r="E470" s="1">
        <v>1000</v>
      </c>
      <c r="F470" s="1">
        <v>3</v>
      </c>
      <c r="G470" s="1">
        <v>3</v>
      </c>
      <c r="H470" s="1" t="s">
        <v>592</v>
      </c>
      <c r="I470" s="1">
        <v>586619.6</v>
      </c>
      <c r="J470" s="1">
        <v>224384.6</v>
      </c>
      <c r="K470" s="1">
        <v>362235</v>
      </c>
      <c r="L470" s="1">
        <v>2400</v>
      </c>
      <c r="M470" s="1">
        <v>603.27</v>
      </c>
      <c r="N470" s="1">
        <v>121300.5</v>
      </c>
      <c r="O470" s="1">
        <v>185305.3</v>
      </c>
      <c r="P470" s="1">
        <v>306605.8</v>
      </c>
      <c r="Q470" s="1">
        <v>49613.8</v>
      </c>
      <c r="R470" s="1">
        <v>14638</v>
      </c>
      <c r="S470" s="1">
        <v>64251.8</v>
      </c>
      <c r="T470" s="1">
        <v>36.78</v>
      </c>
      <c r="U470" s="1">
        <v>1.41</v>
      </c>
      <c r="V470" s="1">
        <v>14550.8</v>
      </c>
      <c r="W470" s="1">
        <v>64164.6</v>
      </c>
      <c r="X470" s="1">
        <v>604.66999999999996</v>
      </c>
      <c r="Y470" s="1">
        <v>2396</v>
      </c>
      <c r="Z470" s="1">
        <v>370770.4</v>
      </c>
      <c r="AA470" s="1">
        <v>36.799999999999997</v>
      </c>
    </row>
    <row r="471" spans="1:27" x14ac:dyDescent="0.4">
      <c r="A471" s="1" t="s">
        <v>132</v>
      </c>
      <c r="B471" s="1">
        <v>8000</v>
      </c>
      <c r="C471" s="1">
        <v>0.3</v>
      </c>
      <c r="D471" s="1">
        <v>0.5</v>
      </c>
      <c r="E471" s="1">
        <v>1000</v>
      </c>
      <c r="F471" s="1">
        <v>3</v>
      </c>
      <c r="G471" s="1">
        <v>3</v>
      </c>
      <c r="H471" s="1" t="s">
        <v>14</v>
      </c>
      <c r="I471" s="1">
        <v>586619.6</v>
      </c>
      <c r="J471" s="1">
        <v>224384.6</v>
      </c>
      <c r="K471" s="1">
        <v>362235</v>
      </c>
      <c r="L471" s="1">
        <v>2400</v>
      </c>
      <c r="M471" s="1">
        <v>600.02</v>
      </c>
      <c r="N471" s="1">
        <v>121221.7</v>
      </c>
      <c r="O471" s="1">
        <v>183945.4</v>
      </c>
      <c r="P471" s="1">
        <v>305167.09999999998</v>
      </c>
      <c r="Q471" s="1">
        <v>52629.2</v>
      </c>
      <c r="R471" s="1">
        <v>18517.3</v>
      </c>
      <c r="S471" s="1">
        <v>71146.5</v>
      </c>
      <c r="T471" s="1">
        <v>35.85</v>
      </c>
      <c r="U471" s="1">
        <v>1.28</v>
      </c>
      <c r="V471" s="1">
        <v>17651.599999999999</v>
      </c>
      <c r="W471" s="1">
        <v>70280.800000000003</v>
      </c>
      <c r="X471" s="1">
        <v>601.29999999999995</v>
      </c>
      <c r="Y471" s="1">
        <v>2400</v>
      </c>
      <c r="Z471" s="1">
        <v>375447.9</v>
      </c>
      <c r="AA471" s="1">
        <v>36</v>
      </c>
    </row>
    <row r="472" spans="1:27" x14ac:dyDescent="0.4">
      <c r="A472" s="1" t="s">
        <v>132</v>
      </c>
      <c r="B472" s="1">
        <v>8000</v>
      </c>
      <c r="C472" s="1">
        <v>0.3</v>
      </c>
      <c r="D472" s="1">
        <v>0.5</v>
      </c>
      <c r="E472" s="1">
        <v>1000</v>
      </c>
      <c r="F472" s="1">
        <v>3</v>
      </c>
      <c r="G472" s="1">
        <v>3</v>
      </c>
      <c r="H472" s="1" t="s">
        <v>580</v>
      </c>
      <c r="I472" s="1">
        <v>586619.6</v>
      </c>
      <c r="J472" s="1">
        <v>224384.6</v>
      </c>
      <c r="K472" s="1">
        <v>362235</v>
      </c>
      <c r="L472" s="1">
        <v>2400</v>
      </c>
      <c r="M472" s="1">
        <v>600.35</v>
      </c>
      <c r="N472" s="1">
        <v>122485.1</v>
      </c>
      <c r="O472" s="1">
        <v>188127.2</v>
      </c>
      <c r="P472" s="1">
        <v>310612.3</v>
      </c>
      <c r="Q472" s="1">
        <v>44507.1</v>
      </c>
      <c r="R472" s="1">
        <v>23763.1</v>
      </c>
      <c r="S472" s="1">
        <v>68270.2</v>
      </c>
      <c r="T472" s="1">
        <v>35.409999999999997</v>
      </c>
      <c r="U472" s="1">
        <v>6.57</v>
      </c>
      <c r="V472" s="1">
        <v>21810.799999999999</v>
      </c>
      <c r="W472" s="1">
        <v>66317.899999999994</v>
      </c>
      <c r="X472" s="1">
        <v>606.91999999999996</v>
      </c>
      <c r="Y472" s="1">
        <v>2400</v>
      </c>
      <c r="Z472" s="1">
        <v>376930.2</v>
      </c>
      <c r="AA472" s="1">
        <v>35.75</v>
      </c>
    </row>
    <row r="473" spans="1:27" x14ac:dyDescent="0.4">
      <c r="A473" s="1" t="s">
        <v>132</v>
      </c>
      <c r="B473" s="1">
        <v>8000</v>
      </c>
      <c r="C473" s="1">
        <v>0.3</v>
      </c>
      <c r="D473" s="1">
        <v>0.5</v>
      </c>
      <c r="E473" s="1">
        <v>1000</v>
      </c>
      <c r="F473" s="1">
        <v>3</v>
      </c>
      <c r="G473" s="1">
        <v>3</v>
      </c>
      <c r="H473" s="1" t="s">
        <v>15</v>
      </c>
      <c r="I473" s="1">
        <v>586619.6</v>
      </c>
      <c r="J473" s="1">
        <v>224384.6</v>
      </c>
      <c r="K473" s="1">
        <v>362235</v>
      </c>
      <c r="L473" s="1">
        <v>2400</v>
      </c>
      <c r="M473" s="1">
        <v>600.72</v>
      </c>
      <c r="N473" s="1">
        <v>121585.5</v>
      </c>
      <c r="O473" s="1">
        <v>184656.2</v>
      </c>
      <c r="P473" s="1">
        <v>306241.7</v>
      </c>
      <c r="Q473" s="1">
        <v>53718.5</v>
      </c>
      <c r="R473" s="1">
        <v>16068.7</v>
      </c>
      <c r="S473" s="1">
        <v>69787.199999999997</v>
      </c>
      <c r="T473" s="1">
        <v>35.9</v>
      </c>
      <c r="U473" s="1">
        <v>0.9</v>
      </c>
      <c r="V473" s="1">
        <v>15403.1</v>
      </c>
      <c r="W473" s="1">
        <v>69121.600000000006</v>
      </c>
      <c r="X473" s="1">
        <v>601.62</v>
      </c>
      <c r="Y473" s="1">
        <v>2400</v>
      </c>
      <c r="Z473" s="1">
        <v>375363.3</v>
      </c>
      <c r="AA473" s="1">
        <v>36.01</v>
      </c>
    </row>
    <row r="474" spans="1:27" x14ac:dyDescent="0.4">
      <c r="A474" s="1" t="s">
        <v>133</v>
      </c>
      <c r="B474" s="1">
        <v>8000</v>
      </c>
      <c r="C474" s="1">
        <v>0.3</v>
      </c>
      <c r="D474" s="1">
        <v>0.5</v>
      </c>
      <c r="E474" s="1">
        <v>1000</v>
      </c>
      <c r="F474" s="1">
        <v>3</v>
      </c>
      <c r="G474" s="1">
        <v>4</v>
      </c>
      <c r="H474" s="1" t="s">
        <v>592</v>
      </c>
      <c r="I474" s="1">
        <v>588648.9</v>
      </c>
      <c r="J474" s="1">
        <v>222740.3</v>
      </c>
      <c r="K474" s="1">
        <v>365908.6</v>
      </c>
      <c r="L474" s="1">
        <v>2400</v>
      </c>
      <c r="M474" s="1">
        <v>601.75</v>
      </c>
      <c r="N474" s="1">
        <v>119209.8</v>
      </c>
      <c r="O474" s="1">
        <v>193566.6</v>
      </c>
      <c r="P474" s="1">
        <v>312776.40000000002</v>
      </c>
      <c r="Q474" s="1">
        <v>49395.6</v>
      </c>
      <c r="R474" s="1">
        <v>15602.4</v>
      </c>
      <c r="S474" s="1">
        <v>64998</v>
      </c>
      <c r="T474" s="1">
        <v>35.82</v>
      </c>
      <c r="U474" s="1">
        <v>1.41</v>
      </c>
      <c r="V474" s="1">
        <v>15507</v>
      </c>
      <c r="W474" s="1">
        <v>64902.6</v>
      </c>
      <c r="X474" s="1">
        <v>603.16999999999996</v>
      </c>
      <c r="Y474" s="1">
        <v>2395</v>
      </c>
      <c r="Z474" s="1">
        <v>377679</v>
      </c>
      <c r="AA474" s="1">
        <v>35.840000000000003</v>
      </c>
    </row>
    <row r="475" spans="1:27" x14ac:dyDescent="0.4">
      <c r="A475" s="1" t="s">
        <v>133</v>
      </c>
      <c r="B475" s="1">
        <v>8000</v>
      </c>
      <c r="C475" s="1">
        <v>0.3</v>
      </c>
      <c r="D475" s="1">
        <v>0.5</v>
      </c>
      <c r="E475" s="1">
        <v>1000</v>
      </c>
      <c r="F475" s="1">
        <v>3</v>
      </c>
      <c r="G475" s="1">
        <v>4</v>
      </c>
      <c r="H475" s="1" t="s">
        <v>14</v>
      </c>
      <c r="I475" s="1">
        <v>588648.9</v>
      </c>
      <c r="J475" s="1">
        <v>222740.3</v>
      </c>
      <c r="K475" s="1">
        <v>365908.6</v>
      </c>
      <c r="L475" s="1">
        <v>2400</v>
      </c>
      <c r="M475" s="1">
        <v>600.05999999999995</v>
      </c>
      <c r="N475" s="1">
        <v>120982.9</v>
      </c>
      <c r="O475" s="1">
        <v>190932.4</v>
      </c>
      <c r="P475" s="1">
        <v>311915.3</v>
      </c>
      <c r="Q475" s="1">
        <v>51462.5</v>
      </c>
      <c r="R475" s="1">
        <v>19854.3</v>
      </c>
      <c r="S475" s="1">
        <v>71316.800000000003</v>
      </c>
      <c r="T475" s="1">
        <v>34.9</v>
      </c>
      <c r="U475" s="1">
        <v>1.53</v>
      </c>
      <c r="V475" s="1">
        <v>18620.900000000001</v>
      </c>
      <c r="W475" s="1">
        <v>70083.399999999994</v>
      </c>
      <c r="X475" s="1">
        <v>601.59</v>
      </c>
      <c r="Y475" s="1">
        <v>2400</v>
      </c>
      <c r="Z475" s="1">
        <v>381998.7</v>
      </c>
      <c r="AA475" s="1">
        <v>35.11</v>
      </c>
    </row>
    <row r="476" spans="1:27" x14ac:dyDescent="0.4">
      <c r="A476" s="1" t="s">
        <v>133</v>
      </c>
      <c r="B476" s="1">
        <v>8000</v>
      </c>
      <c r="C476" s="1">
        <v>0.3</v>
      </c>
      <c r="D476" s="1">
        <v>0.5</v>
      </c>
      <c r="E476" s="1">
        <v>1000</v>
      </c>
      <c r="F476" s="1">
        <v>3</v>
      </c>
      <c r="G476" s="1">
        <v>4</v>
      </c>
      <c r="H476" s="1" t="s">
        <v>580</v>
      </c>
      <c r="I476" s="1">
        <v>588648.9</v>
      </c>
      <c r="J476" s="1">
        <v>222740.3</v>
      </c>
      <c r="K476" s="1">
        <v>365908.6</v>
      </c>
      <c r="L476" s="1">
        <v>2400</v>
      </c>
      <c r="M476" s="1">
        <v>600.71</v>
      </c>
      <c r="N476" s="1">
        <v>121733.3</v>
      </c>
      <c r="O476" s="1">
        <v>197946.5</v>
      </c>
      <c r="P476" s="1">
        <v>319679.8</v>
      </c>
      <c r="Q476" s="1">
        <v>44052</v>
      </c>
      <c r="R476" s="1">
        <v>23633.3</v>
      </c>
      <c r="S476" s="1">
        <v>67685.3</v>
      </c>
      <c r="T476" s="1">
        <v>34.19</v>
      </c>
      <c r="U476" s="1">
        <v>6.76</v>
      </c>
      <c r="V476" s="1">
        <v>21742.1</v>
      </c>
      <c r="W476" s="1">
        <v>65794.100000000006</v>
      </c>
      <c r="X476" s="1">
        <v>607.47</v>
      </c>
      <c r="Y476" s="1">
        <v>2399</v>
      </c>
      <c r="Z476" s="1">
        <v>385473.9</v>
      </c>
      <c r="AA476" s="1">
        <v>34.520000000000003</v>
      </c>
    </row>
    <row r="477" spans="1:27" x14ac:dyDescent="0.4">
      <c r="A477" s="1" t="s">
        <v>133</v>
      </c>
      <c r="B477" s="1">
        <v>8000</v>
      </c>
      <c r="C477" s="1">
        <v>0.3</v>
      </c>
      <c r="D477" s="1">
        <v>0.5</v>
      </c>
      <c r="E477" s="1">
        <v>1000</v>
      </c>
      <c r="F477" s="1">
        <v>3</v>
      </c>
      <c r="G477" s="1">
        <v>4</v>
      </c>
      <c r="H477" s="1" t="s">
        <v>15</v>
      </c>
      <c r="I477" s="1">
        <v>588648.9</v>
      </c>
      <c r="J477" s="1">
        <v>222740.3</v>
      </c>
      <c r="K477" s="1">
        <v>365908.6</v>
      </c>
      <c r="L477" s="1">
        <v>2400</v>
      </c>
      <c r="M477" s="1">
        <v>600.01</v>
      </c>
      <c r="N477" s="1">
        <v>121472.4</v>
      </c>
      <c r="O477" s="1">
        <v>195476.9</v>
      </c>
      <c r="P477" s="1">
        <v>316949.3</v>
      </c>
      <c r="Q477" s="1">
        <v>52662.9</v>
      </c>
      <c r="R477" s="1">
        <v>16149.5</v>
      </c>
      <c r="S477" s="1">
        <v>68812.399999999994</v>
      </c>
      <c r="T477" s="1">
        <v>34.47</v>
      </c>
      <c r="U477" s="1">
        <v>0.92</v>
      </c>
      <c r="V477" s="1">
        <v>15395.5</v>
      </c>
      <c r="W477" s="1">
        <v>68058.399999999994</v>
      </c>
      <c r="X477" s="1">
        <v>600.92999999999995</v>
      </c>
      <c r="Y477" s="1">
        <v>2400</v>
      </c>
      <c r="Z477" s="1">
        <v>385007.7</v>
      </c>
      <c r="AA477" s="1">
        <v>34.590000000000003</v>
      </c>
    </row>
    <row r="478" spans="1:27" x14ac:dyDescent="0.4">
      <c r="A478" s="1" t="s">
        <v>134</v>
      </c>
      <c r="B478" s="1">
        <v>8000</v>
      </c>
      <c r="C478" s="1">
        <v>0.3</v>
      </c>
      <c r="D478" s="1">
        <v>0.5</v>
      </c>
      <c r="E478" s="1">
        <v>1000</v>
      </c>
      <c r="F478" s="1">
        <v>3</v>
      </c>
      <c r="G478" s="1">
        <v>5</v>
      </c>
      <c r="H478" s="1" t="s">
        <v>592</v>
      </c>
      <c r="I478" s="1">
        <v>594008.5</v>
      </c>
      <c r="J478" s="1">
        <v>227482.3</v>
      </c>
      <c r="K478" s="1">
        <v>366526.2</v>
      </c>
      <c r="L478" s="1">
        <v>2400</v>
      </c>
      <c r="M478" s="1">
        <v>603.14</v>
      </c>
      <c r="N478" s="1">
        <v>123518.3</v>
      </c>
      <c r="O478" s="1">
        <v>190296.4</v>
      </c>
      <c r="P478" s="1">
        <v>313814.7</v>
      </c>
      <c r="Q478" s="1">
        <v>49350.400000000001</v>
      </c>
      <c r="R478" s="1">
        <v>15803.8</v>
      </c>
      <c r="S478" s="1">
        <v>65154.2</v>
      </c>
      <c r="T478" s="1">
        <v>36.200000000000003</v>
      </c>
      <c r="U478" s="1">
        <v>1.33</v>
      </c>
      <c r="V478" s="1">
        <v>15693.3</v>
      </c>
      <c r="W478" s="1">
        <v>65043.7</v>
      </c>
      <c r="X478" s="1">
        <v>604.47</v>
      </c>
      <c r="Y478" s="1">
        <v>2203</v>
      </c>
      <c r="Z478" s="1">
        <v>378858.4</v>
      </c>
      <c r="AA478" s="1">
        <v>36.22</v>
      </c>
    </row>
    <row r="479" spans="1:27" x14ac:dyDescent="0.4">
      <c r="A479" s="1" t="s">
        <v>134</v>
      </c>
      <c r="B479" s="1">
        <v>8000</v>
      </c>
      <c r="C479" s="1">
        <v>0.3</v>
      </c>
      <c r="D479" s="1">
        <v>0.5</v>
      </c>
      <c r="E479" s="1">
        <v>1000</v>
      </c>
      <c r="F479" s="1">
        <v>3</v>
      </c>
      <c r="G479" s="1">
        <v>5</v>
      </c>
      <c r="H479" s="1" t="s">
        <v>14</v>
      </c>
      <c r="I479" s="1">
        <v>594008.5</v>
      </c>
      <c r="J479" s="1">
        <v>227482.3</v>
      </c>
      <c r="K479" s="1">
        <v>366526.2</v>
      </c>
      <c r="L479" s="1">
        <v>2400</v>
      </c>
      <c r="M479" s="1">
        <v>600.03</v>
      </c>
      <c r="N479" s="1">
        <v>123307</v>
      </c>
      <c r="O479" s="1">
        <v>187477.7</v>
      </c>
      <c r="P479" s="1">
        <v>310784.7</v>
      </c>
      <c r="Q479" s="1">
        <v>53152.4</v>
      </c>
      <c r="R479" s="1">
        <v>19418.8</v>
      </c>
      <c r="S479" s="1">
        <v>72571.199999999997</v>
      </c>
      <c r="T479" s="1">
        <v>35.46</v>
      </c>
      <c r="U479" s="1">
        <v>1.3</v>
      </c>
      <c r="V479" s="1">
        <v>18476.8</v>
      </c>
      <c r="W479" s="1">
        <v>71629.2</v>
      </c>
      <c r="X479" s="1">
        <v>601.33000000000004</v>
      </c>
      <c r="Y479" s="1">
        <v>2400</v>
      </c>
      <c r="Z479" s="1">
        <v>382413.9</v>
      </c>
      <c r="AA479" s="1">
        <v>35.619999999999997</v>
      </c>
    </row>
    <row r="480" spans="1:27" x14ac:dyDescent="0.4">
      <c r="A480" s="1" t="s">
        <v>134</v>
      </c>
      <c r="B480" s="1">
        <v>8000</v>
      </c>
      <c r="C480" s="1">
        <v>0.3</v>
      </c>
      <c r="D480" s="1">
        <v>0.5</v>
      </c>
      <c r="E480" s="1">
        <v>1000</v>
      </c>
      <c r="F480" s="1">
        <v>3</v>
      </c>
      <c r="G480" s="1">
        <v>5</v>
      </c>
      <c r="H480" s="1" t="s">
        <v>580</v>
      </c>
      <c r="I480" s="1">
        <v>594008.5</v>
      </c>
      <c r="J480" s="1">
        <v>227482.3</v>
      </c>
      <c r="K480" s="1">
        <v>366526.2</v>
      </c>
      <c r="L480" s="1">
        <v>2400</v>
      </c>
      <c r="M480" s="1">
        <v>600.01</v>
      </c>
      <c r="N480" s="1">
        <v>125263.3</v>
      </c>
      <c r="O480" s="1">
        <v>194178.2</v>
      </c>
      <c r="P480" s="1">
        <v>319441.5</v>
      </c>
      <c r="Q480" s="1">
        <v>44857.8</v>
      </c>
      <c r="R480" s="1">
        <v>24471.7</v>
      </c>
      <c r="S480" s="1">
        <v>69329.5</v>
      </c>
      <c r="T480" s="1">
        <v>34.549999999999997</v>
      </c>
      <c r="U480" s="1">
        <v>5.56</v>
      </c>
      <c r="V480" s="1">
        <v>22285.8</v>
      </c>
      <c r="W480" s="1">
        <v>67143.600000000006</v>
      </c>
      <c r="X480" s="1">
        <v>605.57000000000005</v>
      </c>
      <c r="Y480" s="1">
        <v>2399</v>
      </c>
      <c r="Z480" s="1">
        <v>386585.1</v>
      </c>
      <c r="AA480" s="1">
        <v>34.92</v>
      </c>
    </row>
    <row r="481" spans="1:27" x14ac:dyDescent="0.4">
      <c r="A481" s="1" t="s">
        <v>134</v>
      </c>
      <c r="B481" s="1">
        <v>8000</v>
      </c>
      <c r="C481" s="1">
        <v>0.3</v>
      </c>
      <c r="D481" s="1">
        <v>0.5</v>
      </c>
      <c r="E481" s="1">
        <v>1000</v>
      </c>
      <c r="F481" s="1">
        <v>3</v>
      </c>
      <c r="G481" s="1">
        <v>5</v>
      </c>
      <c r="H481" s="1" t="s">
        <v>15</v>
      </c>
      <c r="I481" s="1">
        <v>594008.5</v>
      </c>
      <c r="J481" s="1">
        <v>227482.3</v>
      </c>
      <c r="K481" s="1">
        <v>366526.2</v>
      </c>
      <c r="L481" s="1">
        <v>2400</v>
      </c>
      <c r="M481" s="1">
        <v>600.38</v>
      </c>
      <c r="N481" s="1">
        <v>123070.5</v>
      </c>
      <c r="O481" s="1">
        <v>185994.9</v>
      </c>
      <c r="P481" s="1">
        <v>309065.40000000002</v>
      </c>
      <c r="Q481" s="1">
        <v>55121.1</v>
      </c>
      <c r="R481" s="1">
        <v>16722.5</v>
      </c>
      <c r="S481" s="1">
        <v>71843.600000000006</v>
      </c>
      <c r="T481" s="1">
        <v>35.869999999999997</v>
      </c>
      <c r="U481" s="1">
        <v>0.77</v>
      </c>
      <c r="V481" s="1">
        <v>15965.1</v>
      </c>
      <c r="W481" s="1">
        <v>71086.2</v>
      </c>
      <c r="X481" s="1">
        <v>601.15</v>
      </c>
      <c r="Y481" s="1">
        <v>2398</v>
      </c>
      <c r="Z481" s="1">
        <v>380151.6</v>
      </c>
      <c r="AA481" s="1">
        <v>36</v>
      </c>
    </row>
    <row r="482" spans="1:27" x14ac:dyDescent="0.4">
      <c r="A482" s="1" t="s">
        <v>135</v>
      </c>
      <c r="B482" s="1">
        <v>8000</v>
      </c>
      <c r="C482" s="1">
        <v>0.4</v>
      </c>
      <c r="D482" s="1">
        <v>0.5</v>
      </c>
      <c r="E482" s="1">
        <v>1000</v>
      </c>
      <c r="F482" s="1">
        <v>1</v>
      </c>
      <c r="G482" s="1">
        <v>1</v>
      </c>
      <c r="H482" s="1" t="s">
        <v>592</v>
      </c>
      <c r="I482" s="1">
        <v>278509.5</v>
      </c>
      <c r="J482" s="1">
        <v>112049.60000000001</v>
      </c>
      <c r="K482" s="1">
        <v>166459.9</v>
      </c>
      <c r="L482" s="1">
        <v>2400</v>
      </c>
      <c r="M482" s="1">
        <v>602.94000000000005</v>
      </c>
      <c r="N482" s="1">
        <v>60462.400000000001</v>
      </c>
      <c r="O482" s="1">
        <v>86836.2</v>
      </c>
      <c r="P482" s="1">
        <v>147298.6</v>
      </c>
      <c r="Q482" s="1">
        <v>39711</v>
      </c>
      <c r="R482" s="1">
        <v>10442.4</v>
      </c>
      <c r="S482" s="1">
        <v>50153.4</v>
      </c>
      <c r="T482" s="1">
        <v>29.1</v>
      </c>
      <c r="U482" s="1">
        <v>1.57</v>
      </c>
      <c r="V482" s="1">
        <v>10432.6</v>
      </c>
      <c r="W482" s="1">
        <v>50143.6</v>
      </c>
      <c r="X482" s="1">
        <v>604.51</v>
      </c>
      <c r="Y482" s="1">
        <v>2136</v>
      </c>
      <c r="Z482" s="1">
        <v>197442.2</v>
      </c>
      <c r="AA482" s="1">
        <v>29.11</v>
      </c>
    </row>
    <row r="483" spans="1:27" x14ac:dyDescent="0.4">
      <c r="A483" s="1" t="s">
        <v>135</v>
      </c>
      <c r="B483" s="1">
        <v>8000</v>
      </c>
      <c r="C483" s="1">
        <v>0.4</v>
      </c>
      <c r="D483" s="1">
        <v>0.5</v>
      </c>
      <c r="E483" s="1">
        <v>1000</v>
      </c>
      <c r="F483" s="1">
        <v>1</v>
      </c>
      <c r="G483" s="1">
        <v>1</v>
      </c>
      <c r="H483" s="1" t="s">
        <v>14</v>
      </c>
      <c r="I483" s="1">
        <v>278509.5</v>
      </c>
      <c r="J483" s="1">
        <v>112049.60000000001</v>
      </c>
      <c r="K483" s="1">
        <v>166459.9</v>
      </c>
      <c r="L483" s="1">
        <v>2400</v>
      </c>
      <c r="M483" s="1">
        <v>600.03</v>
      </c>
      <c r="N483" s="1">
        <v>66589.8</v>
      </c>
      <c r="O483" s="1">
        <v>89655.5</v>
      </c>
      <c r="P483" s="1">
        <v>156245.29999999999</v>
      </c>
      <c r="Q483" s="1">
        <v>35343</v>
      </c>
      <c r="R483" s="1">
        <v>12427.5</v>
      </c>
      <c r="S483" s="1">
        <v>47770.5</v>
      </c>
      <c r="T483" s="1">
        <v>26.75</v>
      </c>
      <c r="U483" s="1">
        <v>1.1100000000000001</v>
      </c>
      <c r="V483" s="1">
        <v>12099.7</v>
      </c>
      <c r="W483" s="1">
        <v>47442.7</v>
      </c>
      <c r="X483" s="1">
        <v>601.14</v>
      </c>
      <c r="Y483" s="1">
        <v>2138</v>
      </c>
      <c r="Z483" s="1">
        <v>203688</v>
      </c>
      <c r="AA483" s="1">
        <v>26.86</v>
      </c>
    </row>
    <row r="484" spans="1:27" x14ac:dyDescent="0.4">
      <c r="A484" s="1" t="s">
        <v>135</v>
      </c>
      <c r="B484" s="1">
        <v>8000</v>
      </c>
      <c r="C484" s="1">
        <v>0.4</v>
      </c>
      <c r="D484" s="1">
        <v>0.5</v>
      </c>
      <c r="E484" s="1">
        <v>1000</v>
      </c>
      <c r="F484" s="1">
        <v>1</v>
      </c>
      <c r="G484" s="1">
        <v>1</v>
      </c>
      <c r="H484" s="1" t="s">
        <v>580</v>
      </c>
      <c r="I484" s="1">
        <v>278509.5</v>
      </c>
      <c r="J484" s="1">
        <v>112049.60000000001</v>
      </c>
      <c r="K484" s="1">
        <v>166459.9</v>
      </c>
      <c r="L484" s="1">
        <v>2400</v>
      </c>
      <c r="M484" s="1">
        <v>600.01</v>
      </c>
      <c r="N484" s="1">
        <v>60536.2</v>
      </c>
      <c r="O484" s="1">
        <v>85303.7</v>
      </c>
      <c r="P484" s="1">
        <v>145839.9</v>
      </c>
      <c r="Q484" s="1">
        <v>37211.1</v>
      </c>
      <c r="R484" s="1">
        <v>17081.2</v>
      </c>
      <c r="S484" s="1">
        <v>54292.3</v>
      </c>
      <c r="T484" s="1">
        <v>28.14</v>
      </c>
      <c r="U484" s="1">
        <v>6.55</v>
      </c>
      <c r="V484" s="1">
        <v>16089</v>
      </c>
      <c r="W484" s="1">
        <v>53300.1</v>
      </c>
      <c r="X484" s="1">
        <v>606.55999999999995</v>
      </c>
      <c r="Y484" s="1">
        <v>2102</v>
      </c>
      <c r="Z484" s="1">
        <v>199140</v>
      </c>
      <c r="AA484" s="1">
        <v>28.5</v>
      </c>
    </row>
    <row r="485" spans="1:27" x14ac:dyDescent="0.4">
      <c r="A485" s="1" t="s">
        <v>135</v>
      </c>
      <c r="B485" s="1">
        <v>8000</v>
      </c>
      <c r="C485" s="1">
        <v>0.4</v>
      </c>
      <c r="D485" s="1">
        <v>0.5</v>
      </c>
      <c r="E485" s="1">
        <v>1000</v>
      </c>
      <c r="F485" s="1">
        <v>1</v>
      </c>
      <c r="G485" s="1">
        <v>1</v>
      </c>
      <c r="H485" s="1" t="s">
        <v>15</v>
      </c>
      <c r="I485" s="1">
        <v>278509.5</v>
      </c>
      <c r="J485" s="1">
        <v>112049.60000000001</v>
      </c>
      <c r="K485" s="1">
        <v>166459.9</v>
      </c>
      <c r="L485" s="1">
        <v>2400</v>
      </c>
      <c r="M485" s="1">
        <v>600.54</v>
      </c>
      <c r="N485" s="1">
        <v>61798.8</v>
      </c>
      <c r="O485" s="1">
        <v>85717.9</v>
      </c>
      <c r="P485" s="1">
        <v>147516.70000000001</v>
      </c>
      <c r="Q485" s="1">
        <v>43230</v>
      </c>
      <c r="R485" s="1">
        <v>10268.6</v>
      </c>
      <c r="S485" s="1">
        <v>53498.6</v>
      </c>
      <c r="T485" s="1">
        <v>27.82</v>
      </c>
      <c r="U485" s="1">
        <v>0.69</v>
      </c>
      <c r="V485" s="1">
        <v>9979.7999999999993</v>
      </c>
      <c r="W485" s="1">
        <v>53209.8</v>
      </c>
      <c r="X485" s="1">
        <v>601.23</v>
      </c>
      <c r="Y485" s="1">
        <v>2399</v>
      </c>
      <c r="Z485" s="1">
        <v>200726.5</v>
      </c>
      <c r="AA485" s="1">
        <v>27.93</v>
      </c>
    </row>
    <row r="486" spans="1:27" x14ac:dyDescent="0.4">
      <c r="A486" s="1" t="s">
        <v>136</v>
      </c>
      <c r="B486" s="1">
        <v>8000</v>
      </c>
      <c r="C486" s="1">
        <v>0.4</v>
      </c>
      <c r="D486" s="1">
        <v>0.5</v>
      </c>
      <c r="E486" s="1">
        <v>1000</v>
      </c>
      <c r="F486" s="1">
        <v>1</v>
      </c>
      <c r="G486" s="1">
        <v>2</v>
      </c>
      <c r="H486" s="1" t="s">
        <v>592</v>
      </c>
      <c r="I486" s="1">
        <v>283492.90000000002</v>
      </c>
      <c r="J486" s="1">
        <v>109140.8</v>
      </c>
      <c r="K486" s="1">
        <v>174352.1</v>
      </c>
      <c r="L486" s="1">
        <v>2400</v>
      </c>
      <c r="M486" s="1">
        <v>600.01</v>
      </c>
      <c r="N486" s="1">
        <v>60420</v>
      </c>
      <c r="O486" s="1">
        <v>92057.2</v>
      </c>
      <c r="P486" s="1">
        <v>152477.20000000001</v>
      </c>
      <c r="Q486" s="1">
        <v>38765.800000000003</v>
      </c>
      <c r="R486" s="1">
        <v>10392.299999999999</v>
      </c>
      <c r="S486" s="1">
        <v>49158.1</v>
      </c>
      <c r="T486" s="1">
        <v>28.87</v>
      </c>
      <c r="U486" s="1">
        <v>1.46</v>
      </c>
      <c r="V486" s="1">
        <v>10369.299999999999</v>
      </c>
      <c r="W486" s="1">
        <v>49135.1</v>
      </c>
      <c r="X486" s="1">
        <v>601.47</v>
      </c>
      <c r="Y486" s="1">
        <v>2050</v>
      </c>
      <c r="Z486" s="1">
        <v>201612.3</v>
      </c>
      <c r="AA486" s="1">
        <v>28.88</v>
      </c>
    </row>
    <row r="487" spans="1:27" x14ac:dyDescent="0.4">
      <c r="A487" s="1" t="s">
        <v>136</v>
      </c>
      <c r="B487" s="1">
        <v>8000</v>
      </c>
      <c r="C487" s="1">
        <v>0.4</v>
      </c>
      <c r="D487" s="1">
        <v>0.5</v>
      </c>
      <c r="E487" s="1">
        <v>1000</v>
      </c>
      <c r="F487" s="1">
        <v>1</v>
      </c>
      <c r="G487" s="1">
        <v>2</v>
      </c>
      <c r="H487" s="1" t="s">
        <v>14</v>
      </c>
      <c r="I487" s="1">
        <v>283492.90000000002</v>
      </c>
      <c r="J487" s="1">
        <v>109140.8</v>
      </c>
      <c r="K487" s="1">
        <v>174352.1</v>
      </c>
      <c r="L487" s="1">
        <v>2400</v>
      </c>
      <c r="M487" s="1">
        <v>600.02</v>
      </c>
      <c r="N487" s="1">
        <v>63296.1</v>
      </c>
      <c r="O487" s="1">
        <v>93603.8</v>
      </c>
      <c r="P487" s="1">
        <v>156899.9</v>
      </c>
      <c r="Q487" s="1">
        <v>36825.699999999997</v>
      </c>
      <c r="R487" s="1">
        <v>12371.1</v>
      </c>
      <c r="S487" s="1">
        <v>49196.800000000003</v>
      </c>
      <c r="T487" s="1">
        <v>27.3</v>
      </c>
      <c r="U487" s="1">
        <v>1.3</v>
      </c>
      <c r="V487" s="1">
        <v>12061.7</v>
      </c>
      <c r="W487" s="1">
        <v>48887.4</v>
      </c>
      <c r="X487" s="1">
        <v>601.32000000000005</v>
      </c>
      <c r="Y487" s="1">
        <v>2234</v>
      </c>
      <c r="Z487" s="1">
        <v>205787.3</v>
      </c>
      <c r="AA487" s="1">
        <v>27.41</v>
      </c>
    </row>
    <row r="488" spans="1:27" x14ac:dyDescent="0.4">
      <c r="A488" s="1" t="s">
        <v>136</v>
      </c>
      <c r="B488" s="1">
        <v>8000</v>
      </c>
      <c r="C488" s="1">
        <v>0.4</v>
      </c>
      <c r="D488" s="1">
        <v>0.5</v>
      </c>
      <c r="E488" s="1">
        <v>1000</v>
      </c>
      <c r="F488" s="1">
        <v>1</v>
      </c>
      <c r="G488" s="1">
        <v>2</v>
      </c>
      <c r="H488" s="1" t="s">
        <v>580</v>
      </c>
      <c r="I488" s="1">
        <v>283492.90000000002</v>
      </c>
      <c r="J488" s="1">
        <v>109140.8</v>
      </c>
      <c r="K488" s="1">
        <v>174352.1</v>
      </c>
      <c r="L488" s="1">
        <v>2400</v>
      </c>
      <c r="M488" s="1">
        <v>600.02</v>
      </c>
      <c r="N488" s="1">
        <v>59469</v>
      </c>
      <c r="O488" s="1">
        <v>88974.6</v>
      </c>
      <c r="P488" s="1">
        <v>148443.6</v>
      </c>
      <c r="Q488" s="1">
        <v>37809.800000000003</v>
      </c>
      <c r="R488" s="1">
        <v>17747.7</v>
      </c>
      <c r="S488" s="1">
        <v>55557.5</v>
      </c>
      <c r="T488" s="1">
        <v>28.04</v>
      </c>
      <c r="U488" s="1">
        <v>6.54</v>
      </c>
      <c r="V488" s="1">
        <v>16762.599999999999</v>
      </c>
      <c r="W488" s="1">
        <v>54572.4</v>
      </c>
      <c r="X488" s="1">
        <v>606.55999999999995</v>
      </c>
      <c r="Y488" s="1">
        <v>2129</v>
      </c>
      <c r="Z488" s="1">
        <v>203016</v>
      </c>
      <c r="AA488" s="1">
        <v>28.39</v>
      </c>
    </row>
    <row r="489" spans="1:27" x14ac:dyDescent="0.4">
      <c r="A489" s="1" t="s">
        <v>136</v>
      </c>
      <c r="B489" s="1">
        <v>8000</v>
      </c>
      <c r="C489" s="1">
        <v>0.4</v>
      </c>
      <c r="D489" s="1">
        <v>0.5</v>
      </c>
      <c r="E489" s="1">
        <v>1000</v>
      </c>
      <c r="F489" s="1">
        <v>1</v>
      </c>
      <c r="G489" s="1">
        <v>2</v>
      </c>
      <c r="H489" s="1" t="s">
        <v>15</v>
      </c>
      <c r="I489" s="1">
        <v>283492.90000000002</v>
      </c>
      <c r="J489" s="1">
        <v>109140.8</v>
      </c>
      <c r="K489" s="1">
        <v>174352.1</v>
      </c>
      <c r="L489" s="1">
        <v>2400</v>
      </c>
      <c r="M489" s="1">
        <v>600.32000000000005</v>
      </c>
      <c r="N489" s="1">
        <v>60319.8</v>
      </c>
      <c r="O489" s="1">
        <v>89034.6</v>
      </c>
      <c r="P489" s="1">
        <v>149354.4</v>
      </c>
      <c r="Q489" s="1">
        <v>43607.6</v>
      </c>
      <c r="R489" s="1">
        <v>10462.9</v>
      </c>
      <c r="S489" s="1">
        <v>54070.5</v>
      </c>
      <c r="T489" s="1">
        <v>28.24</v>
      </c>
      <c r="U489" s="1">
        <v>0.79</v>
      </c>
      <c r="V489" s="1">
        <v>10157.299999999999</v>
      </c>
      <c r="W489" s="1">
        <v>53764.9</v>
      </c>
      <c r="X489" s="1">
        <v>601.1</v>
      </c>
      <c r="Y489" s="1">
        <v>2399</v>
      </c>
      <c r="Z489" s="1">
        <v>203119.3</v>
      </c>
      <c r="AA489" s="1">
        <v>28.35</v>
      </c>
    </row>
    <row r="490" spans="1:27" x14ac:dyDescent="0.4">
      <c r="A490" s="1" t="s">
        <v>137</v>
      </c>
      <c r="B490" s="1">
        <v>8000</v>
      </c>
      <c r="C490" s="1">
        <v>0.4</v>
      </c>
      <c r="D490" s="1">
        <v>0.5</v>
      </c>
      <c r="E490" s="1">
        <v>1000</v>
      </c>
      <c r="F490" s="1">
        <v>1</v>
      </c>
      <c r="G490" s="1">
        <v>3</v>
      </c>
      <c r="H490" s="1" t="s">
        <v>592</v>
      </c>
      <c r="I490" s="1">
        <v>288322.90000000002</v>
      </c>
      <c r="J490" s="1">
        <v>112088.6</v>
      </c>
      <c r="K490" s="1">
        <v>176234.3</v>
      </c>
      <c r="L490" s="1">
        <v>2400</v>
      </c>
      <c r="M490" s="1">
        <v>602.67999999999995</v>
      </c>
      <c r="N490" s="1">
        <v>62267.6</v>
      </c>
      <c r="O490" s="1">
        <v>91114</v>
      </c>
      <c r="P490" s="1">
        <v>153381.6</v>
      </c>
      <c r="Q490" s="1">
        <v>39713.300000000003</v>
      </c>
      <c r="R490" s="1">
        <v>10430.700000000001</v>
      </c>
      <c r="S490" s="1">
        <v>50144</v>
      </c>
      <c r="T490" s="1">
        <v>29.41</v>
      </c>
      <c r="U490" s="1">
        <v>1.53</v>
      </c>
      <c r="V490" s="1">
        <v>10414.6</v>
      </c>
      <c r="W490" s="1">
        <v>50127.9</v>
      </c>
      <c r="X490" s="1">
        <v>604.21</v>
      </c>
      <c r="Y490" s="1">
        <v>2037</v>
      </c>
      <c r="Z490" s="1">
        <v>203509.5</v>
      </c>
      <c r="AA490" s="1">
        <v>29.42</v>
      </c>
    </row>
    <row r="491" spans="1:27" x14ac:dyDescent="0.4">
      <c r="A491" s="1" t="s">
        <v>137</v>
      </c>
      <c r="B491" s="1">
        <v>8000</v>
      </c>
      <c r="C491" s="1">
        <v>0.4</v>
      </c>
      <c r="D491" s="1">
        <v>0.5</v>
      </c>
      <c r="E491" s="1">
        <v>1000</v>
      </c>
      <c r="F491" s="1">
        <v>1</v>
      </c>
      <c r="G491" s="1">
        <v>3</v>
      </c>
      <c r="H491" s="1" t="s">
        <v>14</v>
      </c>
      <c r="I491" s="1">
        <v>288322.90000000002</v>
      </c>
      <c r="J491" s="1">
        <v>112088.6</v>
      </c>
      <c r="K491" s="1">
        <v>176234.3</v>
      </c>
      <c r="L491" s="1">
        <v>2400</v>
      </c>
      <c r="M491" s="1">
        <v>600.04</v>
      </c>
      <c r="N491" s="1">
        <v>64021.8</v>
      </c>
      <c r="O491" s="1">
        <v>90410.4</v>
      </c>
      <c r="P491" s="1">
        <v>154432.20000000001</v>
      </c>
      <c r="Q491" s="1">
        <v>38381.699999999997</v>
      </c>
      <c r="R491" s="1">
        <v>13674.2</v>
      </c>
      <c r="S491" s="1">
        <v>52055.9</v>
      </c>
      <c r="T491" s="1">
        <v>28.38</v>
      </c>
      <c r="U491" s="1">
        <v>1.42</v>
      </c>
      <c r="V491" s="1">
        <v>13258.1</v>
      </c>
      <c r="W491" s="1">
        <v>51639.8</v>
      </c>
      <c r="X491" s="1">
        <v>601.46</v>
      </c>
      <c r="Y491" s="1">
        <v>2400</v>
      </c>
      <c r="Z491" s="1">
        <v>206072</v>
      </c>
      <c r="AA491" s="1">
        <v>28.53</v>
      </c>
    </row>
    <row r="492" spans="1:27" x14ac:dyDescent="0.4">
      <c r="A492" s="1" t="s">
        <v>137</v>
      </c>
      <c r="B492" s="1">
        <v>8000</v>
      </c>
      <c r="C492" s="1">
        <v>0.4</v>
      </c>
      <c r="D492" s="1">
        <v>0.5</v>
      </c>
      <c r="E492" s="1">
        <v>1000</v>
      </c>
      <c r="F492" s="1">
        <v>1</v>
      </c>
      <c r="G492" s="1">
        <v>3</v>
      </c>
      <c r="H492" s="1" t="s">
        <v>580</v>
      </c>
      <c r="I492" s="1">
        <v>288322.90000000002</v>
      </c>
      <c r="J492" s="1">
        <v>112088.6</v>
      </c>
      <c r="K492" s="1">
        <v>176234.3</v>
      </c>
      <c r="L492" s="1">
        <v>2400</v>
      </c>
      <c r="M492" s="1">
        <v>600.76</v>
      </c>
      <c r="N492" s="1">
        <v>60406</v>
      </c>
      <c r="O492" s="1">
        <v>87859.199999999997</v>
      </c>
      <c r="P492" s="1">
        <v>148265.20000000001</v>
      </c>
      <c r="Q492" s="1">
        <v>38905.5</v>
      </c>
      <c r="R492" s="1">
        <v>17666.2</v>
      </c>
      <c r="S492" s="1">
        <v>56571.7</v>
      </c>
      <c r="T492" s="1">
        <v>28.96</v>
      </c>
      <c r="U492" s="1">
        <v>5.97</v>
      </c>
      <c r="V492" s="1">
        <v>16637.900000000001</v>
      </c>
      <c r="W492" s="1">
        <v>55543.4</v>
      </c>
      <c r="X492" s="1">
        <v>606.73</v>
      </c>
      <c r="Y492" s="1">
        <v>2193</v>
      </c>
      <c r="Z492" s="1">
        <v>203808.6</v>
      </c>
      <c r="AA492" s="1">
        <v>29.31</v>
      </c>
    </row>
    <row r="493" spans="1:27" x14ac:dyDescent="0.4">
      <c r="A493" s="1" t="s">
        <v>137</v>
      </c>
      <c r="B493" s="1">
        <v>8000</v>
      </c>
      <c r="C493" s="1">
        <v>0.4</v>
      </c>
      <c r="D493" s="1">
        <v>0.5</v>
      </c>
      <c r="E493" s="1">
        <v>1000</v>
      </c>
      <c r="F493" s="1">
        <v>1</v>
      </c>
      <c r="G493" s="1">
        <v>3</v>
      </c>
      <c r="H493" s="1" t="s">
        <v>15</v>
      </c>
      <c r="I493" s="1">
        <v>288322.90000000002</v>
      </c>
      <c r="J493" s="1">
        <v>112088.6</v>
      </c>
      <c r="K493" s="1">
        <v>176234.3</v>
      </c>
      <c r="L493" s="1">
        <v>2400</v>
      </c>
      <c r="M493" s="1">
        <v>600.37</v>
      </c>
      <c r="N493" s="1">
        <v>63653.2</v>
      </c>
      <c r="O493" s="1">
        <v>89904.7</v>
      </c>
      <c r="P493" s="1">
        <v>153557.9</v>
      </c>
      <c r="Q493" s="1">
        <v>42309.7</v>
      </c>
      <c r="R493" s="1">
        <v>10631.3</v>
      </c>
      <c r="S493" s="1">
        <v>52941</v>
      </c>
      <c r="T493" s="1">
        <v>28.38</v>
      </c>
      <c r="U493" s="1">
        <v>0.93</v>
      </c>
      <c r="V493" s="1">
        <v>10321</v>
      </c>
      <c r="W493" s="1">
        <v>52630.7</v>
      </c>
      <c r="X493" s="1">
        <v>601.29999999999995</v>
      </c>
      <c r="Y493" s="1">
        <v>2399</v>
      </c>
      <c r="Z493" s="1">
        <v>206188.6</v>
      </c>
      <c r="AA493" s="1">
        <v>28.49</v>
      </c>
    </row>
    <row r="494" spans="1:27" x14ac:dyDescent="0.4">
      <c r="A494" s="1" t="s">
        <v>138</v>
      </c>
      <c r="B494" s="1">
        <v>8000</v>
      </c>
      <c r="C494" s="1">
        <v>0.4</v>
      </c>
      <c r="D494" s="1">
        <v>0.5</v>
      </c>
      <c r="E494" s="1">
        <v>1000</v>
      </c>
      <c r="F494" s="1">
        <v>1</v>
      </c>
      <c r="G494" s="1">
        <v>4</v>
      </c>
      <c r="H494" s="1" t="s">
        <v>592</v>
      </c>
      <c r="I494" s="1">
        <v>273858.09999999998</v>
      </c>
      <c r="J494" s="1">
        <v>109017.3</v>
      </c>
      <c r="K494" s="1">
        <v>164840.79999999999</v>
      </c>
      <c r="L494" s="1">
        <v>2400</v>
      </c>
      <c r="M494" s="1">
        <v>601.89</v>
      </c>
      <c r="N494" s="1">
        <v>61460.9</v>
      </c>
      <c r="O494" s="1">
        <v>86648.9</v>
      </c>
      <c r="P494" s="1">
        <v>148109.79999999999</v>
      </c>
      <c r="Q494" s="1">
        <v>39292.5</v>
      </c>
      <c r="R494" s="1">
        <v>10499.6</v>
      </c>
      <c r="S494" s="1">
        <v>49792.1</v>
      </c>
      <c r="T494" s="1">
        <v>27.74</v>
      </c>
      <c r="U494" s="1">
        <v>1.63</v>
      </c>
      <c r="V494" s="1">
        <v>10468.6</v>
      </c>
      <c r="W494" s="1">
        <v>49761.1</v>
      </c>
      <c r="X494" s="1">
        <v>603.52</v>
      </c>
      <c r="Y494" s="1">
        <v>2094</v>
      </c>
      <c r="Z494" s="1">
        <v>197870.9</v>
      </c>
      <c r="AA494" s="1">
        <v>27.75</v>
      </c>
    </row>
    <row r="495" spans="1:27" x14ac:dyDescent="0.4">
      <c r="A495" s="1" t="s">
        <v>138</v>
      </c>
      <c r="B495" s="1">
        <v>8000</v>
      </c>
      <c r="C495" s="1">
        <v>0.4</v>
      </c>
      <c r="D495" s="1">
        <v>0.5</v>
      </c>
      <c r="E495" s="1">
        <v>1000</v>
      </c>
      <c r="F495" s="1">
        <v>1</v>
      </c>
      <c r="G495" s="1">
        <v>4</v>
      </c>
      <c r="H495" s="1" t="s">
        <v>14</v>
      </c>
      <c r="I495" s="1">
        <v>273858.09999999998</v>
      </c>
      <c r="J495" s="1">
        <v>109017.3</v>
      </c>
      <c r="K495" s="1">
        <v>164840.79999999999</v>
      </c>
      <c r="L495" s="1">
        <v>2400</v>
      </c>
      <c r="M495" s="1">
        <v>600</v>
      </c>
      <c r="N495" s="1">
        <v>66004.7</v>
      </c>
      <c r="O495" s="1">
        <v>91066.9</v>
      </c>
      <c r="P495" s="1">
        <v>157071.6</v>
      </c>
      <c r="Q495" s="1">
        <v>33860.400000000001</v>
      </c>
      <c r="R495" s="1">
        <v>12230.7</v>
      </c>
      <c r="S495" s="1">
        <v>46091.1</v>
      </c>
      <c r="T495" s="1">
        <v>25.81</v>
      </c>
      <c r="U495" s="1">
        <v>1.29</v>
      </c>
      <c r="V495" s="1">
        <v>11880.5</v>
      </c>
      <c r="W495" s="1">
        <v>45740.9</v>
      </c>
      <c r="X495" s="1">
        <v>601.29</v>
      </c>
      <c r="Y495" s="1">
        <v>2136</v>
      </c>
      <c r="Z495" s="1">
        <v>202812.5</v>
      </c>
      <c r="AA495" s="1">
        <v>25.94</v>
      </c>
    </row>
    <row r="496" spans="1:27" x14ac:dyDescent="0.4">
      <c r="A496" s="1" t="s">
        <v>138</v>
      </c>
      <c r="B496" s="1">
        <v>8000</v>
      </c>
      <c r="C496" s="1">
        <v>0.4</v>
      </c>
      <c r="D496" s="1">
        <v>0.5</v>
      </c>
      <c r="E496" s="1">
        <v>1000</v>
      </c>
      <c r="F496" s="1">
        <v>1</v>
      </c>
      <c r="G496" s="1">
        <v>4</v>
      </c>
      <c r="H496" s="1" t="s">
        <v>580</v>
      </c>
      <c r="I496" s="1">
        <v>273858.09999999998</v>
      </c>
      <c r="J496" s="1">
        <v>109017.3</v>
      </c>
      <c r="K496" s="1">
        <v>164840.79999999999</v>
      </c>
      <c r="L496" s="1">
        <v>2400</v>
      </c>
      <c r="M496" s="1">
        <v>600.01</v>
      </c>
      <c r="N496" s="1">
        <v>61095</v>
      </c>
      <c r="O496" s="1">
        <v>86533.5</v>
      </c>
      <c r="P496" s="1">
        <v>147628.5</v>
      </c>
      <c r="Q496" s="1">
        <v>36640.699999999997</v>
      </c>
      <c r="R496" s="1">
        <v>17066.900000000001</v>
      </c>
      <c r="S496" s="1">
        <v>53707.6</v>
      </c>
      <c r="T496" s="1">
        <v>26.48</v>
      </c>
      <c r="U496" s="1">
        <v>5.92</v>
      </c>
      <c r="V496" s="1">
        <v>16117.5</v>
      </c>
      <c r="W496" s="1">
        <v>52758.2</v>
      </c>
      <c r="X496" s="1">
        <v>605.94000000000005</v>
      </c>
      <c r="Y496" s="1">
        <v>2114</v>
      </c>
      <c r="Z496" s="1">
        <v>200386.7</v>
      </c>
      <c r="AA496" s="1">
        <v>26.83</v>
      </c>
    </row>
    <row r="497" spans="1:27" x14ac:dyDescent="0.4">
      <c r="A497" s="1" t="s">
        <v>138</v>
      </c>
      <c r="B497" s="1">
        <v>8000</v>
      </c>
      <c r="C497" s="1">
        <v>0.4</v>
      </c>
      <c r="D497" s="1">
        <v>0.5</v>
      </c>
      <c r="E497" s="1">
        <v>1000</v>
      </c>
      <c r="F497" s="1">
        <v>1</v>
      </c>
      <c r="G497" s="1">
        <v>4</v>
      </c>
      <c r="H497" s="1" t="s">
        <v>15</v>
      </c>
      <c r="I497" s="1">
        <v>273858.09999999998</v>
      </c>
      <c r="J497" s="1">
        <v>109017.3</v>
      </c>
      <c r="K497" s="1">
        <v>164840.79999999999</v>
      </c>
      <c r="L497" s="1">
        <v>2400</v>
      </c>
      <c r="M497" s="1">
        <v>600.1</v>
      </c>
      <c r="N497" s="1">
        <v>62076.2</v>
      </c>
      <c r="O497" s="1">
        <v>86072.2</v>
      </c>
      <c r="P497" s="1">
        <v>148148.4</v>
      </c>
      <c r="Q497" s="1">
        <v>43195</v>
      </c>
      <c r="R497" s="1">
        <v>9773.2999999999993</v>
      </c>
      <c r="S497" s="1">
        <v>52968.3</v>
      </c>
      <c r="T497" s="1">
        <v>26.56</v>
      </c>
      <c r="U497" s="1">
        <v>0.73</v>
      </c>
      <c r="V497" s="1">
        <v>9535</v>
      </c>
      <c r="W497" s="1">
        <v>52730</v>
      </c>
      <c r="X497" s="1">
        <v>600.83000000000004</v>
      </c>
      <c r="Y497" s="1">
        <v>2368</v>
      </c>
      <c r="Z497" s="1">
        <v>200878.4</v>
      </c>
      <c r="AA497" s="1">
        <v>26.65</v>
      </c>
    </row>
    <row r="498" spans="1:27" x14ac:dyDescent="0.4">
      <c r="A498" s="1" t="s">
        <v>139</v>
      </c>
      <c r="B498" s="1">
        <v>8000</v>
      </c>
      <c r="C498" s="1">
        <v>0.4</v>
      </c>
      <c r="D498" s="1">
        <v>0.5</v>
      </c>
      <c r="E498" s="1">
        <v>1000</v>
      </c>
      <c r="F498" s="1">
        <v>1</v>
      </c>
      <c r="G498" s="1">
        <v>5</v>
      </c>
      <c r="H498" s="1" t="s">
        <v>592</v>
      </c>
      <c r="I498" s="1">
        <v>283949.09999999998</v>
      </c>
      <c r="J498" s="1">
        <v>113617.60000000001</v>
      </c>
      <c r="K498" s="1">
        <v>170331.5</v>
      </c>
      <c r="L498" s="1">
        <v>2400</v>
      </c>
      <c r="M498" s="1">
        <v>602.70000000000005</v>
      </c>
      <c r="N498" s="1">
        <v>64372</v>
      </c>
      <c r="O498" s="1">
        <v>90275</v>
      </c>
      <c r="P498" s="1">
        <v>154647</v>
      </c>
      <c r="Q498" s="1">
        <v>38230.1</v>
      </c>
      <c r="R498" s="1">
        <v>10795.7</v>
      </c>
      <c r="S498" s="1">
        <v>49025.8</v>
      </c>
      <c r="T498" s="1">
        <v>28.27</v>
      </c>
      <c r="U498" s="1">
        <v>1.53</v>
      </c>
      <c r="V498" s="1">
        <v>10766.5</v>
      </c>
      <c r="W498" s="1">
        <v>48996.6</v>
      </c>
      <c r="X498" s="1">
        <v>604.23</v>
      </c>
      <c r="Y498" s="1">
        <v>2076</v>
      </c>
      <c r="Z498" s="1">
        <v>203643.6</v>
      </c>
      <c r="AA498" s="1">
        <v>28.28</v>
      </c>
    </row>
    <row r="499" spans="1:27" x14ac:dyDescent="0.4">
      <c r="A499" s="1" t="s">
        <v>139</v>
      </c>
      <c r="B499" s="1">
        <v>8000</v>
      </c>
      <c r="C499" s="1">
        <v>0.4</v>
      </c>
      <c r="D499" s="1">
        <v>0.5</v>
      </c>
      <c r="E499" s="1">
        <v>1000</v>
      </c>
      <c r="F499" s="1">
        <v>1</v>
      </c>
      <c r="G499" s="1">
        <v>5</v>
      </c>
      <c r="H499" s="1" t="s">
        <v>14</v>
      </c>
      <c r="I499" s="1">
        <v>283949.09999999998</v>
      </c>
      <c r="J499" s="1">
        <v>113617.60000000001</v>
      </c>
      <c r="K499" s="1">
        <v>170331.5</v>
      </c>
      <c r="L499" s="1">
        <v>2400</v>
      </c>
      <c r="M499" s="1">
        <v>600</v>
      </c>
      <c r="N499" s="1">
        <v>67747.7</v>
      </c>
      <c r="O499" s="1">
        <v>92472.9</v>
      </c>
      <c r="P499" s="1">
        <v>160220.6</v>
      </c>
      <c r="Q499" s="1">
        <v>35769.1</v>
      </c>
      <c r="R499" s="1">
        <v>12281.4</v>
      </c>
      <c r="S499" s="1">
        <v>48050.5</v>
      </c>
      <c r="T499" s="1">
        <v>26.65</v>
      </c>
      <c r="U499" s="1">
        <v>1.3</v>
      </c>
      <c r="V499" s="1">
        <v>11862.9</v>
      </c>
      <c r="W499" s="1">
        <v>47632</v>
      </c>
      <c r="X499" s="1">
        <v>601.29999999999995</v>
      </c>
      <c r="Y499" s="1">
        <v>2324</v>
      </c>
      <c r="Z499" s="1">
        <v>207852.6</v>
      </c>
      <c r="AA499" s="1">
        <v>26.8</v>
      </c>
    </row>
    <row r="500" spans="1:27" x14ac:dyDescent="0.4">
      <c r="A500" s="1" t="s">
        <v>139</v>
      </c>
      <c r="B500" s="1">
        <v>8000</v>
      </c>
      <c r="C500" s="1">
        <v>0.4</v>
      </c>
      <c r="D500" s="1">
        <v>0.5</v>
      </c>
      <c r="E500" s="1">
        <v>1000</v>
      </c>
      <c r="F500" s="1">
        <v>1</v>
      </c>
      <c r="G500" s="1">
        <v>5</v>
      </c>
      <c r="H500" s="1" t="s">
        <v>580</v>
      </c>
      <c r="I500" s="1">
        <v>283949.09999999998</v>
      </c>
      <c r="J500" s="1">
        <v>113617.60000000001</v>
      </c>
      <c r="K500" s="1">
        <v>170331.5</v>
      </c>
      <c r="L500" s="1">
        <v>2400</v>
      </c>
      <c r="M500" s="1">
        <v>600.14</v>
      </c>
      <c r="N500" s="1">
        <v>64511.3</v>
      </c>
      <c r="O500" s="1">
        <v>88602.1</v>
      </c>
      <c r="P500" s="1">
        <v>153113.4</v>
      </c>
      <c r="Q500" s="1">
        <v>36128.400000000001</v>
      </c>
      <c r="R500" s="1">
        <v>16357.7</v>
      </c>
      <c r="S500" s="1">
        <v>52486.1</v>
      </c>
      <c r="T500" s="1">
        <v>27.59</v>
      </c>
      <c r="U500" s="1">
        <v>6.99</v>
      </c>
      <c r="V500" s="1">
        <v>15353.7</v>
      </c>
      <c r="W500" s="1">
        <v>51482.1</v>
      </c>
      <c r="X500" s="1">
        <v>607.13</v>
      </c>
      <c r="Y500" s="1">
        <v>2097</v>
      </c>
      <c r="Z500" s="1">
        <v>204595.5</v>
      </c>
      <c r="AA500" s="1">
        <v>27.95</v>
      </c>
    </row>
    <row r="501" spans="1:27" x14ac:dyDescent="0.4">
      <c r="A501" s="1" t="s">
        <v>139</v>
      </c>
      <c r="B501" s="1">
        <v>8000</v>
      </c>
      <c r="C501" s="1">
        <v>0.4</v>
      </c>
      <c r="D501" s="1">
        <v>0.5</v>
      </c>
      <c r="E501" s="1">
        <v>1000</v>
      </c>
      <c r="F501" s="1">
        <v>1</v>
      </c>
      <c r="G501" s="1">
        <v>5</v>
      </c>
      <c r="H501" s="1" t="s">
        <v>15</v>
      </c>
      <c r="I501" s="1">
        <v>283949.09999999998</v>
      </c>
      <c r="J501" s="1">
        <v>113617.60000000001</v>
      </c>
      <c r="K501" s="1">
        <v>170331.5</v>
      </c>
      <c r="L501" s="1">
        <v>2400</v>
      </c>
      <c r="M501" s="1">
        <v>600.53</v>
      </c>
      <c r="N501" s="1">
        <v>65796.2</v>
      </c>
      <c r="O501" s="1">
        <v>90961.600000000006</v>
      </c>
      <c r="P501" s="1">
        <v>156757.79999999999</v>
      </c>
      <c r="Q501" s="1">
        <v>40168.5</v>
      </c>
      <c r="R501" s="1">
        <v>9571.6</v>
      </c>
      <c r="S501" s="1">
        <v>49740.1</v>
      </c>
      <c r="T501" s="1">
        <v>27.28</v>
      </c>
      <c r="U501" s="1">
        <v>0.79</v>
      </c>
      <c r="V501" s="1">
        <v>9314.7999999999993</v>
      </c>
      <c r="W501" s="1">
        <v>49483.3</v>
      </c>
      <c r="X501" s="1">
        <v>601.32000000000005</v>
      </c>
      <c r="Y501" s="1">
        <v>2399</v>
      </c>
      <c r="Z501" s="1">
        <v>206241.1</v>
      </c>
      <c r="AA501" s="1">
        <v>27.37</v>
      </c>
    </row>
    <row r="502" spans="1:27" x14ac:dyDescent="0.4">
      <c r="A502" s="1" t="s">
        <v>140</v>
      </c>
      <c r="B502" s="1">
        <v>8000</v>
      </c>
      <c r="C502" s="1">
        <v>0.4</v>
      </c>
      <c r="D502" s="1">
        <v>0.5</v>
      </c>
      <c r="E502" s="1">
        <v>1000</v>
      </c>
      <c r="F502" s="1">
        <v>2</v>
      </c>
      <c r="G502" s="1">
        <v>1</v>
      </c>
      <c r="H502" s="1" t="s">
        <v>592</v>
      </c>
      <c r="I502" s="1">
        <v>435805.3</v>
      </c>
      <c r="J502" s="1">
        <v>168093.4</v>
      </c>
      <c r="K502" s="1">
        <v>267711.90000000002</v>
      </c>
      <c r="L502" s="1">
        <v>2400</v>
      </c>
      <c r="M502" s="1">
        <v>604.46</v>
      </c>
      <c r="N502" s="1">
        <v>90238.3</v>
      </c>
      <c r="O502" s="1">
        <v>132292.9</v>
      </c>
      <c r="P502" s="1">
        <v>222531.20000000001</v>
      </c>
      <c r="Q502" s="1">
        <v>44177.2</v>
      </c>
      <c r="R502" s="1">
        <v>13971.5</v>
      </c>
      <c r="S502" s="1">
        <v>58148.7</v>
      </c>
      <c r="T502" s="1">
        <v>35.6</v>
      </c>
      <c r="U502" s="1">
        <v>2.63</v>
      </c>
      <c r="V502" s="1">
        <v>13935.5</v>
      </c>
      <c r="W502" s="1">
        <v>58112.7</v>
      </c>
      <c r="X502" s="1">
        <v>607.09</v>
      </c>
      <c r="Y502" s="1">
        <v>2400</v>
      </c>
      <c r="Z502" s="1">
        <v>280643.90000000002</v>
      </c>
      <c r="AA502" s="1">
        <v>35.6</v>
      </c>
    </row>
    <row r="503" spans="1:27" x14ac:dyDescent="0.4">
      <c r="A503" s="1" t="s">
        <v>140</v>
      </c>
      <c r="B503" s="1">
        <v>8000</v>
      </c>
      <c r="C503" s="1">
        <v>0.4</v>
      </c>
      <c r="D503" s="1">
        <v>0.5</v>
      </c>
      <c r="E503" s="1">
        <v>1000</v>
      </c>
      <c r="F503" s="1">
        <v>2</v>
      </c>
      <c r="G503" s="1">
        <v>1</v>
      </c>
      <c r="H503" s="1" t="s">
        <v>14</v>
      </c>
      <c r="I503" s="1">
        <v>435805.3</v>
      </c>
      <c r="J503" s="1">
        <v>168093.4</v>
      </c>
      <c r="K503" s="1">
        <v>267711.90000000002</v>
      </c>
      <c r="L503" s="1">
        <v>2400</v>
      </c>
      <c r="M503" s="1">
        <v>600.03</v>
      </c>
      <c r="N503" s="1">
        <v>88618.9</v>
      </c>
      <c r="O503" s="1">
        <v>125812.5</v>
      </c>
      <c r="P503" s="1">
        <v>214431.4</v>
      </c>
      <c r="Q503" s="1">
        <v>45803.5</v>
      </c>
      <c r="R503" s="1">
        <v>19489</v>
      </c>
      <c r="S503" s="1">
        <v>65292.5</v>
      </c>
      <c r="T503" s="1">
        <v>35.81</v>
      </c>
      <c r="U503" s="1">
        <v>2.09</v>
      </c>
      <c r="V503" s="1">
        <v>18331</v>
      </c>
      <c r="W503" s="1">
        <v>64134.5</v>
      </c>
      <c r="X503" s="1">
        <v>602.12</v>
      </c>
      <c r="Y503" s="1">
        <v>2400</v>
      </c>
      <c r="Z503" s="1">
        <v>278565.90000000002</v>
      </c>
      <c r="AA503" s="1">
        <v>36.08</v>
      </c>
    </row>
    <row r="504" spans="1:27" x14ac:dyDescent="0.4">
      <c r="A504" s="1" t="s">
        <v>140</v>
      </c>
      <c r="B504" s="1">
        <v>8000</v>
      </c>
      <c r="C504" s="1">
        <v>0.4</v>
      </c>
      <c r="D504" s="1">
        <v>0.5</v>
      </c>
      <c r="E504" s="1">
        <v>1000</v>
      </c>
      <c r="F504" s="1">
        <v>2</v>
      </c>
      <c r="G504" s="1">
        <v>1</v>
      </c>
      <c r="H504" s="1" t="s">
        <v>580</v>
      </c>
      <c r="I504" s="1">
        <v>435805.3</v>
      </c>
      <c r="J504" s="1">
        <v>168093.4</v>
      </c>
      <c r="K504" s="1">
        <v>267711.90000000002</v>
      </c>
      <c r="L504" s="1">
        <v>2400</v>
      </c>
      <c r="M504" s="1">
        <v>600.70000000000005</v>
      </c>
      <c r="N504" s="1">
        <v>89565.5</v>
      </c>
      <c r="O504" s="1">
        <v>129813.6</v>
      </c>
      <c r="P504" s="1">
        <v>219379.1</v>
      </c>
      <c r="Q504" s="1">
        <v>41157.4</v>
      </c>
      <c r="R504" s="1">
        <v>22727.200000000001</v>
      </c>
      <c r="S504" s="1">
        <v>63884.6</v>
      </c>
      <c r="T504" s="1">
        <v>35</v>
      </c>
      <c r="U504" s="1">
        <v>6.88</v>
      </c>
      <c r="V504" s="1">
        <v>20774.5</v>
      </c>
      <c r="W504" s="1">
        <v>61931.9</v>
      </c>
      <c r="X504" s="1">
        <v>607.57000000000005</v>
      </c>
      <c r="Y504" s="1">
        <v>2400</v>
      </c>
      <c r="Z504" s="1">
        <v>281311</v>
      </c>
      <c r="AA504" s="1">
        <v>35.450000000000003</v>
      </c>
    </row>
    <row r="505" spans="1:27" x14ac:dyDescent="0.4">
      <c r="A505" s="1" t="s">
        <v>140</v>
      </c>
      <c r="B505" s="1">
        <v>8000</v>
      </c>
      <c r="C505" s="1">
        <v>0.4</v>
      </c>
      <c r="D505" s="1">
        <v>0.5</v>
      </c>
      <c r="E505" s="1">
        <v>1000</v>
      </c>
      <c r="F505" s="1">
        <v>2</v>
      </c>
      <c r="G505" s="1">
        <v>1</v>
      </c>
      <c r="H505" s="1" t="s">
        <v>15</v>
      </c>
      <c r="I505" s="1">
        <v>435805.3</v>
      </c>
      <c r="J505" s="1">
        <v>168093.4</v>
      </c>
      <c r="K505" s="1">
        <v>267711.90000000002</v>
      </c>
      <c r="L505" s="1">
        <v>2400</v>
      </c>
      <c r="M505" s="1">
        <v>600.92999999999995</v>
      </c>
      <c r="N505" s="1">
        <v>87863.6</v>
      </c>
      <c r="O505" s="1">
        <v>124560.9</v>
      </c>
      <c r="P505" s="1">
        <v>212424.5</v>
      </c>
      <c r="Q505" s="1">
        <v>48594.6</v>
      </c>
      <c r="R505" s="1">
        <v>16244.6</v>
      </c>
      <c r="S505" s="1">
        <v>64839.199999999997</v>
      </c>
      <c r="T505" s="1">
        <v>36.380000000000003</v>
      </c>
      <c r="U505" s="1">
        <v>1.17</v>
      </c>
      <c r="V505" s="1">
        <v>15196.1</v>
      </c>
      <c r="W505" s="1">
        <v>63790.7</v>
      </c>
      <c r="X505" s="1">
        <v>602.1</v>
      </c>
      <c r="Y505" s="1">
        <v>2394</v>
      </c>
      <c r="Z505" s="1">
        <v>276215.2</v>
      </c>
      <c r="AA505" s="1">
        <v>36.619999999999997</v>
      </c>
    </row>
    <row r="506" spans="1:27" x14ac:dyDescent="0.4">
      <c r="A506" s="1" t="s">
        <v>141</v>
      </c>
      <c r="B506" s="1">
        <v>8000</v>
      </c>
      <c r="C506" s="1">
        <v>0.4</v>
      </c>
      <c r="D506" s="1">
        <v>0.5</v>
      </c>
      <c r="E506" s="1">
        <v>1000</v>
      </c>
      <c r="F506" s="1">
        <v>2</v>
      </c>
      <c r="G506" s="1">
        <v>2</v>
      </c>
      <c r="H506" s="1" t="s">
        <v>592</v>
      </c>
      <c r="I506" s="1">
        <v>442496.5</v>
      </c>
      <c r="J506" s="1">
        <v>166733.79999999999</v>
      </c>
      <c r="K506" s="1">
        <v>275762.7</v>
      </c>
      <c r="L506" s="1">
        <v>2400</v>
      </c>
      <c r="M506" s="1">
        <v>600.07000000000005</v>
      </c>
      <c r="N506" s="1">
        <v>89421.6</v>
      </c>
      <c r="O506" s="1">
        <v>134964.5</v>
      </c>
      <c r="P506" s="1">
        <v>224386.1</v>
      </c>
      <c r="Q506" s="1">
        <v>45513.5</v>
      </c>
      <c r="R506" s="1">
        <v>14469.8</v>
      </c>
      <c r="S506" s="1">
        <v>59983.3</v>
      </c>
      <c r="T506" s="1">
        <v>35.74</v>
      </c>
      <c r="U506" s="1">
        <v>2.44</v>
      </c>
      <c r="V506" s="1">
        <v>14424</v>
      </c>
      <c r="W506" s="1">
        <v>59937.5</v>
      </c>
      <c r="X506" s="1">
        <v>602.51</v>
      </c>
      <c r="Y506" s="1">
        <v>2355</v>
      </c>
      <c r="Z506" s="1">
        <v>284323.59999999998</v>
      </c>
      <c r="AA506" s="1">
        <v>35.75</v>
      </c>
    </row>
    <row r="507" spans="1:27" x14ac:dyDescent="0.4">
      <c r="A507" s="1" t="s">
        <v>141</v>
      </c>
      <c r="B507" s="1">
        <v>8000</v>
      </c>
      <c r="C507" s="1">
        <v>0.4</v>
      </c>
      <c r="D507" s="1">
        <v>0.5</v>
      </c>
      <c r="E507" s="1">
        <v>1000</v>
      </c>
      <c r="F507" s="1">
        <v>2</v>
      </c>
      <c r="G507" s="1">
        <v>2</v>
      </c>
      <c r="H507" s="1" t="s">
        <v>14</v>
      </c>
      <c r="I507" s="1">
        <v>442496.5</v>
      </c>
      <c r="J507" s="1">
        <v>166733.79999999999</v>
      </c>
      <c r="K507" s="1">
        <v>275762.7</v>
      </c>
      <c r="L507" s="1">
        <v>2400</v>
      </c>
      <c r="M507" s="1">
        <v>600.03</v>
      </c>
      <c r="N507" s="1">
        <v>88827.3</v>
      </c>
      <c r="O507" s="1">
        <v>128692.1</v>
      </c>
      <c r="P507" s="1">
        <v>217519.4</v>
      </c>
      <c r="Q507" s="1">
        <v>46931.8</v>
      </c>
      <c r="R507" s="1">
        <v>18806.400000000001</v>
      </c>
      <c r="S507" s="1">
        <v>65738.2</v>
      </c>
      <c r="T507" s="1">
        <v>35.99</v>
      </c>
      <c r="U507" s="1">
        <v>1.69</v>
      </c>
      <c r="V507" s="1">
        <v>17627.400000000001</v>
      </c>
      <c r="W507" s="1">
        <v>64559.199999999997</v>
      </c>
      <c r="X507" s="1">
        <v>601.72</v>
      </c>
      <c r="Y507" s="1">
        <v>2400</v>
      </c>
      <c r="Z507" s="1">
        <v>282078.59999999998</v>
      </c>
      <c r="AA507" s="1">
        <v>36.25</v>
      </c>
    </row>
    <row r="508" spans="1:27" x14ac:dyDescent="0.4">
      <c r="A508" s="1" t="s">
        <v>141</v>
      </c>
      <c r="B508" s="1">
        <v>8000</v>
      </c>
      <c r="C508" s="1">
        <v>0.4</v>
      </c>
      <c r="D508" s="1">
        <v>0.5</v>
      </c>
      <c r="E508" s="1">
        <v>1000</v>
      </c>
      <c r="F508" s="1">
        <v>2</v>
      </c>
      <c r="G508" s="1">
        <v>2</v>
      </c>
      <c r="H508" s="1" t="s">
        <v>580</v>
      </c>
      <c r="I508" s="1">
        <v>442496.5</v>
      </c>
      <c r="J508" s="1">
        <v>166733.79999999999</v>
      </c>
      <c r="K508" s="1">
        <v>275762.7</v>
      </c>
      <c r="L508" s="1">
        <v>2400</v>
      </c>
      <c r="M508" s="1">
        <v>600.94000000000005</v>
      </c>
      <c r="N508" s="1">
        <v>88705.600000000006</v>
      </c>
      <c r="O508" s="1">
        <v>134132.70000000001</v>
      </c>
      <c r="P508" s="1">
        <v>222838.3</v>
      </c>
      <c r="Q508" s="1">
        <v>42240.3</v>
      </c>
      <c r="R508" s="1">
        <v>23092.400000000001</v>
      </c>
      <c r="S508" s="1">
        <v>65332.7</v>
      </c>
      <c r="T508" s="1">
        <v>34.880000000000003</v>
      </c>
      <c r="U508" s="1">
        <v>8.2100000000000009</v>
      </c>
      <c r="V508" s="1">
        <v>20904.2</v>
      </c>
      <c r="W508" s="1">
        <v>63144.5</v>
      </c>
      <c r="X508" s="1">
        <v>609.14</v>
      </c>
      <c r="Y508" s="1">
        <v>2400</v>
      </c>
      <c r="Z508" s="1">
        <v>285982.8</v>
      </c>
      <c r="AA508" s="1">
        <v>35.369999999999997</v>
      </c>
    </row>
    <row r="509" spans="1:27" x14ac:dyDescent="0.4">
      <c r="A509" s="1" t="s">
        <v>141</v>
      </c>
      <c r="B509" s="1">
        <v>8000</v>
      </c>
      <c r="C509" s="1">
        <v>0.4</v>
      </c>
      <c r="D509" s="1">
        <v>0.5</v>
      </c>
      <c r="E509" s="1">
        <v>1000</v>
      </c>
      <c r="F509" s="1">
        <v>2</v>
      </c>
      <c r="G509" s="1">
        <v>2</v>
      </c>
      <c r="H509" s="1" t="s">
        <v>15</v>
      </c>
      <c r="I509" s="1">
        <v>442496.5</v>
      </c>
      <c r="J509" s="1">
        <v>166733.79999999999</v>
      </c>
      <c r="K509" s="1">
        <v>275762.7</v>
      </c>
      <c r="L509" s="1">
        <v>2400</v>
      </c>
      <c r="M509" s="1">
        <v>600.53</v>
      </c>
      <c r="N509" s="1">
        <v>87722.4</v>
      </c>
      <c r="O509" s="1">
        <v>127919.7</v>
      </c>
      <c r="P509" s="1">
        <v>215642.1</v>
      </c>
      <c r="Q509" s="1">
        <v>48042</v>
      </c>
      <c r="R509" s="1">
        <v>16163.7</v>
      </c>
      <c r="S509" s="1">
        <v>64205.7</v>
      </c>
      <c r="T509" s="1">
        <v>36.76</v>
      </c>
      <c r="U509" s="1">
        <v>1.18</v>
      </c>
      <c r="V509" s="1">
        <v>15374.4</v>
      </c>
      <c r="W509" s="1">
        <v>63416.4</v>
      </c>
      <c r="X509" s="1">
        <v>601.71</v>
      </c>
      <c r="Y509" s="1">
        <v>2393</v>
      </c>
      <c r="Z509" s="1">
        <v>279058.5</v>
      </c>
      <c r="AA509" s="1">
        <v>36.94</v>
      </c>
    </row>
    <row r="510" spans="1:27" x14ac:dyDescent="0.4">
      <c r="A510" s="1" t="s">
        <v>142</v>
      </c>
      <c r="B510" s="1">
        <v>8000</v>
      </c>
      <c r="C510" s="1">
        <v>0.4</v>
      </c>
      <c r="D510" s="1">
        <v>0.5</v>
      </c>
      <c r="E510" s="1">
        <v>1000</v>
      </c>
      <c r="F510" s="1">
        <v>2</v>
      </c>
      <c r="G510" s="1">
        <v>3</v>
      </c>
      <c r="H510" s="1" t="s">
        <v>592</v>
      </c>
      <c r="I510" s="1">
        <v>452037.4</v>
      </c>
      <c r="J510" s="1">
        <v>182112.7</v>
      </c>
      <c r="K510" s="1">
        <v>269924.7</v>
      </c>
      <c r="L510" s="1">
        <v>2400</v>
      </c>
      <c r="M510" s="1">
        <v>600.16</v>
      </c>
      <c r="N510" s="1">
        <v>96501.9</v>
      </c>
      <c r="O510" s="1">
        <v>130726.6</v>
      </c>
      <c r="P510" s="1">
        <v>227228.5</v>
      </c>
      <c r="Q510" s="1">
        <v>44676.6</v>
      </c>
      <c r="R510" s="1">
        <v>14409.3</v>
      </c>
      <c r="S510" s="1">
        <v>59085.9</v>
      </c>
      <c r="T510" s="1">
        <v>36.659999999999997</v>
      </c>
      <c r="U510" s="1">
        <v>2.41</v>
      </c>
      <c r="V510" s="1">
        <v>14367.3</v>
      </c>
      <c r="W510" s="1">
        <v>59043.9</v>
      </c>
      <c r="X510" s="1">
        <v>602.57000000000005</v>
      </c>
      <c r="Y510" s="1">
        <v>2311</v>
      </c>
      <c r="Z510" s="1">
        <v>286272.40000000002</v>
      </c>
      <c r="AA510" s="1">
        <v>36.67</v>
      </c>
    </row>
    <row r="511" spans="1:27" x14ac:dyDescent="0.4">
      <c r="A511" s="1" t="s">
        <v>142</v>
      </c>
      <c r="B511" s="1">
        <v>8000</v>
      </c>
      <c r="C511" s="1">
        <v>0.4</v>
      </c>
      <c r="D511" s="1">
        <v>0.5</v>
      </c>
      <c r="E511" s="1">
        <v>1000</v>
      </c>
      <c r="F511" s="1">
        <v>2</v>
      </c>
      <c r="G511" s="1">
        <v>3</v>
      </c>
      <c r="H511" s="1" t="s">
        <v>14</v>
      </c>
      <c r="I511" s="1">
        <v>452037.4</v>
      </c>
      <c r="J511" s="1">
        <v>182112.7</v>
      </c>
      <c r="K511" s="1">
        <v>269924.7</v>
      </c>
      <c r="L511" s="1">
        <v>2400</v>
      </c>
      <c r="M511" s="1">
        <v>600.01</v>
      </c>
      <c r="N511" s="1">
        <v>93593.7</v>
      </c>
      <c r="O511" s="1">
        <v>123423.4</v>
      </c>
      <c r="P511" s="1">
        <v>217017.1</v>
      </c>
      <c r="Q511" s="1">
        <v>46743.8</v>
      </c>
      <c r="R511" s="1">
        <v>20016.3</v>
      </c>
      <c r="S511" s="1">
        <v>66760.100000000006</v>
      </c>
      <c r="T511" s="1">
        <v>37.22</v>
      </c>
      <c r="U511" s="1">
        <v>1.96</v>
      </c>
      <c r="V511" s="1">
        <v>18850.599999999999</v>
      </c>
      <c r="W511" s="1">
        <v>65594.399999999994</v>
      </c>
      <c r="X511" s="1">
        <v>601.97</v>
      </c>
      <c r="Y511" s="1">
        <v>2400</v>
      </c>
      <c r="Z511" s="1">
        <v>282611.5</v>
      </c>
      <c r="AA511" s="1">
        <v>37.479999999999997</v>
      </c>
    </row>
    <row r="512" spans="1:27" x14ac:dyDescent="0.4">
      <c r="A512" s="1" t="s">
        <v>142</v>
      </c>
      <c r="B512" s="1">
        <v>8000</v>
      </c>
      <c r="C512" s="1">
        <v>0.4</v>
      </c>
      <c r="D512" s="1">
        <v>0.5</v>
      </c>
      <c r="E512" s="1">
        <v>1000</v>
      </c>
      <c r="F512" s="1">
        <v>2</v>
      </c>
      <c r="G512" s="1">
        <v>3</v>
      </c>
      <c r="H512" s="1" t="s">
        <v>580</v>
      </c>
      <c r="I512" s="1">
        <v>452037.4</v>
      </c>
      <c r="J512" s="1">
        <v>182112.7</v>
      </c>
      <c r="K512" s="1">
        <v>269924.7</v>
      </c>
      <c r="L512" s="1">
        <v>2400</v>
      </c>
      <c r="M512" s="1">
        <v>600.6</v>
      </c>
      <c r="N512" s="1">
        <v>95903.7</v>
      </c>
      <c r="O512" s="1">
        <v>127621.7</v>
      </c>
      <c r="P512" s="1">
        <v>223525.4</v>
      </c>
      <c r="Q512" s="1">
        <v>42147.9</v>
      </c>
      <c r="R512" s="1">
        <v>23442.7</v>
      </c>
      <c r="S512" s="1">
        <v>65590.600000000006</v>
      </c>
      <c r="T512" s="1">
        <v>36.04</v>
      </c>
      <c r="U512" s="1">
        <v>7.09</v>
      </c>
      <c r="V512" s="1">
        <v>21668</v>
      </c>
      <c r="W512" s="1">
        <v>63815.9</v>
      </c>
      <c r="X512" s="1">
        <v>607.69000000000005</v>
      </c>
      <c r="Y512" s="1">
        <v>2400</v>
      </c>
      <c r="Z512" s="1">
        <v>287341.3</v>
      </c>
      <c r="AA512" s="1">
        <v>36.43</v>
      </c>
    </row>
    <row r="513" spans="1:27" x14ac:dyDescent="0.4">
      <c r="A513" s="1" t="s">
        <v>142</v>
      </c>
      <c r="B513" s="1">
        <v>8000</v>
      </c>
      <c r="C513" s="1">
        <v>0.4</v>
      </c>
      <c r="D513" s="1">
        <v>0.5</v>
      </c>
      <c r="E513" s="1">
        <v>1000</v>
      </c>
      <c r="F513" s="1">
        <v>2</v>
      </c>
      <c r="G513" s="1">
        <v>3</v>
      </c>
      <c r="H513" s="1" t="s">
        <v>15</v>
      </c>
      <c r="I513" s="1">
        <v>452037.4</v>
      </c>
      <c r="J513" s="1">
        <v>182112.7</v>
      </c>
      <c r="K513" s="1">
        <v>269924.7</v>
      </c>
      <c r="L513" s="1">
        <v>2400</v>
      </c>
      <c r="M513" s="1">
        <v>600.9</v>
      </c>
      <c r="N513" s="1">
        <v>91930</v>
      </c>
      <c r="O513" s="1">
        <v>123681.2</v>
      </c>
      <c r="P513" s="1">
        <v>215611.2</v>
      </c>
      <c r="Q513" s="1">
        <v>50117.4</v>
      </c>
      <c r="R513" s="1">
        <v>16869.7</v>
      </c>
      <c r="S513" s="1">
        <v>66987.100000000006</v>
      </c>
      <c r="T513" s="1">
        <v>37.479999999999997</v>
      </c>
      <c r="U513" s="1">
        <v>1.18</v>
      </c>
      <c r="V513" s="1">
        <v>15831.4</v>
      </c>
      <c r="W513" s="1">
        <v>65948.800000000003</v>
      </c>
      <c r="X513" s="1">
        <v>602.08000000000004</v>
      </c>
      <c r="Y513" s="1">
        <v>2398</v>
      </c>
      <c r="Z513" s="1">
        <v>281560</v>
      </c>
      <c r="AA513" s="1">
        <v>37.71</v>
      </c>
    </row>
    <row r="514" spans="1:27" x14ac:dyDescent="0.4">
      <c r="A514" s="1" t="s">
        <v>143</v>
      </c>
      <c r="B514" s="1">
        <v>8000</v>
      </c>
      <c r="C514" s="1">
        <v>0.4</v>
      </c>
      <c r="D514" s="1">
        <v>0.5</v>
      </c>
      <c r="E514" s="1">
        <v>1000</v>
      </c>
      <c r="F514" s="1">
        <v>2</v>
      </c>
      <c r="G514" s="1">
        <v>4</v>
      </c>
      <c r="H514" s="1" t="s">
        <v>592</v>
      </c>
      <c r="I514" s="1">
        <v>441614.5</v>
      </c>
      <c r="J514" s="1">
        <v>169950.8</v>
      </c>
      <c r="K514" s="1">
        <v>271663.7</v>
      </c>
      <c r="L514" s="1">
        <v>2400</v>
      </c>
      <c r="M514" s="1">
        <v>604.25</v>
      </c>
      <c r="N514" s="1">
        <v>92604.3</v>
      </c>
      <c r="O514" s="1">
        <v>133187.29999999999</v>
      </c>
      <c r="P514" s="1">
        <v>225791.6</v>
      </c>
      <c r="Q514" s="1">
        <v>43160.5</v>
      </c>
      <c r="R514" s="1">
        <v>14251.2</v>
      </c>
      <c r="S514" s="1">
        <v>57411.7</v>
      </c>
      <c r="T514" s="1">
        <v>35.869999999999997</v>
      </c>
      <c r="U514" s="1">
        <v>2.0699999999999998</v>
      </c>
      <c r="V514" s="1">
        <v>14182</v>
      </c>
      <c r="W514" s="1">
        <v>57342.5</v>
      </c>
      <c r="X514" s="1">
        <v>606.32000000000005</v>
      </c>
      <c r="Y514" s="1">
        <v>2232</v>
      </c>
      <c r="Z514" s="1">
        <v>283134.09999999998</v>
      </c>
      <c r="AA514" s="1">
        <v>35.89</v>
      </c>
    </row>
    <row r="515" spans="1:27" x14ac:dyDescent="0.4">
      <c r="A515" s="1" t="s">
        <v>143</v>
      </c>
      <c r="B515" s="1">
        <v>8000</v>
      </c>
      <c r="C515" s="1">
        <v>0.4</v>
      </c>
      <c r="D515" s="1">
        <v>0.5</v>
      </c>
      <c r="E515" s="1">
        <v>1000</v>
      </c>
      <c r="F515" s="1">
        <v>2</v>
      </c>
      <c r="G515" s="1">
        <v>4</v>
      </c>
      <c r="H515" s="1" t="s">
        <v>14</v>
      </c>
      <c r="I515" s="1">
        <v>441614.5</v>
      </c>
      <c r="J515" s="1">
        <v>169950.8</v>
      </c>
      <c r="K515" s="1">
        <v>271663.7</v>
      </c>
      <c r="L515" s="1">
        <v>2400</v>
      </c>
      <c r="M515" s="1">
        <v>600.02</v>
      </c>
      <c r="N515" s="1">
        <v>89187.1</v>
      </c>
      <c r="O515" s="1">
        <v>126918.5</v>
      </c>
      <c r="P515" s="1">
        <v>216105.60000000001</v>
      </c>
      <c r="Q515" s="1">
        <v>47219.4</v>
      </c>
      <c r="R515" s="1">
        <v>19421.400000000001</v>
      </c>
      <c r="S515" s="1">
        <v>66640.800000000003</v>
      </c>
      <c r="T515" s="1">
        <v>35.97</v>
      </c>
      <c r="U515" s="1">
        <v>1.88</v>
      </c>
      <c r="V515" s="1">
        <v>18249.7</v>
      </c>
      <c r="W515" s="1">
        <v>65469.1</v>
      </c>
      <c r="X515" s="1">
        <v>601.9</v>
      </c>
      <c r="Y515" s="1">
        <v>2400</v>
      </c>
      <c r="Z515" s="1">
        <v>281574.7</v>
      </c>
      <c r="AA515" s="1">
        <v>36.24</v>
      </c>
    </row>
    <row r="516" spans="1:27" x14ac:dyDescent="0.4">
      <c r="A516" s="1" t="s">
        <v>143</v>
      </c>
      <c r="B516" s="1">
        <v>8000</v>
      </c>
      <c r="C516" s="1">
        <v>0.4</v>
      </c>
      <c r="D516" s="1">
        <v>0.5</v>
      </c>
      <c r="E516" s="1">
        <v>1000</v>
      </c>
      <c r="F516" s="1">
        <v>2</v>
      </c>
      <c r="G516" s="1">
        <v>4</v>
      </c>
      <c r="H516" s="1" t="s">
        <v>580</v>
      </c>
      <c r="I516" s="1">
        <v>441614.5</v>
      </c>
      <c r="J516" s="1">
        <v>169950.8</v>
      </c>
      <c r="K516" s="1">
        <v>271663.7</v>
      </c>
      <c r="L516" s="1">
        <v>2400</v>
      </c>
      <c r="M516" s="1">
        <v>600.01</v>
      </c>
      <c r="N516" s="1">
        <v>90790.399999999994</v>
      </c>
      <c r="O516" s="1">
        <v>131874.70000000001</v>
      </c>
      <c r="P516" s="1">
        <v>222665.1</v>
      </c>
      <c r="Q516" s="1">
        <v>41473.199999999997</v>
      </c>
      <c r="R516" s="1">
        <v>23187.3</v>
      </c>
      <c r="S516" s="1">
        <v>64660.5</v>
      </c>
      <c r="T516" s="1">
        <v>34.94</v>
      </c>
      <c r="U516" s="1">
        <v>7.65</v>
      </c>
      <c r="V516" s="1">
        <v>21328</v>
      </c>
      <c r="W516" s="1">
        <v>62801.2</v>
      </c>
      <c r="X516" s="1">
        <v>607.66</v>
      </c>
      <c r="Y516" s="1">
        <v>2400</v>
      </c>
      <c r="Z516" s="1">
        <v>285466.3</v>
      </c>
      <c r="AA516" s="1">
        <v>35.36</v>
      </c>
    </row>
    <row r="517" spans="1:27" x14ac:dyDescent="0.4">
      <c r="A517" s="1" t="s">
        <v>143</v>
      </c>
      <c r="B517" s="1">
        <v>8000</v>
      </c>
      <c r="C517" s="1">
        <v>0.4</v>
      </c>
      <c r="D517" s="1">
        <v>0.5</v>
      </c>
      <c r="E517" s="1">
        <v>1000</v>
      </c>
      <c r="F517" s="1">
        <v>2</v>
      </c>
      <c r="G517" s="1">
        <v>4</v>
      </c>
      <c r="H517" s="1" t="s">
        <v>15</v>
      </c>
      <c r="I517" s="1">
        <v>441614.5</v>
      </c>
      <c r="J517" s="1">
        <v>169950.8</v>
      </c>
      <c r="K517" s="1">
        <v>271663.7</v>
      </c>
      <c r="L517" s="1">
        <v>2400</v>
      </c>
      <c r="M517" s="1">
        <v>600.04</v>
      </c>
      <c r="N517" s="1">
        <v>88206.3</v>
      </c>
      <c r="O517" s="1">
        <v>126225.7</v>
      </c>
      <c r="P517" s="1">
        <v>214432</v>
      </c>
      <c r="Q517" s="1">
        <v>47923.6</v>
      </c>
      <c r="R517" s="1">
        <v>17076.400000000001</v>
      </c>
      <c r="S517" s="1">
        <v>65000</v>
      </c>
      <c r="T517" s="1">
        <v>36.72</v>
      </c>
      <c r="U517" s="1">
        <v>1.56</v>
      </c>
      <c r="V517" s="1">
        <v>16113.4</v>
      </c>
      <c r="W517" s="1">
        <v>64037</v>
      </c>
      <c r="X517" s="1">
        <v>601.6</v>
      </c>
      <c r="Y517" s="1">
        <v>2399</v>
      </c>
      <c r="Z517" s="1">
        <v>278469</v>
      </c>
      <c r="AA517" s="1">
        <v>36.94</v>
      </c>
    </row>
    <row r="518" spans="1:27" x14ac:dyDescent="0.4">
      <c r="A518" s="1" t="s">
        <v>144</v>
      </c>
      <c r="B518" s="1">
        <v>8000</v>
      </c>
      <c r="C518" s="1">
        <v>0.4</v>
      </c>
      <c r="D518" s="1">
        <v>0.5</v>
      </c>
      <c r="E518" s="1">
        <v>1000</v>
      </c>
      <c r="F518" s="1">
        <v>2</v>
      </c>
      <c r="G518" s="1">
        <v>5</v>
      </c>
      <c r="H518" s="1" t="s">
        <v>592</v>
      </c>
      <c r="I518" s="1">
        <v>456297.9</v>
      </c>
      <c r="J518" s="1">
        <v>162777.9</v>
      </c>
      <c r="K518" s="1">
        <v>293520</v>
      </c>
      <c r="L518" s="1">
        <v>2400</v>
      </c>
      <c r="M518" s="1">
        <v>604.59</v>
      </c>
      <c r="N518" s="1">
        <v>88264.4</v>
      </c>
      <c r="O518" s="1">
        <v>140976.70000000001</v>
      </c>
      <c r="P518" s="1">
        <v>229241.1</v>
      </c>
      <c r="Q518" s="1">
        <v>46026.9</v>
      </c>
      <c r="R518" s="1">
        <v>15567.8</v>
      </c>
      <c r="S518" s="1">
        <v>61594.7</v>
      </c>
      <c r="T518" s="1">
        <v>36.26</v>
      </c>
      <c r="U518" s="1">
        <v>2.79</v>
      </c>
      <c r="V518" s="1">
        <v>15528.4</v>
      </c>
      <c r="W518" s="1">
        <v>61555.3</v>
      </c>
      <c r="X518" s="1">
        <v>607.38</v>
      </c>
      <c r="Y518" s="1">
        <v>2393</v>
      </c>
      <c r="Z518" s="1">
        <v>290796.40000000002</v>
      </c>
      <c r="AA518" s="1">
        <v>36.270000000000003</v>
      </c>
    </row>
    <row r="519" spans="1:27" x14ac:dyDescent="0.4">
      <c r="A519" s="1" t="s">
        <v>144</v>
      </c>
      <c r="B519" s="1">
        <v>8000</v>
      </c>
      <c r="C519" s="1">
        <v>0.4</v>
      </c>
      <c r="D519" s="1">
        <v>0.5</v>
      </c>
      <c r="E519" s="1">
        <v>1000</v>
      </c>
      <c r="F519" s="1">
        <v>2</v>
      </c>
      <c r="G519" s="1">
        <v>5</v>
      </c>
      <c r="H519" s="1" t="s">
        <v>14</v>
      </c>
      <c r="I519" s="1">
        <v>456297.9</v>
      </c>
      <c r="J519" s="1">
        <v>162777.9</v>
      </c>
      <c r="K519" s="1">
        <v>293520</v>
      </c>
      <c r="L519" s="1">
        <v>2400</v>
      </c>
      <c r="M519" s="1">
        <v>600.01</v>
      </c>
      <c r="N519" s="1">
        <v>85721.8</v>
      </c>
      <c r="O519" s="1">
        <v>136485.79999999999</v>
      </c>
      <c r="P519" s="1">
        <v>222207.6</v>
      </c>
      <c r="Q519" s="1">
        <v>48323.4</v>
      </c>
      <c r="R519" s="1">
        <v>20250.3</v>
      </c>
      <c r="S519" s="1">
        <v>68573.7</v>
      </c>
      <c r="T519" s="1">
        <v>36.270000000000003</v>
      </c>
      <c r="U519" s="1">
        <v>1.5</v>
      </c>
      <c r="V519" s="1">
        <v>19216.400000000001</v>
      </c>
      <c r="W519" s="1">
        <v>67539.8</v>
      </c>
      <c r="X519" s="1">
        <v>601.51</v>
      </c>
      <c r="Y519" s="1">
        <v>2400</v>
      </c>
      <c r="Z519" s="1">
        <v>289747.40000000002</v>
      </c>
      <c r="AA519" s="1">
        <v>36.5</v>
      </c>
    </row>
    <row r="520" spans="1:27" x14ac:dyDescent="0.4">
      <c r="A520" s="1" t="s">
        <v>144</v>
      </c>
      <c r="B520" s="1">
        <v>8000</v>
      </c>
      <c r="C520" s="1">
        <v>0.4</v>
      </c>
      <c r="D520" s="1">
        <v>0.5</v>
      </c>
      <c r="E520" s="1">
        <v>1000</v>
      </c>
      <c r="F520" s="1">
        <v>2</v>
      </c>
      <c r="G520" s="1">
        <v>5</v>
      </c>
      <c r="H520" s="1" t="s">
        <v>580</v>
      </c>
      <c r="I520" s="1">
        <v>456297.9</v>
      </c>
      <c r="J520" s="1">
        <v>162777.9</v>
      </c>
      <c r="K520" s="1">
        <v>293520</v>
      </c>
      <c r="L520" s="1">
        <v>2400</v>
      </c>
      <c r="M520" s="1">
        <v>600.01</v>
      </c>
      <c r="N520" s="1">
        <v>87425.8</v>
      </c>
      <c r="O520" s="1">
        <v>140495.29999999999</v>
      </c>
      <c r="P520" s="1">
        <v>227921.1</v>
      </c>
      <c r="Q520" s="1">
        <v>42718.400000000001</v>
      </c>
      <c r="R520" s="1">
        <v>23059.599999999999</v>
      </c>
      <c r="S520" s="1">
        <v>65778</v>
      </c>
      <c r="T520" s="1">
        <v>35.630000000000003</v>
      </c>
      <c r="U520" s="1">
        <v>6.94</v>
      </c>
      <c r="V520" s="1">
        <v>20813.599999999999</v>
      </c>
      <c r="W520" s="1">
        <v>63532</v>
      </c>
      <c r="X520" s="1">
        <v>606.94000000000005</v>
      </c>
      <c r="Y520" s="1">
        <v>2400</v>
      </c>
      <c r="Z520" s="1">
        <v>291453.09999999998</v>
      </c>
      <c r="AA520" s="1">
        <v>36.130000000000003</v>
      </c>
    </row>
    <row r="521" spans="1:27" x14ac:dyDescent="0.4">
      <c r="A521" s="1" t="s">
        <v>144</v>
      </c>
      <c r="B521" s="1">
        <v>8000</v>
      </c>
      <c r="C521" s="1">
        <v>0.4</v>
      </c>
      <c r="D521" s="1">
        <v>0.5</v>
      </c>
      <c r="E521" s="1">
        <v>1000</v>
      </c>
      <c r="F521" s="1">
        <v>2</v>
      </c>
      <c r="G521" s="1">
        <v>5</v>
      </c>
      <c r="H521" s="1" t="s">
        <v>15</v>
      </c>
      <c r="I521" s="1">
        <v>456297.9</v>
      </c>
      <c r="J521" s="1">
        <v>162777.9</v>
      </c>
      <c r="K521" s="1">
        <v>293520</v>
      </c>
      <c r="L521" s="1">
        <v>2400</v>
      </c>
      <c r="M521" s="1">
        <v>600.36</v>
      </c>
      <c r="N521" s="1">
        <v>86163.3</v>
      </c>
      <c r="O521" s="1">
        <v>136601.4</v>
      </c>
      <c r="P521" s="1">
        <v>222764.7</v>
      </c>
      <c r="Q521" s="1">
        <v>48571.7</v>
      </c>
      <c r="R521" s="1">
        <v>17530</v>
      </c>
      <c r="S521" s="1">
        <v>66101.7</v>
      </c>
      <c r="T521" s="1">
        <v>36.69</v>
      </c>
      <c r="U521" s="1">
        <v>1.65</v>
      </c>
      <c r="V521" s="1">
        <v>16375.8</v>
      </c>
      <c r="W521" s="1">
        <v>64947.5</v>
      </c>
      <c r="X521" s="1">
        <v>602.01</v>
      </c>
      <c r="Y521" s="1">
        <v>2399</v>
      </c>
      <c r="Z521" s="1">
        <v>287712.2</v>
      </c>
      <c r="AA521" s="1">
        <v>36.950000000000003</v>
      </c>
    </row>
    <row r="522" spans="1:27" x14ac:dyDescent="0.4">
      <c r="A522" s="1" t="s">
        <v>145</v>
      </c>
      <c r="B522" s="1">
        <v>8000</v>
      </c>
      <c r="C522" s="1">
        <v>0.4</v>
      </c>
      <c r="D522" s="1">
        <v>0.5</v>
      </c>
      <c r="E522" s="1">
        <v>1000</v>
      </c>
      <c r="F522" s="1">
        <v>3</v>
      </c>
      <c r="G522" s="1">
        <v>1</v>
      </c>
      <c r="H522" s="1" t="s">
        <v>592</v>
      </c>
      <c r="I522" s="1">
        <v>557435.6</v>
      </c>
      <c r="J522" s="1">
        <v>222718.9</v>
      </c>
      <c r="K522" s="1">
        <v>334716.7</v>
      </c>
      <c r="L522" s="1">
        <v>2400</v>
      </c>
      <c r="M522" s="1">
        <v>604.51</v>
      </c>
      <c r="N522" s="1">
        <v>112912.9</v>
      </c>
      <c r="O522" s="1">
        <v>163870.9</v>
      </c>
      <c r="P522" s="1">
        <v>276783.8</v>
      </c>
      <c r="Q522" s="1">
        <v>46655.9</v>
      </c>
      <c r="R522" s="1">
        <v>18715.2</v>
      </c>
      <c r="S522" s="1">
        <v>65371.1</v>
      </c>
      <c r="T522" s="1">
        <v>38.619999999999997</v>
      </c>
      <c r="U522" s="1">
        <v>2.86</v>
      </c>
      <c r="V522" s="1">
        <v>18652.7</v>
      </c>
      <c r="W522" s="1">
        <v>65308.6</v>
      </c>
      <c r="X522" s="1">
        <v>607.37</v>
      </c>
      <c r="Y522" s="1">
        <v>2363</v>
      </c>
      <c r="Z522" s="1">
        <v>342092.4</v>
      </c>
      <c r="AA522" s="1">
        <v>38.630000000000003</v>
      </c>
    </row>
    <row r="523" spans="1:27" x14ac:dyDescent="0.4">
      <c r="A523" s="1" t="s">
        <v>145</v>
      </c>
      <c r="B523" s="1">
        <v>8000</v>
      </c>
      <c r="C523" s="1">
        <v>0.4</v>
      </c>
      <c r="D523" s="1">
        <v>0.5</v>
      </c>
      <c r="E523" s="1">
        <v>1000</v>
      </c>
      <c r="F523" s="1">
        <v>3</v>
      </c>
      <c r="G523" s="1">
        <v>1</v>
      </c>
      <c r="H523" s="1" t="s">
        <v>14</v>
      </c>
      <c r="I523" s="1">
        <v>557435.6</v>
      </c>
      <c r="J523" s="1">
        <v>222718.9</v>
      </c>
      <c r="K523" s="1">
        <v>334716.7</v>
      </c>
      <c r="L523" s="1">
        <v>2400</v>
      </c>
      <c r="M523" s="1">
        <v>600.03</v>
      </c>
      <c r="N523" s="1">
        <v>111265.2</v>
      </c>
      <c r="O523" s="1">
        <v>159622.1</v>
      </c>
      <c r="P523" s="1">
        <v>270887.3</v>
      </c>
      <c r="Q523" s="1">
        <v>50498.8</v>
      </c>
      <c r="R523" s="1">
        <v>22264.799999999999</v>
      </c>
      <c r="S523" s="1">
        <v>72763.600000000006</v>
      </c>
      <c r="T523" s="1">
        <v>38.35</v>
      </c>
      <c r="U523" s="1">
        <v>2.38</v>
      </c>
      <c r="V523" s="1">
        <v>20755.900000000001</v>
      </c>
      <c r="W523" s="1">
        <v>71254.7</v>
      </c>
      <c r="X523" s="1">
        <v>602.41999999999996</v>
      </c>
      <c r="Y523" s="1">
        <v>2400</v>
      </c>
      <c r="Z523" s="1">
        <v>342142</v>
      </c>
      <c r="AA523" s="1">
        <v>38.619999999999997</v>
      </c>
    </row>
    <row r="524" spans="1:27" x14ac:dyDescent="0.4">
      <c r="A524" s="1" t="s">
        <v>145</v>
      </c>
      <c r="B524" s="1">
        <v>8000</v>
      </c>
      <c r="C524" s="1">
        <v>0.4</v>
      </c>
      <c r="D524" s="1">
        <v>0.5</v>
      </c>
      <c r="E524" s="1">
        <v>1000</v>
      </c>
      <c r="F524" s="1">
        <v>3</v>
      </c>
      <c r="G524" s="1">
        <v>1</v>
      </c>
      <c r="H524" s="1" t="s">
        <v>580</v>
      </c>
      <c r="I524" s="1">
        <v>557435.6</v>
      </c>
      <c r="J524" s="1">
        <v>222718.9</v>
      </c>
      <c r="K524" s="1">
        <v>334716.7</v>
      </c>
      <c r="L524" s="1">
        <v>2400</v>
      </c>
      <c r="M524" s="1">
        <v>600.92999999999995</v>
      </c>
      <c r="N524" s="1">
        <v>113941.2</v>
      </c>
      <c r="O524" s="1">
        <v>163843.1</v>
      </c>
      <c r="P524" s="1">
        <v>277784.3</v>
      </c>
      <c r="Q524" s="1">
        <v>45189.2</v>
      </c>
      <c r="R524" s="1">
        <v>27385.4</v>
      </c>
      <c r="S524" s="1">
        <v>72574.600000000006</v>
      </c>
      <c r="T524" s="1">
        <v>37.15</v>
      </c>
      <c r="U524" s="1">
        <v>6.89</v>
      </c>
      <c r="V524" s="1">
        <v>24905.599999999999</v>
      </c>
      <c r="W524" s="1">
        <v>70094.8</v>
      </c>
      <c r="X524" s="1">
        <v>607.82000000000005</v>
      </c>
      <c r="Y524" s="1">
        <v>2399</v>
      </c>
      <c r="Z524" s="1">
        <v>347879.1</v>
      </c>
      <c r="AA524" s="1">
        <v>37.590000000000003</v>
      </c>
    </row>
    <row r="525" spans="1:27" x14ac:dyDescent="0.4">
      <c r="A525" s="1" t="s">
        <v>145</v>
      </c>
      <c r="B525" s="1">
        <v>8000</v>
      </c>
      <c r="C525" s="1">
        <v>0.4</v>
      </c>
      <c r="D525" s="1">
        <v>0.5</v>
      </c>
      <c r="E525" s="1">
        <v>1000</v>
      </c>
      <c r="F525" s="1">
        <v>3</v>
      </c>
      <c r="G525" s="1">
        <v>1</v>
      </c>
      <c r="H525" s="1" t="s">
        <v>15</v>
      </c>
      <c r="I525" s="1">
        <v>557435.6</v>
      </c>
      <c r="J525" s="1">
        <v>222718.9</v>
      </c>
      <c r="K525" s="1">
        <v>334716.7</v>
      </c>
      <c r="L525" s="1">
        <v>2400</v>
      </c>
      <c r="M525" s="1">
        <v>600.01</v>
      </c>
      <c r="N525" s="1">
        <v>111208.7</v>
      </c>
      <c r="O525" s="1">
        <v>157208.70000000001</v>
      </c>
      <c r="P525" s="1">
        <v>268417.40000000002</v>
      </c>
      <c r="Q525" s="1">
        <v>52091.6</v>
      </c>
      <c r="R525" s="1">
        <v>21109.8</v>
      </c>
      <c r="S525" s="1">
        <v>73201.399999999994</v>
      </c>
      <c r="T525" s="1">
        <v>38.72</v>
      </c>
      <c r="U525" s="1">
        <v>1.47</v>
      </c>
      <c r="V525" s="1">
        <v>19972.2</v>
      </c>
      <c r="W525" s="1">
        <v>72063.8</v>
      </c>
      <c r="X525" s="1">
        <v>601.48</v>
      </c>
      <c r="Y525" s="1">
        <v>2394</v>
      </c>
      <c r="Z525" s="1">
        <v>340481.2</v>
      </c>
      <c r="AA525" s="1">
        <v>38.92</v>
      </c>
    </row>
    <row r="526" spans="1:27" x14ac:dyDescent="0.4">
      <c r="A526" s="1" t="s">
        <v>146</v>
      </c>
      <c r="B526" s="1">
        <v>8000</v>
      </c>
      <c r="C526" s="1">
        <v>0.4</v>
      </c>
      <c r="D526" s="1">
        <v>0.5</v>
      </c>
      <c r="E526" s="1">
        <v>1000</v>
      </c>
      <c r="F526" s="1">
        <v>3</v>
      </c>
      <c r="G526" s="1">
        <v>2</v>
      </c>
      <c r="H526" s="1" t="s">
        <v>592</v>
      </c>
      <c r="I526" s="1">
        <v>581757.6</v>
      </c>
      <c r="J526" s="1">
        <v>227255.3</v>
      </c>
      <c r="K526" s="1">
        <v>354502.3</v>
      </c>
      <c r="L526" s="1">
        <v>2400</v>
      </c>
      <c r="M526" s="1">
        <v>604.6</v>
      </c>
      <c r="N526" s="1">
        <v>117469.8</v>
      </c>
      <c r="O526" s="1">
        <v>172246.9</v>
      </c>
      <c r="P526" s="1">
        <v>289716.7</v>
      </c>
      <c r="Q526" s="1">
        <v>46130.8</v>
      </c>
      <c r="R526" s="1">
        <v>19464.400000000001</v>
      </c>
      <c r="S526" s="1">
        <v>65595.199999999997</v>
      </c>
      <c r="T526" s="1">
        <v>38.92</v>
      </c>
      <c r="U526" s="1">
        <v>3.14</v>
      </c>
      <c r="V526" s="1">
        <v>19372.2</v>
      </c>
      <c r="W526" s="1">
        <v>65503</v>
      </c>
      <c r="X526" s="1">
        <v>607.74</v>
      </c>
      <c r="Y526" s="1">
        <v>2330</v>
      </c>
      <c r="Z526" s="1">
        <v>355219.7</v>
      </c>
      <c r="AA526" s="1">
        <v>38.94</v>
      </c>
    </row>
    <row r="527" spans="1:27" x14ac:dyDescent="0.4">
      <c r="A527" s="1" t="s">
        <v>146</v>
      </c>
      <c r="B527" s="1">
        <v>8000</v>
      </c>
      <c r="C527" s="1">
        <v>0.4</v>
      </c>
      <c r="D527" s="1">
        <v>0.5</v>
      </c>
      <c r="E527" s="1">
        <v>1000</v>
      </c>
      <c r="F527" s="1">
        <v>3</v>
      </c>
      <c r="G527" s="1">
        <v>2</v>
      </c>
      <c r="H527" s="1" t="s">
        <v>14</v>
      </c>
      <c r="I527" s="1">
        <v>581757.6</v>
      </c>
      <c r="J527" s="1">
        <v>227255.3</v>
      </c>
      <c r="K527" s="1">
        <v>354502.3</v>
      </c>
      <c r="L527" s="1">
        <v>2400</v>
      </c>
      <c r="M527" s="1">
        <v>600.03</v>
      </c>
      <c r="N527" s="1">
        <v>116471.9</v>
      </c>
      <c r="O527" s="1">
        <v>171386.4</v>
      </c>
      <c r="P527" s="1">
        <v>287858.3</v>
      </c>
      <c r="Q527" s="1">
        <v>50704.6</v>
      </c>
      <c r="R527" s="1">
        <v>23686.9</v>
      </c>
      <c r="S527" s="1">
        <v>74391.5</v>
      </c>
      <c r="T527" s="1">
        <v>37.729999999999997</v>
      </c>
      <c r="U527" s="1">
        <v>2.59</v>
      </c>
      <c r="V527" s="1">
        <v>22211.200000000001</v>
      </c>
      <c r="W527" s="1">
        <v>72915.8</v>
      </c>
      <c r="X527" s="1">
        <v>602.62</v>
      </c>
      <c r="Y527" s="1">
        <v>2400</v>
      </c>
      <c r="Z527" s="1">
        <v>360774.1</v>
      </c>
      <c r="AA527" s="1">
        <v>37.99</v>
      </c>
    </row>
    <row r="528" spans="1:27" x14ac:dyDescent="0.4">
      <c r="A528" s="1" t="s">
        <v>146</v>
      </c>
      <c r="B528" s="1">
        <v>8000</v>
      </c>
      <c r="C528" s="1">
        <v>0.4</v>
      </c>
      <c r="D528" s="1">
        <v>0.5</v>
      </c>
      <c r="E528" s="1">
        <v>1000</v>
      </c>
      <c r="F528" s="1">
        <v>3</v>
      </c>
      <c r="G528" s="1">
        <v>2</v>
      </c>
      <c r="H528" s="1" t="s">
        <v>580</v>
      </c>
      <c r="I528" s="1">
        <v>581757.6</v>
      </c>
      <c r="J528" s="1">
        <v>227255.3</v>
      </c>
      <c r="K528" s="1">
        <v>354502.3</v>
      </c>
      <c r="L528" s="1">
        <v>2400</v>
      </c>
      <c r="M528" s="1">
        <v>600.32000000000005</v>
      </c>
      <c r="N528" s="1">
        <v>117384.7</v>
      </c>
      <c r="O528" s="1">
        <v>171842.5</v>
      </c>
      <c r="P528" s="1">
        <v>289227.2</v>
      </c>
      <c r="Q528" s="1">
        <v>45045.3</v>
      </c>
      <c r="R528" s="1">
        <v>27925.9</v>
      </c>
      <c r="S528" s="1">
        <v>72971.199999999997</v>
      </c>
      <c r="T528" s="1">
        <v>37.74</v>
      </c>
      <c r="U528" s="1">
        <v>6.78</v>
      </c>
      <c r="V528" s="1">
        <v>25595.1</v>
      </c>
      <c r="W528" s="1">
        <v>70640.399999999994</v>
      </c>
      <c r="X528" s="1">
        <v>607.11</v>
      </c>
      <c r="Y528" s="1">
        <v>2400</v>
      </c>
      <c r="Z528" s="1">
        <v>359867.6</v>
      </c>
      <c r="AA528" s="1">
        <v>38.14</v>
      </c>
    </row>
    <row r="529" spans="1:27" x14ac:dyDescent="0.4">
      <c r="A529" s="1" t="s">
        <v>146</v>
      </c>
      <c r="B529" s="1">
        <v>8000</v>
      </c>
      <c r="C529" s="1">
        <v>0.4</v>
      </c>
      <c r="D529" s="1">
        <v>0.5</v>
      </c>
      <c r="E529" s="1">
        <v>1000</v>
      </c>
      <c r="F529" s="1">
        <v>3</v>
      </c>
      <c r="G529" s="1">
        <v>2</v>
      </c>
      <c r="H529" s="1" t="s">
        <v>15</v>
      </c>
      <c r="I529" s="1">
        <v>581757.6</v>
      </c>
      <c r="J529" s="1">
        <v>227255.3</v>
      </c>
      <c r="K529" s="1">
        <v>354502.3</v>
      </c>
      <c r="L529" s="1">
        <v>2400</v>
      </c>
      <c r="M529" s="1">
        <v>600.59</v>
      </c>
      <c r="N529" s="1">
        <v>115158.7</v>
      </c>
      <c r="O529" s="1">
        <v>166530.9</v>
      </c>
      <c r="P529" s="1">
        <v>281689.59999999998</v>
      </c>
      <c r="Q529" s="1">
        <v>52259.4</v>
      </c>
      <c r="R529" s="1">
        <v>22193.3</v>
      </c>
      <c r="S529" s="1">
        <v>74452.7</v>
      </c>
      <c r="T529" s="1">
        <v>38.78</v>
      </c>
      <c r="U529" s="1">
        <v>1.27</v>
      </c>
      <c r="V529" s="1">
        <v>21236.1</v>
      </c>
      <c r="W529" s="1">
        <v>73495.5</v>
      </c>
      <c r="X529" s="1">
        <v>601.85</v>
      </c>
      <c r="Y529" s="1">
        <v>2400</v>
      </c>
      <c r="Z529" s="1">
        <v>355185.1</v>
      </c>
      <c r="AA529" s="1">
        <v>38.950000000000003</v>
      </c>
    </row>
    <row r="530" spans="1:27" x14ac:dyDescent="0.4">
      <c r="A530" s="1" t="s">
        <v>147</v>
      </c>
      <c r="B530" s="1">
        <v>8000</v>
      </c>
      <c r="C530" s="1">
        <v>0.4</v>
      </c>
      <c r="D530" s="1">
        <v>0.5</v>
      </c>
      <c r="E530" s="1">
        <v>1000</v>
      </c>
      <c r="F530" s="1">
        <v>3</v>
      </c>
      <c r="G530" s="1">
        <v>3</v>
      </c>
      <c r="H530" s="1" t="s">
        <v>592</v>
      </c>
      <c r="I530" s="1">
        <v>567769.5</v>
      </c>
      <c r="J530" s="1">
        <v>226650.8</v>
      </c>
      <c r="K530" s="1">
        <v>341118.7</v>
      </c>
      <c r="L530" s="1">
        <v>2400</v>
      </c>
      <c r="M530" s="1">
        <v>603.65</v>
      </c>
      <c r="N530" s="1">
        <v>117640.6</v>
      </c>
      <c r="O530" s="1">
        <v>168522.2</v>
      </c>
      <c r="P530" s="1">
        <v>286162.8</v>
      </c>
      <c r="Q530" s="1">
        <v>44630.5</v>
      </c>
      <c r="R530" s="1">
        <v>18183.900000000001</v>
      </c>
      <c r="S530" s="1">
        <v>62814.400000000001</v>
      </c>
      <c r="T530" s="1">
        <v>38.54</v>
      </c>
      <c r="U530" s="1">
        <v>1.78</v>
      </c>
      <c r="V530" s="1">
        <v>18103.2</v>
      </c>
      <c r="W530" s="1">
        <v>62733.7</v>
      </c>
      <c r="X530" s="1">
        <v>605.42999999999995</v>
      </c>
      <c r="Y530" s="1">
        <v>2043</v>
      </c>
      <c r="Z530" s="1">
        <v>348896.5</v>
      </c>
      <c r="AA530" s="1">
        <v>38.549999999999997</v>
      </c>
    </row>
    <row r="531" spans="1:27" x14ac:dyDescent="0.4">
      <c r="A531" s="1" t="s">
        <v>147</v>
      </c>
      <c r="B531" s="1">
        <v>8000</v>
      </c>
      <c r="C531" s="1">
        <v>0.4</v>
      </c>
      <c r="D531" s="1">
        <v>0.5</v>
      </c>
      <c r="E531" s="1">
        <v>1000</v>
      </c>
      <c r="F531" s="1">
        <v>3</v>
      </c>
      <c r="G531" s="1">
        <v>3</v>
      </c>
      <c r="H531" s="1" t="s">
        <v>14</v>
      </c>
      <c r="I531" s="1">
        <v>567769.5</v>
      </c>
      <c r="J531" s="1">
        <v>226650.8</v>
      </c>
      <c r="K531" s="1">
        <v>341118.7</v>
      </c>
      <c r="L531" s="1">
        <v>2400</v>
      </c>
      <c r="M531" s="1">
        <v>600.04999999999995</v>
      </c>
      <c r="N531" s="1">
        <v>113523.2</v>
      </c>
      <c r="O531" s="1">
        <v>161152</v>
      </c>
      <c r="P531" s="1">
        <v>274675.20000000001</v>
      </c>
      <c r="Q531" s="1">
        <v>52314.8</v>
      </c>
      <c r="R531" s="1">
        <v>23489.9</v>
      </c>
      <c r="S531" s="1">
        <v>75804.7</v>
      </c>
      <c r="T531" s="1">
        <v>38.270000000000003</v>
      </c>
      <c r="U531" s="1">
        <v>2.2000000000000002</v>
      </c>
      <c r="V531" s="1">
        <v>21990.1</v>
      </c>
      <c r="W531" s="1">
        <v>74304.899999999994</v>
      </c>
      <c r="X531" s="1">
        <v>602.25</v>
      </c>
      <c r="Y531" s="1">
        <v>2400</v>
      </c>
      <c r="Z531" s="1">
        <v>348980.1</v>
      </c>
      <c r="AA531" s="1">
        <v>38.53</v>
      </c>
    </row>
    <row r="532" spans="1:27" x14ac:dyDescent="0.4">
      <c r="A532" s="1" t="s">
        <v>147</v>
      </c>
      <c r="B532" s="1">
        <v>8000</v>
      </c>
      <c r="C532" s="1">
        <v>0.4</v>
      </c>
      <c r="D532" s="1">
        <v>0.5</v>
      </c>
      <c r="E532" s="1">
        <v>1000</v>
      </c>
      <c r="F532" s="1">
        <v>3</v>
      </c>
      <c r="G532" s="1">
        <v>3</v>
      </c>
      <c r="H532" s="1" t="s">
        <v>580</v>
      </c>
      <c r="I532" s="1">
        <v>567769.5</v>
      </c>
      <c r="J532" s="1">
        <v>226650.8</v>
      </c>
      <c r="K532" s="1">
        <v>341118.7</v>
      </c>
      <c r="L532" s="1">
        <v>2400</v>
      </c>
      <c r="M532" s="1">
        <v>600.28</v>
      </c>
      <c r="N532" s="1">
        <v>114461.4</v>
      </c>
      <c r="O532" s="1">
        <v>165055</v>
      </c>
      <c r="P532" s="1">
        <v>279516.40000000002</v>
      </c>
      <c r="Q532" s="1">
        <v>45139.4</v>
      </c>
      <c r="R532" s="1">
        <v>27438</v>
      </c>
      <c r="S532" s="1">
        <v>72577.399999999994</v>
      </c>
      <c r="T532" s="1">
        <v>37.99</v>
      </c>
      <c r="U532" s="1">
        <v>6.21</v>
      </c>
      <c r="V532" s="1">
        <v>25015.9</v>
      </c>
      <c r="W532" s="1">
        <v>70155.3</v>
      </c>
      <c r="X532" s="1">
        <v>606.49</v>
      </c>
      <c r="Y532" s="1">
        <v>2399</v>
      </c>
      <c r="Z532" s="1">
        <v>349671.7</v>
      </c>
      <c r="AA532" s="1">
        <v>38.409999999999997</v>
      </c>
    </row>
    <row r="533" spans="1:27" x14ac:dyDescent="0.4">
      <c r="A533" s="1" t="s">
        <v>147</v>
      </c>
      <c r="B533" s="1">
        <v>8000</v>
      </c>
      <c r="C533" s="1">
        <v>0.4</v>
      </c>
      <c r="D533" s="1">
        <v>0.5</v>
      </c>
      <c r="E533" s="1">
        <v>1000</v>
      </c>
      <c r="F533" s="1">
        <v>3</v>
      </c>
      <c r="G533" s="1">
        <v>3</v>
      </c>
      <c r="H533" s="1" t="s">
        <v>15</v>
      </c>
      <c r="I533" s="1">
        <v>567769.5</v>
      </c>
      <c r="J533" s="1">
        <v>226650.8</v>
      </c>
      <c r="K533" s="1">
        <v>341118.7</v>
      </c>
      <c r="L533" s="1">
        <v>2400</v>
      </c>
      <c r="M533" s="1">
        <v>600</v>
      </c>
      <c r="N533" s="1">
        <v>111517.4</v>
      </c>
      <c r="O533" s="1">
        <v>158943.9</v>
      </c>
      <c r="P533" s="1">
        <v>270461.3</v>
      </c>
      <c r="Q533" s="1">
        <v>52719.6</v>
      </c>
      <c r="R533" s="1">
        <v>21216.400000000001</v>
      </c>
      <c r="S533" s="1">
        <v>73936</v>
      </c>
      <c r="T533" s="1">
        <v>39.340000000000003</v>
      </c>
      <c r="U533" s="1">
        <v>1.5</v>
      </c>
      <c r="V533" s="1">
        <v>20039.599999999999</v>
      </c>
      <c r="W533" s="1">
        <v>72759.199999999997</v>
      </c>
      <c r="X533" s="1">
        <v>601.51</v>
      </c>
      <c r="Y533" s="1">
        <v>2396</v>
      </c>
      <c r="Z533" s="1">
        <v>343220.5</v>
      </c>
      <c r="AA533" s="1">
        <v>39.549999999999997</v>
      </c>
    </row>
    <row r="534" spans="1:27" x14ac:dyDescent="0.4">
      <c r="A534" s="1" t="s">
        <v>148</v>
      </c>
      <c r="B534" s="1">
        <v>8000</v>
      </c>
      <c r="C534" s="1">
        <v>0.4</v>
      </c>
      <c r="D534" s="1">
        <v>0.5</v>
      </c>
      <c r="E534" s="1">
        <v>1000</v>
      </c>
      <c r="F534" s="1">
        <v>3</v>
      </c>
      <c r="G534" s="1">
        <v>4</v>
      </c>
      <c r="H534" s="1" t="s">
        <v>592</v>
      </c>
      <c r="I534" s="1">
        <v>578695.1</v>
      </c>
      <c r="J534" s="1">
        <v>220248.4</v>
      </c>
      <c r="K534" s="1">
        <v>358446.7</v>
      </c>
      <c r="L534" s="1">
        <v>2400</v>
      </c>
      <c r="M534" s="1">
        <v>600.01</v>
      </c>
      <c r="N534" s="1">
        <v>115728</v>
      </c>
      <c r="O534" s="1">
        <v>179154.1</v>
      </c>
      <c r="P534" s="1">
        <v>294882.09999999998</v>
      </c>
      <c r="Q534" s="1">
        <v>46526.400000000001</v>
      </c>
      <c r="R534" s="1">
        <v>18330.8</v>
      </c>
      <c r="S534" s="1">
        <v>64857.2</v>
      </c>
      <c r="T534" s="1">
        <v>37.840000000000003</v>
      </c>
      <c r="U534" s="1">
        <v>2.44</v>
      </c>
      <c r="V534" s="1">
        <v>18257.3</v>
      </c>
      <c r="W534" s="1">
        <v>64783.7</v>
      </c>
      <c r="X534" s="1">
        <v>602.45000000000005</v>
      </c>
      <c r="Y534" s="1">
        <v>2234</v>
      </c>
      <c r="Z534" s="1">
        <v>359665.8</v>
      </c>
      <c r="AA534" s="1">
        <v>37.85</v>
      </c>
    </row>
    <row r="535" spans="1:27" x14ac:dyDescent="0.4">
      <c r="A535" s="1" t="s">
        <v>148</v>
      </c>
      <c r="B535" s="1">
        <v>8000</v>
      </c>
      <c r="C535" s="1">
        <v>0.4</v>
      </c>
      <c r="D535" s="1">
        <v>0.5</v>
      </c>
      <c r="E535" s="1">
        <v>1000</v>
      </c>
      <c r="F535" s="1">
        <v>3</v>
      </c>
      <c r="G535" s="1">
        <v>4</v>
      </c>
      <c r="H535" s="1" t="s">
        <v>14</v>
      </c>
      <c r="I535" s="1">
        <v>578695.1</v>
      </c>
      <c r="J535" s="1">
        <v>220248.4</v>
      </c>
      <c r="K535" s="1">
        <v>358446.7</v>
      </c>
      <c r="L535" s="1">
        <v>2400</v>
      </c>
      <c r="M535" s="1">
        <v>600.01</v>
      </c>
      <c r="N535" s="1">
        <v>111255.9</v>
      </c>
      <c r="O535" s="1">
        <v>171994.6</v>
      </c>
      <c r="P535" s="1">
        <v>283250.5</v>
      </c>
      <c r="Q535" s="1">
        <v>52208.5</v>
      </c>
      <c r="R535" s="1">
        <v>23739.4</v>
      </c>
      <c r="S535" s="1">
        <v>75947.899999999994</v>
      </c>
      <c r="T535" s="1">
        <v>37.93</v>
      </c>
      <c r="U535" s="1">
        <v>2.12</v>
      </c>
      <c r="V535" s="1">
        <v>22348.799999999999</v>
      </c>
      <c r="W535" s="1">
        <v>74557.3</v>
      </c>
      <c r="X535" s="1">
        <v>602.13</v>
      </c>
      <c r="Y535" s="1">
        <v>2400</v>
      </c>
      <c r="Z535" s="1">
        <v>357807.8</v>
      </c>
      <c r="AA535" s="1">
        <v>38.17</v>
      </c>
    </row>
    <row r="536" spans="1:27" x14ac:dyDescent="0.4">
      <c r="A536" s="1" t="s">
        <v>148</v>
      </c>
      <c r="B536" s="1">
        <v>8000</v>
      </c>
      <c r="C536" s="1">
        <v>0.4</v>
      </c>
      <c r="D536" s="1">
        <v>0.5</v>
      </c>
      <c r="E536" s="1">
        <v>1000</v>
      </c>
      <c r="F536" s="1">
        <v>3</v>
      </c>
      <c r="G536" s="1">
        <v>4</v>
      </c>
      <c r="H536" s="1" t="s">
        <v>580</v>
      </c>
      <c r="I536" s="1">
        <v>578695.1</v>
      </c>
      <c r="J536" s="1">
        <v>220248.4</v>
      </c>
      <c r="K536" s="1">
        <v>358446.7</v>
      </c>
      <c r="L536" s="1">
        <v>2400</v>
      </c>
      <c r="M536" s="1">
        <v>600.54</v>
      </c>
      <c r="N536" s="1">
        <v>114061.8</v>
      </c>
      <c r="O536" s="1">
        <v>175446.6</v>
      </c>
      <c r="P536" s="1">
        <v>289508.40000000002</v>
      </c>
      <c r="Q536" s="1">
        <v>45783.3</v>
      </c>
      <c r="R536" s="1">
        <v>27686.9</v>
      </c>
      <c r="S536" s="1">
        <v>73470.2</v>
      </c>
      <c r="T536" s="1">
        <v>37.28</v>
      </c>
      <c r="U536" s="1">
        <v>7.63</v>
      </c>
      <c r="V536" s="1">
        <v>25547.3</v>
      </c>
      <c r="W536" s="1">
        <v>71330.600000000006</v>
      </c>
      <c r="X536" s="1">
        <v>608.16999999999996</v>
      </c>
      <c r="Y536" s="1">
        <v>2400</v>
      </c>
      <c r="Z536" s="1">
        <v>360839</v>
      </c>
      <c r="AA536" s="1">
        <v>37.65</v>
      </c>
    </row>
    <row r="537" spans="1:27" x14ac:dyDescent="0.4">
      <c r="A537" s="1" t="s">
        <v>148</v>
      </c>
      <c r="B537" s="1">
        <v>8000</v>
      </c>
      <c r="C537" s="1">
        <v>0.4</v>
      </c>
      <c r="D537" s="1">
        <v>0.5</v>
      </c>
      <c r="E537" s="1">
        <v>1000</v>
      </c>
      <c r="F537" s="1">
        <v>3</v>
      </c>
      <c r="G537" s="1">
        <v>4</v>
      </c>
      <c r="H537" s="1" t="s">
        <v>15</v>
      </c>
      <c r="I537" s="1">
        <v>578695.1</v>
      </c>
      <c r="J537" s="1">
        <v>220248.4</v>
      </c>
      <c r="K537" s="1">
        <v>358446.7</v>
      </c>
      <c r="L537" s="1">
        <v>2400</v>
      </c>
      <c r="M537" s="1">
        <v>600.03</v>
      </c>
      <c r="N537" s="1">
        <v>110424.5</v>
      </c>
      <c r="O537" s="1">
        <v>168840.1</v>
      </c>
      <c r="P537" s="1">
        <v>279264.59999999998</v>
      </c>
      <c r="Q537" s="1">
        <v>53559.9</v>
      </c>
      <c r="R537" s="1">
        <v>21551.7</v>
      </c>
      <c r="S537" s="1">
        <v>75111.600000000006</v>
      </c>
      <c r="T537" s="1">
        <v>38.76</v>
      </c>
      <c r="U537" s="1">
        <v>1.75</v>
      </c>
      <c r="V537" s="1">
        <v>20486.7</v>
      </c>
      <c r="W537" s="1">
        <v>74046.600000000006</v>
      </c>
      <c r="X537" s="1">
        <v>601.78</v>
      </c>
      <c r="Y537" s="1">
        <v>2400</v>
      </c>
      <c r="Z537" s="1">
        <v>353311.2</v>
      </c>
      <c r="AA537" s="1">
        <v>38.950000000000003</v>
      </c>
    </row>
    <row r="538" spans="1:27" x14ac:dyDescent="0.4">
      <c r="A538" s="1" t="s">
        <v>149</v>
      </c>
      <c r="B538" s="1">
        <v>8000</v>
      </c>
      <c r="C538" s="1">
        <v>0.4</v>
      </c>
      <c r="D538" s="1">
        <v>0.5</v>
      </c>
      <c r="E538" s="1">
        <v>1000</v>
      </c>
      <c r="F538" s="1">
        <v>3</v>
      </c>
      <c r="G538" s="1">
        <v>5</v>
      </c>
      <c r="H538" s="1" t="s">
        <v>592</v>
      </c>
      <c r="I538" s="1">
        <v>590660.69999999995</v>
      </c>
      <c r="J538" s="1">
        <v>215654.3</v>
      </c>
      <c r="K538" s="1">
        <v>375006.4</v>
      </c>
      <c r="L538" s="1">
        <v>2400</v>
      </c>
      <c r="M538" s="1">
        <v>600.03</v>
      </c>
      <c r="N538" s="1">
        <v>113303.8</v>
      </c>
      <c r="O538" s="1">
        <v>184668.7</v>
      </c>
      <c r="P538" s="1">
        <v>297972.5</v>
      </c>
      <c r="Q538" s="1">
        <v>48210.9</v>
      </c>
      <c r="R538" s="1">
        <v>19249.3</v>
      </c>
      <c r="S538" s="1">
        <v>67460.2</v>
      </c>
      <c r="T538" s="1">
        <v>38.130000000000003</v>
      </c>
      <c r="U538" s="1">
        <v>2.68</v>
      </c>
      <c r="V538" s="1">
        <v>19163</v>
      </c>
      <c r="W538" s="1">
        <v>67373.899999999994</v>
      </c>
      <c r="X538" s="1">
        <v>602.71</v>
      </c>
      <c r="Y538" s="1">
        <v>2312</v>
      </c>
      <c r="Z538" s="1">
        <v>365346.4</v>
      </c>
      <c r="AA538" s="1">
        <v>38.15</v>
      </c>
    </row>
    <row r="539" spans="1:27" x14ac:dyDescent="0.4">
      <c r="A539" s="1" t="s">
        <v>149</v>
      </c>
      <c r="B539" s="1">
        <v>8000</v>
      </c>
      <c r="C539" s="1">
        <v>0.4</v>
      </c>
      <c r="D539" s="1">
        <v>0.5</v>
      </c>
      <c r="E539" s="1">
        <v>1000</v>
      </c>
      <c r="F539" s="1">
        <v>3</v>
      </c>
      <c r="G539" s="1">
        <v>5</v>
      </c>
      <c r="H539" s="1" t="s">
        <v>14</v>
      </c>
      <c r="I539" s="1">
        <v>590660.69999999995</v>
      </c>
      <c r="J539" s="1">
        <v>215654.3</v>
      </c>
      <c r="K539" s="1">
        <v>375006.4</v>
      </c>
      <c r="L539" s="1">
        <v>2400</v>
      </c>
      <c r="M539" s="1">
        <v>600.04999999999995</v>
      </c>
      <c r="N539" s="1">
        <v>111821</v>
      </c>
      <c r="O539" s="1">
        <v>178324.7</v>
      </c>
      <c r="P539" s="1">
        <v>290145.7</v>
      </c>
      <c r="Q539" s="1">
        <v>53056.2</v>
      </c>
      <c r="R539" s="1">
        <v>25420.1</v>
      </c>
      <c r="S539" s="1">
        <v>78476.3</v>
      </c>
      <c r="T539" s="1">
        <v>37.590000000000003</v>
      </c>
      <c r="U539" s="1">
        <v>2.33</v>
      </c>
      <c r="V539" s="1">
        <v>24009.5</v>
      </c>
      <c r="W539" s="1">
        <v>77065.7</v>
      </c>
      <c r="X539" s="1">
        <v>602.39</v>
      </c>
      <c r="Y539" s="1">
        <v>2399</v>
      </c>
      <c r="Z539" s="1">
        <v>367211.4</v>
      </c>
      <c r="AA539" s="1">
        <v>37.83</v>
      </c>
    </row>
    <row r="540" spans="1:27" x14ac:dyDescent="0.4">
      <c r="A540" s="1" t="s">
        <v>149</v>
      </c>
      <c r="B540" s="1">
        <v>8000</v>
      </c>
      <c r="C540" s="1">
        <v>0.4</v>
      </c>
      <c r="D540" s="1">
        <v>0.5</v>
      </c>
      <c r="E540" s="1">
        <v>1000</v>
      </c>
      <c r="F540" s="1">
        <v>3</v>
      </c>
      <c r="G540" s="1">
        <v>5</v>
      </c>
      <c r="H540" s="1" t="s">
        <v>580</v>
      </c>
      <c r="I540" s="1">
        <v>590660.69999999995</v>
      </c>
      <c r="J540" s="1">
        <v>215654.3</v>
      </c>
      <c r="K540" s="1">
        <v>375006.4</v>
      </c>
      <c r="L540" s="1">
        <v>2400</v>
      </c>
      <c r="M540" s="1">
        <v>600.01</v>
      </c>
      <c r="N540" s="1">
        <v>112163.2</v>
      </c>
      <c r="O540" s="1">
        <v>183302.9</v>
      </c>
      <c r="P540" s="1">
        <v>295466.09999999998</v>
      </c>
      <c r="Q540" s="1">
        <v>45694</v>
      </c>
      <c r="R540" s="1">
        <v>27801.599999999999</v>
      </c>
      <c r="S540" s="1">
        <v>73495.600000000006</v>
      </c>
      <c r="T540" s="1">
        <v>37.53</v>
      </c>
      <c r="U540" s="1">
        <v>6.28</v>
      </c>
      <c r="V540" s="1">
        <v>25920.400000000001</v>
      </c>
      <c r="W540" s="1">
        <v>71614.399999999994</v>
      </c>
      <c r="X540" s="1">
        <v>606.29</v>
      </c>
      <c r="Y540" s="1">
        <v>2400</v>
      </c>
      <c r="Z540" s="1">
        <v>367080.5</v>
      </c>
      <c r="AA540" s="1">
        <v>37.85</v>
      </c>
    </row>
    <row r="541" spans="1:27" x14ac:dyDescent="0.4">
      <c r="A541" s="1" t="s">
        <v>149</v>
      </c>
      <c r="B541" s="1">
        <v>8000</v>
      </c>
      <c r="C541" s="1">
        <v>0.4</v>
      </c>
      <c r="D541" s="1">
        <v>0.5</v>
      </c>
      <c r="E541" s="1">
        <v>1000</v>
      </c>
      <c r="F541" s="1">
        <v>3</v>
      </c>
      <c r="G541" s="1">
        <v>5</v>
      </c>
      <c r="H541" s="1" t="s">
        <v>15</v>
      </c>
      <c r="I541" s="1">
        <v>590660.69999999995</v>
      </c>
      <c r="J541" s="1">
        <v>215654.3</v>
      </c>
      <c r="K541" s="1">
        <v>375006.4</v>
      </c>
      <c r="L541" s="1">
        <v>2400</v>
      </c>
      <c r="M541" s="1">
        <v>600.62</v>
      </c>
      <c r="N541" s="1">
        <v>108391.5</v>
      </c>
      <c r="O541" s="1">
        <v>175252.6</v>
      </c>
      <c r="P541" s="1">
        <v>283644.09999999998</v>
      </c>
      <c r="Q541" s="1">
        <v>54364.4</v>
      </c>
      <c r="R541" s="1">
        <v>23559.3</v>
      </c>
      <c r="S541" s="1">
        <v>77923.7</v>
      </c>
      <c r="T541" s="1">
        <v>38.79</v>
      </c>
      <c r="U541" s="1">
        <v>1.26</v>
      </c>
      <c r="V541" s="1">
        <v>22189.4</v>
      </c>
      <c r="W541" s="1">
        <v>76553.8</v>
      </c>
      <c r="X541" s="1">
        <v>601.88</v>
      </c>
      <c r="Y541" s="1">
        <v>2400</v>
      </c>
      <c r="Z541" s="1">
        <v>360197.9</v>
      </c>
      <c r="AA541" s="1">
        <v>39.020000000000003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0A6B-68BF-4AE7-96C4-9E3200558E4B}">
  <dimension ref="A1:AB1621"/>
  <sheetViews>
    <sheetView topLeftCell="A1053" workbookViewId="0">
      <selection activeCell="K1088" sqref="K1088"/>
    </sheetView>
  </sheetViews>
  <sheetFormatPr defaultRowHeight="14.6" x14ac:dyDescent="0.4"/>
  <cols>
    <col min="1" max="1" width="29.4609375" style="1" customWidth="1"/>
    <col min="2" max="7" width="6.765625" style="1" customWidth="1"/>
    <col min="8" max="28" width="11.69140625" style="1"/>
  </cols>
  <sheetData>
    <row r="1" spans="1:28" x14ac:dyDescent="0.4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584</v>
      </c>
      <c r="G1" s="28" t="s">
        <v>5</v>
      </c>
      <c r="H1" s="28" t="s">
        <v>6</v>
      </c>
      <c r="I1" s="29" t="s">
        <v>585</v>
      </c>
      <c r="J1" s="29" t="s">
        <v>150</v>
      </c>
      <c r="K1" s="29" t="s">
        <v>7</v>
      </c>
      <c r="L1" s="28" t="s">
        <v>582</v>
      </c>
      <c r="M1" s="28" t="s">
        <v>8</v>
      </c>
      <c r="N1" s="28" t="s">
        <v>151</v>
      </c>
      <c r="O1" s="28" t="s">
        <v>9</v>
      </c>
      <c r="P1" s="28" t="s">
        <v>586</v>
      </c>
      <c r="Q1" s="28" t="s">
        <v>587</v>
      </c>
      <c r="R1" s="28" t="s">
        <v>588</v>
      </c>
      <c r="S1" s="28" t="s">
        <v>589</v>
      </c>
      <c r="T1" s="28" t="s">
        <v>572</v>
      </c>
      <c r="U1" s="29" t="s">
        <v>10</v>
      </c>
      <c r="V1" s="29" t="s">
        <v>590</v>
      </c>
      <c r="W1" s="29" t="s">
        <v>591</v>
      </c>
      <c r="X1" s="28" t="s">
        <v>11</v>
      </c>
      <c r="Y1" s="28" t="s">
        <v>581</v>
      </c>
      <c r="Z1" s="28" t="s">
        <v>12</v>
      </c>
      <c r="AA1" s="28" t="s">
        <v>573</v>
      </c>
      <c r="AB1" s="27" t="s">
        <v>608</v>
      </c>
    </row>
    <row r="2" spans="1:28" x14ac:dyDescent="0.4">
      <c r="A2" s="1" t="s">
        <v>13</v>
      </c>
      <c r="B2" s="1">
        <v>2000</v>
      </c>
      <c r="C2" s="1">
        <v>0.2</v>
      </c>
      <c r="D2" s="1">
        <v>0.5</v>
      </c>
      <c r="E2" s="1">
        <v>1000</v>
      </c>
      <c r="F2" s="1">
        <v>1</v>
      </c>
      <c r="G2" s="1">
        <v>1</v>
      </c>
      <c r="H2" s="1" t="s">
        <v>583</v>
      </c>
      <c r="I2" s="1">
        <v>143148.20000000001</v>
      </c>
      <c r="J2" s="1">
        <v>59273.2</v>
      </c>
      <c r="K2" s="1">
        <v>83875</v>
      </c>
      <c r="L2" s="1">
        <v>600</v>
      </c>
      <c r="M2" s="1">
        <v>600</v>
      </c>
      <c r="N2" s="1">
        <v>36746.400000000001</v>
      </c>
      <c r="O2" s="1">
        <v>52650.8</v>
      </c>
      <c r="P2" s="1">
        <v>89397.2</v>
      </c>
      <c r="Q2" s="1">
        <v>14300.9</v>
      </c>
      <c r="R2" s="1">
        <v>4118.8</v>
      </c>
      <c r="S2" s="1">
        <v>18419.7</v>
      </c>
      <c r="T2" s="1">
        <v>24.68</v>
      </c>
      <c r="U2" s="1">
        <v>0.05</v>
      </c>
      <c r="V2" s="1">
        <v>3990.7</v>
      </c>
      <c r="W2" s="1">
        <v>18291.599999999999</v>
      </c>
      <c r="X2" s="1">
        <v>600.04999999999995</v>
      </c>
      <c r="Y2" s="1">
        <v>600</v>
      </c>
      <c r="Z2" s="1">
        <v>107688.8</v>
      </c>
      <c r="AA2" s="1">
        <v>24.77</v>
      </c>
      <c r="AB2" s="1">
        <v>2000</v>
      </c>
    </row>
    <row r="3" spans="1:28" x14ac:dyDescent="0.4">
      <c r="A3" s="1" t="s">
        <v>16</v>
      </c>
      <c r="B3" s="1">
        <v>2000</v>
      </c>
      <c r="C3" s="1">
        <v>0.2</v>
      </c>
      <c r="D3" s="1">
        <v>0.5</v>
      </c>
      <c r="E3" s="1">
        <v>1000</v>
      </c>
      <c r="F3" s="1">
        <v>1</v>
      </c>
      <c r="G3" s="1">
        <v>2</v>
      </c>
      <c r="H3" s="1" t="s">
        <v>583</v>
      </c>
      <c r="I3" s="1">
        <v>146066.9</v>
      </c>
      <c r="J3" s="1">
        <v>58967.199999999997</v>
      </c>
      <c r="K3" s="1">
        <v>87099.7</v>
      </c>
      <c r="L3" s="1">
        <v>600</v>
      </c>
      <c r="M3" s="1">
        <v>600.01</v>
      </c>
      <c r="N3" s="1">
        <v>37771.599999999999</v>
      </c>
      <c r="O3" s="1">
        <v>54570.7</v>
      </c>
      <c r="P3" s="1">
        <v>92342.3</v>
      </c>
      <c r="Q3" s="1">
        <v>14266.1</v>
      </c>
      <c r="R3" s="1">
        <v>4011.8</v>
      </c>
      <c r="S3" s="1">
        <v>18277.900000000001</v>
      </c>
      <c r="T3" s="1">
        <v>24.27</v>
      </c>
      <c r="U3" s="1">
        <v>0.06</v>
      </c>
      <c r="V3" s="1">
        <v>3910</v>
      </c>
      <c r="W3" s="1">
        <v>18176.099999999999</v>
      </c>
      <c r="X3" s="1">
        <v>600.07000000000005</v>
      </c>
      <c r="Y3" s="1">
        <v>600</v>
      </c>
      <c r="Z3" s="1">
        <v>110518.39999999999</v>
      </c>
      <c r="AA3" s="1">
        <v>24.34</v>
      </c>
      <c r="AB3" s="1">
        <v>2000</v>
      </c>
    </row>
    <row r="4" spans="1:28" x14ac:dyDescent="0.4">
      <c r="A4" s="1" t="s">
        <v>17</v>
      </c>
      <c r="B4" s="1">
        <v>2000</v>
      </c>
      <c r="C4" s="1">
        <v>0.2</v>
      </c>
      <c r="D4" s="1">
        <v>0.5</v>
      </c>
      <c r="E4" s="1">
        <v>1000</v>
      </c>
      <c r="F4" s="1">
        <v>1</v>
      </c>
      <c r="G4" s="1">
        <v>3</v>
      </c>
      <c r="H4" s="1" t="s">
        <v>583</v>
      </c>
      <c r="I4" s="1">
        <v>149207.6</v>
      </c>
      <c r="J4" s="1">
        <v>59172.800000000003</v>
      </c>
      <c r="K4" s="1">
        <v>90034.8</v>
      </c>
      <c r="L4" s="1">
        <v>600</v>
      </c>
      <c r="M4" s="1">
        <v>600.01</v>
      </c>
      <c r="N4" s="1">
        <v>36838.6</v>
      </c>
      <c r="O4" s="1">
        <v>55284.5</v>
      </c>
      <c r="P4" s="1">
        <v>92123.1</v>
      </c>
      <c r="Q4" s="1">
        <v>14327.3</v>
      </c>
      <c r="R4" s="1">
        <v>3832.5</v>
      </c>
      <c r="S4" s="1">
        <v>18159.8</v>
      </c>
      <c r="T4" s="1">
        <v>26.09</v>
      </c>
      <c r="U4" s="1">
        <v>0.06</v>
      </c>
      <c r="V4" s="1">
        <v>3802.3</v>
      </c>
      <c r="W4" s="1">
        <v>18129.599999999999</v>
      </c>
      <c r="X4" s="1">
        <v>600.07000000000005</v>
      </c>
      <c r="Y4" s="1">
        <v>600</v>
      </c>
      <c r="Z4" s="1">
        <v>110252.7</v>
      </c>
      <c r="AA4" s="1">
        <v>26.11</v>
      </c>
      <c r="AB4" s="1">
        <v>2000</v>
      </c>
    </row>
    <row r="5" spans="1:28" x14ac:dyDescent="0.4">
      <c r="A5" s="1" t="s">
        <v>18</v>
      </c>
      <c r="B5" s="1">
        <v>2000</v>
      </c>
      <c r="C5" s="1">
        <v>0.2</v>
      </c>
      <c r="D5" s="1">
        <v>0.5</v>
      </c>
      <c r="E5" s="1">
        <v>1000</v>
      </c>
      <c r="F5" s="1">
        <v>1</v>
      </c>
      <c r="G5" s="1">
        <v>4</v>
      </c>
      <c r="H5" s="1" t="s">
        <v>583</v>
      </c>
      <c r="I5" s="1">
        <v>153789.20000000001</v>
      </c>
      <c r="J5" s="1">
        <v>63196.800000000003</v>
      </c>
      <c r="K5" s="1">
        <v>90592.4</v>
      </c>
      <c r="L5" s="1">
        <v>600</v>
      </c>
      <c r="M5" s="1">
        <v>600</v>
      </c>
      <c r="N5" s="1">
        <v>38402.400000000001</v>
      </c>
      <c r="O5" s="1">
        <v>54923.9</v>
      </c>
      <c r="P5" s="1">
        <v>93326.3</v>
      </c>
      <c r="Q5" s="1">
        <v>14732.7</v>
      </c>
      <c r="R5" s="1">
        <v>4026.2</v>
      </c>
      <c r="S5" s="1">
        <v>18758.900000000001</v>
      </c>
      <c r="T5" s="1">
        <v>27.12</v>
      </c>
      <c r="U5" s="1">
        <v>0.06</v>
      </c>
      <c r="V5" s="1">
        <v>3964.8</v>
      </c>
      <c r="W5" s="1">
        <v>18697.5</v>
      </c>
      <c r="X5" s="1">
        <v>600.05999999999995</v>
      </c>
      <c r="Y5" s="1">
        <v>600</v>
      </c>
      <c r="Z5" s="1">
        <v>112023.8</v>
      </c>
      <c r="AA5" s="1">
        <v>27.16</v>
      </c>
      <c r="AB5" s="1">
        <v>2000</v>
      </c>
    </row>
    <row r="6" spans="1:28" x14ac:dyDescent="0.4">
      <c r="A6" s="1" t="s">
        <v>19</v>
      </c>
      <c r="B6" s="1">
        <v>2000</v>
      </c>
      <c r="C6" s="1">
        <v>0.2</v>
      </c>
      <c r="D6" s="1">
        <v>0.5</v>
      </c>
      <c r="E6" s="1">
        <v>1000</v>
      </c>
      <c r="F6" s="1">
        <v>1</v>
      </c>
      <c r="G6" s="1">
        <v>5</v>
      </c>
      <c r="H6" s="1" t="s">
        <v>583</v>
      </c>
      <c r="I6" s="1">
        <v>148706.20000000001</v>
      </c>
      <c r="J6" s="1">
        <v>59702</v>
      </c>
      <c r="K6" s="1">
        <v>89004.2</v>
      </c>
      <c r="L6" s="1">
        <v>600</v>
      </c>
      <c r="M6" s="1">
        <v>600.01</v>
      </c>
      <c r="N6" s="1">
        <v>36629.699999999997</v>
      </c>
      <c r="O6" s="1">
        <v>56158.5</v>
      </c>
      <c r="P6" s="1">
        <v>92788.2</v>
      </c>
      <c r="Q6" s="1">
        <v>14458.9</v>
      </c>
      <c r="R6" s="1">
        <v>4013.3</v>
      </c>
      <c r="S6" s="1">
        <v>18472.2</v>
      </c>
      <c r="T6" s="1">
        <v>25.18</v>
      </c>
      <c r="U6" s="1">
        <v>0.04</v>
      </c>
      <c r="V6" s="1">
        <v>3971.7</v>
      </c>
      <c r="W6" s="1">
        <v>18430.599999999999</v>
      </c>
      <c r="X6" s="1">
        <v>600.04999999999995</v>
      </c>
      <c r="Y6" s="1">
        <v>600</v>
      </c>
      <c r="Z6" s="1">
        <v>111218.8</v>
      </c>
      <c r="AA6" s="1">
        <v>25.21</v>
      </c>
      <c r="AB6" s="1">
        <v>2000</v>
      </c>
    </row>
    <row r="7" spans="1:28" x14ac:dyDescent="0.4">
      <c r="A7" s="1" t="s">
        <v>20</v>
      </c>
      <c r="B7" s="1">
        <v>2000</v>
      </c>
      <c r="C7" s="1">
        <v>0.2</v>
      </c>
      <c r="D7" s="1">
        <v>0.5</v>
      </c>
      <c r="E7" s="1">
        <v>1000</v>
      </c>
      <c r="F7" s="1">
        <v>2</v>
      </c>
      <c r="G7" s="1">
        <v>1</v>
      </c>
      <c r="H7" s="1" t="s">
        <v>583</v>
      </c>
      <c r="I7" s="1">
        <v>224341</v>
      </c>
      <c r="J7" s="1">
        <v>90336.7</v>
      </c>
      <c r="K7" s="1">
        <v>134004.29999999999</v>
      </c>
      <c r="L7" s="1">
        <v>600</v>
      </c>
      <c r="M7" s="1">
        <v>600</v>
      </c>
      <c r="N7" s="1">
        <v>59825.599999999999</v>
      </c>
      <c r="O7" s="1">
        <v>89225.7</v>
      </c>
      <c r="P7" s="1">
        <v>149051.29999999999</v>
      </c>
      <c r="Q7" s="1">
        <v>13786</v>
      </c>
      <c r="R7" s="1">
        <v>3723.7</v>
      </c>
      <c r="S7" s="1">
        <v>17509.7</v>
      </c>
      <c r="T7" s="1">
        <v>25.76</v>
      </c>
      <c r="U7" s="1">
        <v>7.0000000000000007E-2</v>
      </c>
      <c r="V7" s="1">
        <v>3635.9</v>
      </c>
      <c r="W7" s="1">
        <v>17421.900000000001</v>
      </c>
      <c r="X7" s="1">
        <v>600.07000000000005</v>
      </c>
      <c r="Y7" s="1">
        <v>600</v>
      </c>
      <c r="Z7" s="1">
        <v>166473.20000000001</v>
      </c>
      <c r="AA7" s="1">
        <v>25.79</v>
      </c>
      <c r="AB7" s="1">
        <v>2000</v>
      </c>
    </row>
    <row r="8" spans="1:28" x14ac:dyDescent="0.4">
      <c r="A8" s="1" t="s">
        <v>21</v>
      </c>
      <c r="B8" s="1">
        <v>2000</v>
      </c>
      <c r="C8" s="1">
        <v>0.2</v>
      </c>
      <c r="D8" s="1">
        <v>0.5</v>
      </c>
      <c r="E8" s="1">
        <v>1000</v>
      </c>
      <c r="F8" s="1">
        <v>2</v>
      </c>
      <c r="G8" s="1">
        <v>2</v>
      </c>
      <c r="H8" s="1" t="s">
        <v>583</v>
      </c>
      <c r="I8" s="1">
        <v>220474.4</v>
      </c>
      <c r="J8" s="1">
        <v>85625.4</v>
      </c>
      <c r="K8" s="1">
        <v>134849</v>
      </c>
      <c r="L8" s="1">
        <v>600</v>
      </c>
      <c r="M8" s="1">
        <v>600.01</v>
      </c>
      <c r="N8" s="1">
        <v>55973.3</v>
      </c>
      <c r="O8" s="1">
        <v>88522.5</v>
      </c>
      <c r="P8" s="1">
        <v>144495.79999999999</v>
      </c>
      <c r="Q8" s="1">
        <v>13496</v>
      </c>
      <c r="R8" s="1">
        <v>3531.8</v>
      </c>
      <c r="S8" s="1">
        <v>17027.8</v>
      </c>
      <c r="T8" s="1">
        <v>26.74</v>
      </c>
      <c r="U8" s="1">
        <v>0.08</v>
      </c>
      <c r="V8" s="1">
        <v>3388.9</v>
      </c>
      <c r="W8" s="1">
        <v>16884.900000000001</v>
      </c>
      <c r="X8" s="1">
        <v>600.08000000000004</v>
      </c>
      <c r="Y8" s="1">
        <v>600</v>
      </c>
      <c r="Z8" s="1">
        <v>161380.70000000001</v>
      </c>
      <c r="AA8" s="1">
        <v>26.8</v>
      </c>
      <c r="AB8" s="1">
        <v>2000</v>
      </c>
    </row>
    <row r="9" spans="1:28" x14ac:dyDescent="0.4">
      <c r="A9" s="1" t="s">
        <v>22</v>
      </c>
      <c r="B9" s="1">
        <v>2000</v>
      </c>
      <c r="C9" s="1">
        <v>0.2</v>
      </c>
      <c r="D9" s="1">
        <v>0.5</v>
      </c>
      <c r="E9" s="1">
        <v>1000</v>
      </c>
      <c r="F9" s="1">
        <v>2</v>
      </c>
      <c r="G9" s="1">
        <v>3</v>
      </c>
      <c r="H9" s="1" t="s">
        <v>583</v>
      </c>
      <c r="I9" s="1">
        <v>220428.7</v>
      </c>
      <c r="J9" s="1">
        <v>86108.800000000003</v>
      </c>
      <c r="K9" s="1">
        <v>134319.9</v>
      </c>
      <c r="L9" s="1">
        <v>600</v>
      </c>
      <c r="M9" s="1">
        <v>600.01</v>
      </c>
      <c r="N9" s="1">
        <v>57094.400000000001</v>
      </c>
      <c r="O9" s="1">
        <v>90284.3</v>
      </c>
      <c r="P9" s="1">
        <v>147378.70000000001</v>
      </c>
      <c r="Q9" s="1">
        <v>13176.1</v>
      </c>
      <c r="R9" s="1">
        <v>3795.8</v>
      </c>
      <c r="S9" s="1">
        <v>16971.900000000001</v>
      </c>
      <c r="T9" s="1">
        <v>25.44</v>
      </c>
      <c r="U9" s="1">
        <v>7.0000000000000007E-2</v>
      </c>
      <c r="V9" s="1">
        <v>3651</v>
      </c>
      <c r="W9" s="1">
        <v>16827.099999999999</v>
      </c>
      <c r="X9" s="1">
        <v>600.08000000000004</v>
      </c>
      <c r="Y9" s="1">
        <v>600</v>
      </c>
      <c r="Z9" s="1">
        <v>164205.79999999999</v>
      </c>
      <c r="AA9" s="1">
        <v>25.51</v>
      </c>
      <c r="AB9" s="1">
        <v>2000</v>
      </c>
    </row>
    <row r="10" spans="1:28" x14ac:dyDescent="0.4">
      <c r="A10" s="1" t="s">
        <v>23</v>
      </c>
      <c r="B10" s="1">
        <v>2000</v>
      </c>
      <c r="C10" s="1">
        <v>0.2</v>
      </c>
      <c r="D10" s="1">
        <v>0.5</v>
      </c>
      <c r="E10" s="1">
        <v>1000</v>
      </c>
      <c r="F10" s="1">
        <v>2</v>
      </c>
      <c r="G10" s="1">
        <v>4</v>
      </c>
      <c r="H10" s="1" t="s">
        <v>583</v>
      </c>
      <c r="I10" s="1">
        <v>210055.4</v>
      </c>
      <c r="J10" s="1">
        <v>82377.100000000006</v>
      </c>
      <c r="K10" s="1">
        <v>127678.3</v>
      </c>
      <c r="L10" s="1">
        <v>600</v>
      </c>
      <c r="M10" s="1">
        <v>600</v>
      </c>
      <c r="N10" s="1">
        <v>55056.1</v>
      </c>
      <c r="O10" s="1">
        <v>85413.8</v>
      </c>
      <c r="P10" s="1">
        <v>140469.9</v>
      </c>
      <c r="Q10" s="1">
        <v>13697.3</v>
      </c>
      <c r="R10" s="1">
        <v>3743.3</v>
      </c>
      <c r="S10" s="1">
        <v>17440.599999999999</v>
      </c>
      <c r="T10" s="1">
        <v>24.82</v>
      </c>
      <c r="U10" s="1">
        <v>0.08</v>
      </c>
      <c r="V10" s="1">
        <v>3563.2</v>
      </c>
      <c r="W10" s="1">
        <v>17260.5</v>
      </c>
      <c r="X10" s="1">
        <v>600.08000000000004</v>
      </c>
      <c r="Y10" s="1">
        <v>600</v>
      </c>
      <c r="Z10" s="1">
        <v>157730.4</v>
      </c>
      <c r="AA10" s="1">
        <v>24.91</v>
      </c>
      <c r="AB10" s="1">
        <v>2000</v>
      </c>
    </row>
    <row r="11" spans="1:28" x14ac:dyDescent="0.4">
      <c r="A11" s="1" t="s">
        <v>24</v>
      </c>
      <c r="B11" s="1">
        <v>2000</v>
      </c>
      <c r="C11" s="1">
        <v>0.2</v>
      </c>
      <c r="D11" s="1">
        <v>0.5</v>
      </c>
      <c r="E11" s="1">
        <v>1000</v>
      </c>
      <c r="F11" s="1">
        <v>2</v>
      </c>
      <c r="G11" s="1">
        <v>5</v>
      </c>
      <c r="H11" s="1" t="s">
        <v>583</v>
      </c>
      <c r="I11" s="1">
        <v>223013.3</v>
      </c>
      <c r="J11" s="1">
        <v>88414.3</v>
      </c>
      <c r="K11" s="1">
        <v>134599</v>
      </c>
      <c r="L11" s="1">
        <v>600</v>
      </c>
      <c r="M11" s="1">
        <v>600</v>
      </c>
      <c r="N11" s="1">
        <v>59154.400000000001</v>
      </c>
      <c r="O11" s="1">
        <v>89690</v>
      </c>
      <c r="P11" s="1">
        <v>148844.4</v>
      </c>
      <c r="Q11" s="1">
        <v>13597.5</v>
      </c>
      <c r="R11" s="1">
        <v>3751.1</v>
      </c>
      <c r="S11" s="1">
        <v>17348.599999999999</v>
      </c>
      <c r="T11" s="1">
        <v>25.48</v>
      </c>
      <c r="U11" s="1">
        <v>7.0000000000000007E-2</v>
      </c>
      <c r="V11" s="1">
        <v>3561.7</v>
      </c>
      <c r="W11" s="1">
        <v>17159.2</v>
      </c>
      <c r="X11" s="1">
        <v>600.08000000000004</v>
      </c>
      <c r="Y11" s="1">
        <v>600</v>
      </c>
      <c r="Z11" s="1">
        <v>166003.6</v>
      </c>
      <c r="AA11" s="1">
        <v>25.56</v>
      </c>
      <c r="AB11" s="1">
        <v>2000</v>
      </c>
    </row>
    <row r="12" spans="1:28" x14ac:dyDescent="0.4">
      <c r="A12" s="1" t="s">
        <v>25</v>
      </c>
      <c r="B12" s="1">
        <v>2000</v>
      </c>
      <c r="C12" s="1">
        <v>0.2</v>
      </c>
      <c r="D12" s="1">
        <v>0.5</v>
      </c>
      <c r="E12" s="1">
        <v>1000</v>
      </c>
      <c r="F12" s="1">
        <v>3</v>
      </c>
      <c r="G12" s="1">
        <v>1</v>
      </c>
      <c r="H12" s="1" t="s">
        <v>583</v>
      </c>
      <c r="I12" s="1">
        <v>283040.5</v>
      </c>
      <c r="J12" s="1">
        <v>115997.2</v>
      </c>
      <c r="K12" s="1">
        <v>167043.29999999999</v>
      </c>
      <c r="L12" s="1">
        <v>600</v>
      </c>
      <c r="M12" s="1">
        <v>600.01</v>
      </c>
      <c r="N12" s="1">
        <v>78916.800000000003</v>
      </c>
      <c r="O12" s="1">
        <v>117962.3</v>
      </c>
      <c r="P12" s="1">
        <v>196879.1</v>
      </c>
      <c r="Q12" s="1">
        <v>13031.2</v>
      </c>
      <c r="R12" s="1">
        <v>3337.6</v>
      </c>
      <c r="S12" s="1">
        <v>16368.8</v>
      </c>
      <c r="T12" s="1">
        <v>24.66</v>
      </c>
      <c r="U12" s="1">
        <v>0.1</v>
      </c>
      <c r="V12" s="1">
        <v>3183.5</v>
      </c>
      <c r="W12" s="1">
        <v>16214.7</v>
      </c>
      <c r="X12" s="1">
        <v>600.11</v>
      </c>
      <c r="Y12" s="1">
        <v>600</v>
      </c>
      <c r="Z12" s="1">
        <v>213093.8</v>
      </c>
      <c r="AA12" s="1">
        <v>24.71</v>
      </c>
      <c r="AB12" s="1">
        <v>2000</v>
      </c>
    </row>
    <row r="13" spans="1:28" x14ac:dyDescent="0.4">
      <c r="A13" s="1" t="s">
        <v>26</v>
      </c>
      <c r="B13" s="1">
        <v>2000</v>
      </c>
      <c r="C13" s="1">
        <v>0.2</v>
      </c>
      <c r="D13" s="1">
        <v>0.5</v>
      </c>
      <c r="E13" s="1">
        <v>1000</v>
      </c>
      <c r="F13" s="1">
        <v>3</v>
      </c>
      <c r="G13" s="1">
        <v>2</v>
      </c>
      <c r="H13" s="1" t="s">
        <v>583</v>
      </c>
      <c r="I13" s="1">
        <v>287067.8</v>
      </c>
      <c r="J13" s="1">
        <v>115740.2</v>
      </c>
      <c r="K13" s="1">
        <v>171327.6</v>
      </c>
      <c r="L13" s="1">
        <v>600</v>
      </c>
      <c r="M13" s="1">
        <v>600.01</v>
      </c>
      <c r="N13" s="1">
        <v>78899.399999999994</v>
      </c>
      <c r="O13" s="1">
        <v>117883.4</v>
      </c>
      <c r="P13" s="1">
        <v>196782.8</v>
      </c>
      <c r="Q13" s="1">
        <v>13203.9</v>
      </c>
      <c r="R13" s="1">
        <v>3458.2</v>
      </c>
      <c r="S13" s="1">
        <v>16662.099999999999</v>
      </c>
      <c r="T13" s="1">
        <v>25.65</v>
      </c>
      <c r="U13" s="1">
        <v>7.0000000000000007E-2</v>
      </c>
      <c r="V13" s="1">
        <v>3194</v>
      </c>
      <c r="W13" s="1">
        <v>16397.900000000001</v>
      </c>
      <c r="X13" s="1">
        <v>600.09</v>
      </c>
      <c r="Y13" s="1">
        <v>600</v>
      </c>
      <c r="Z13" s="1">
        <v>213180.7</v>
      </c>
      <c r="AA13" s="1">
        <v>25.74</v>
      </c>
      <c r="AB13" s="1">
        <v>2000</v>
      </c>
    </row>
    <row r="14" spans="1:28" x14ac:dyDescent="0.4">
      <c r="A14" s="1" t="s">
        <v>27</v>
      </c>
      <c r="B14" s="1">
        <v>2000</v>
      </c>
      <c r="C14" s="1">
        <v>0.2</v>
      </c>
      <c r="D14" s="1">
        <v>0.5</v>
      </c>
      <c r="E14" s="1">
        <v>1000</v>
      </c>
      <c r="F14" s="1">
        <v>3</v>
      </c>
      <c r="G14" s="1">
        <v>3</v>
      </c>
      <c r="H14" s="1" t="s">
        <v>583</v>
      </c>
      <c r="I14" s="1">
        <v>275704.5</v>
      </c>
      <c r="J14" s="1">
        <v>112434.7</v>
      </c>
      <c r="K14" s="1">
        <v>163269.79999999999</v>
      </c>
      <c r="L14" s="1">
        <v>600</v>
      </c>
      <c r="M14" s="1">
        <v>600.01</v>
      </c>
      <c r="N14" s="1">
        <v>75368.899999999994</v>
      </c>
      <c r="O14" s="1">
        <v>114043.6</v>
      </c>
      <c r="P14" s="1">
        <v>189412.5</v>
      </c>
      <c r="Q14" s="1">
        <v>13285.1</v>
      </c>
      <c r="R14" s="1">
        <v>3639.8</v>
      </c>
      <c r="S14" s="1">
        <v>16924.900000000001</v>
      </c>
      <c r="T14" s="1">
        <v>25.16</v>
      </c>
      <c r="U14" s="1">
        <v>7.0000000000000007E-2</v>
      </c>
      <c r="V14" s="1">
        <v>3390.8</v>
      </c>
      <c r="W14" s="1">
        <v>16675.900000000001</v>
      </c>
      <c r="X14" s="1">
        <v>600.08000000000004</v>
      </c>
      <c r="Y14" s="1">
        <v>600</v>
      </c>
      <c r="Z14" s="1">
        <v>206088.4</v>
      </c>
      <c r="AA14" s="1">
        <v>25.25</v>
      </c>
      <c r="AB14" s="1">
        <v>2000</v>
      </c>
    </row>
    <row r="15" spans="1:28" x14ac:dyDescent="0.4">
      <c r="A15" s="1" t="s">
        <v>28</v>
      </c>
      <c r="B15" s="1">
        <v>2000</v>
      </c>
      <c r="C15" s="1">
        <v>0.2</v>
      </c>
      <c r="D15" s="1">
        <v>0.5</v>
      </c>
      <c r="E15" s="1">
        <v>1000</v>
      </c>
      <c r="F15" s="1">
        <v>3</v>
      </c>
      <c r="G15" s="1">
        <v>4</v>
      </c>
      <c r="H15" s="1" t="s">
        <v>583</v>
      </c>
      <c r="I15" s="1">
        <v>282330.5</v>
      </c>
      <c r="J15" s="1">
        <v>110718.7</v>
      </c>
      <c r="K15" s="1">
        <v>171611.8</v>
      </c>
      <c r="L15" s="1">
        <v>600</v>
      </c>
      <c r="M15" s="1">
        <v>600.01</v>
      </c>
      <c r="N15" s="1">
        <v>74794.7</v>
      </c>
      <c r="O15" s="1">
        <v>119697.5</v>
      </c>
      <c r="P15" s="1">
        <v>194492.2</v>
      </c>
      <c r="Q15" s="1">
        <v>12953.4</v>
      </c>
      <c r="R15" s="1">
        <v>3575</v>
      </c>
      <c r="S15" s="1">
        <v>16528.400000000001</v>
      </c>
      <c r="T15" s="1">
        <v>25.26</v>
      </c>
      <c r="U15" s="1">
        <v>0.1</v>
      </c>
      <c r="V15" s="1">
        <v>3403.4</v>
      </c>
      <c r="W15" s="1">
        <v>16356.8</v>
      </c>
      <c r="X15" s="1">
        <v>600.11</v>
      </c>
      <c r="Y15" s="1">
        <v>600</v>
      </c>
      <c r="Z15" s="1">
        <v>210849</v>
      </c>
      <c r="AA15" s="1">
        <v>25.32</v>
      </c>
      <c r="AB15" s="1">
        <v>2000</v>
      </c>
    </row>
    <row r="16" spans="1:28" x14ac:dyDescent="0.4">
      <c r="A16" s="1" t="s">
        <v>29</v>
      </c>
      <c r="B16" s="1">
        <v>2000</v>
      </c>
      <c r="C16" s="1">
        <v>0.2</v>
      </c>
      <c r="D16" s="1">
        <v>0.5</v>
      </c>
      <c r="E16" s="1">
        <v>1000</v>
      </c>
      <c r="F16" s="1">
        <v>3</v>
      </c>
      <c r="G16" s="1">
        <v>5</v>
      </c>
      <c r="H16" s="1" t="s">
        <v>583</v>
      </c>
      <c r="I16" s="1">
        <v>283217.40000000002</v>
      </c>
      <c r="J16" s="1">
        <v>112913.8</v>
      </c>
      <c r="K16" s="1">
        <v>170303.6</v>
      </c>
      <c r="L16" s="1">
        <v>600</v>
      </c>
      <c r="M16" s="1">
        <v>600.01</v>
      </c>
      <c r="N16" s="1">
        <v>75583.5</v>
      </c>
      <c r="O16" s="1">
        <v>116803.9</v>
      </c>
      <c r="P16" s="1">
        <v>192387.4</v>
      </c>
      <c r="Q16" s="1">
        <v>12950.1</v>
      </c>
      <c r="R16" s="1">
        <v>3390.1</v>
      </c>
      <c r="S16" s="1">
        <v>16340.2</v>
      </c>
      <c r="T16" s="1">
        <v>26.3</v>
      </c>
      <c r="U16" s="1">
        <v>0.09</v>
      </c>
      <c r="V16" s="1">
        <v>3230.2</v>
      </c>
      <c r="W16" s="1">
        <v>16180.3</v>
      </c>
      <c r="X16" s="1">
        <v>600.1</v>
      </c>
      <c r="Y16" s="1">
        <v>600</v>
      </c>
      <c r="Z16" s="1">
        <v>208567.7</v>
      </c>
      <c r="AA16" s="1">
        <v>26.36</v>
      </c>
      <c r="AB16" s="1">
        <v>2000</v>
      </c>
    </row>
    <row r="17" spans="1:28" x14ac:dyDescent="0.4">
      <c r="A17" s="1" t="s">
        <v>287</v>
      </c>
      <c r="B17" s="1">
        <v>2000</v>
      </c>
      <c r="C17" s="1">
        <v>0.2</v>
      </c>
      <c r="D17" s="1">
        <v>0.5</v>
      </c>
      <c r="E17" s="1">
        <v>2000</v>
      </c>
      <c r="F17" s="1">
        <v>1</v>
      </c>
      <c r="G17" s="1">
        <v>1</v>
      </c>
      <c r="H17" s="1" t="s">
        <v>583</v>
      </c>
      <c r="I17" s="1">
        <v>294766.8</v>
      </c>
      <c r="J17" s="1">
        <v>117148.4</v>
      </c>
      <c r="K17" s="1">
        <v>177618.4</v>
      </c>
      <c r="L17" s="1">
        <v>600</v>
      </c>
      <c r="M17" s="1">
        <v>600.01</v>
      </c>
      <c r="N17" s="1">
        <v>78774</v>
      </c>
      <c r="O17" s="1">
        <v>118472.2</v>
      </c>
      <c r="P17" s="1">
        <v>197246.2</v>
      </c>
      <c r="Q17" s="1">
        <v>14497.8</v>
      </c>
      <c r="R17" s="1">
        <v>4530.6000000000004</v>
      </c>
      <c r="S17" s="1">
        <v>19028.400000000001</v>
      </c>
      <c r="T17" s="1">
        <v>26.63</v>
      </c>
      <c r="U17" s="1">
        <v>0.06</v>
      </c>
      <c r="V17" s="1">
        <v>4403</v>
      </c>
      <c r="W17" s="1">
        <v>18900.8</v>
      </c>
      <c r="X17" s="1">
        <v>600.07000000000005</v>
      </c>
      <c r="Y17" s="1">
        <v>600</v>
      </c>
      <c r="Z17" s="1">
        <v>216147</v>
      </c>
      <c r="AA17" s="1">
        <v>26.67</v>
      </c>
      <c r="AB17" s="1">
        <v>2000</v>
      </c>
    </row>
    <row r="18" spans="1:28" x14ac:dyDescent="0.4">
      <c r="A18" s="1" t="s">
        <v>288</v>
      </c>
      <c r="B18" s="1">
        <v>2000</v>
      </c>
      <c r="C18" s="1">
        <v>0.2</v>
      </c>
      <c r="D18" s="1">
        <v>0.5</v>
      </c>
      <c r="E18" s="1">
        <v>2000</v>
      </c>
      <c r="F18" s="1">
        <v>1</v>
      </c>
      <c r="G18" s="1">
        <v>2</v>
      </c>
      <c r="H18" s="1" t="s">
        <v>583</v>
      </c>
      <c r="I18" s="1">
        <v>298715.5</v>
      </c>
      <c r="J18" s="1">
        <v>118446.39999999999</v>
      </c>
      <c r="K18" s="1">
        <v>180269.1</v>
      </c>
      <c r="L18" s="1">
        <v>600</v>
      </c>
      <c r="M18" s="1">
        <v>600</v>
      </c>
      <c r="N18" s="1">
        <v>78295.100000000006</v>
      </c>
      <c r="O18" s="1">
        <v>118162.5</v>
      </c>
      <c r="P18" s="1">
        <v>196457.60000000001</v>
      </c>
      <c r="Q18" s="1">
        <v>14768.6</v>
      </c>
      <c r="R18" s="1">
        <v>4541.8999999999996</v>
      </c>
      <c r="S18" s="1">
        <v>19310.5</v>
      </c>
      <c r="T18" s="1">
        <v>27.77</v>
      </c>
      <c r="U18" s="1">
        <v>7.0000000000000007E-2</v>
      </c>
      <c r="V18" s="1">
        <v>4415.7</v>
      </c>
      <c r="W18" s="1">
        <v>19184.3</v>
      </c>
      <c r="X18" s="1">
        <v>600.07000000000005</v>
      </c>
      <c r="Y18" s="1">
        <v>600</v>
      </c>
      <c r="Z18" s="1">
        <v>215641.9</v>
      </c>
      <c r="AA18" s="1">
        <v>27.81</v>
      </c>
      <c r="AB18" s="1">
        <v>2000</v>
      </c>
    </row>
    <row r="19" spans="1:28" x14ac:dyDescent="0.4">
      <c r="A19" s="1" t="s">
        <v>289</v>
      </c>
      <c r="B19" s="1">
        <v>2000</v>
      </c>
      <c r="C19" s="1">
        <v>0.2</v>
      </c>
      <c r="D19" s="1">
        <v>0.5</v>
      </c>
      <c r="E19" s="1">
        <v>2000</v>
      </c>
      <c r="F19" s="1">
        <v>1</v>
      </c>
      <c r="G19" s="1">
        <v>3</v>
      </c>
      <c r="H19" s="1" t="s">
        <v>583</v>
      </c>
      <c r="I19" s="1">
        <v>291372.59999999998</v>
      </c>
      <c r="J19" s="1">
        <v>115923.7</v>
      </c>
      <c r="K19" s="1">
        <v>175448.9</v>
      </c>
      <c r="L19" s="1">
        <v>600</v>
      </c>
      <c r="M19" s="1">
        <v>600.01</v>
      </c>
      <c r="N19" s="1">
        <v>77797.399999999994</v>
      </c>
      <c r="O19" s="1">
        <v>118615.1</v>
      </c>
      <c r="P19" s="1">
        <v>196412.5</v>
      </c>
      <c r="Q19" s="1">
        <v>14333.9</v>
      </c>
      <c r="R19" s="1">
        <v>4653.6000000000004</v>
      </c>
      <c r="S19" s="1">
        <v>18987.5</v>
      </c>
      <c r="T19" s="1">
        <v>26.07</v>
      </c>
      <c r="U19" s="1">
        <v>0.06</v>
      </c>
      <c r="V19" s="1">
        <v>4576.3</v>
      </c>
      <c r="W19" s="1">
        <v>18910.2</v>
      </c>
      <c r="X19" s="1">
        <v>600.07000000000005</v>
      </c>
      <c r="Y19" s="1">
        <v>600</v>
      </c>
      <c r="Z19" s="1">
        <v>215322.7</v>
      </c>
      <c r="AA19" s="1">
        <v>26.1</v>
      </c>
      <c r="AB19" s="1">
        <v>2000</v>
      </c>
    </row>
    <row r="20" spans="1:28" x14ac:dyDescent="0.4">
      <c r="A20" s="1" t="s">
        <v>290</v>
      </c>
      <c r="B20" s="1">
        <v>2000</v>
      </c>
      <c r="C20" s="1">
        <v>0.2</v>
      </c>
      <c r="D20" s="1">
        <v>0.5</v>
      </c>
      <c r="E20" s="1">
        <v>2000</v>
      </c>
      <c r="F20" s="1">
        <v>1</v>
      </c>
      <c r="G20" s="1">
        <v>4</v>
      </c>
      <c r="H20" s="1" t="s">
        <v>583</v>
      </c>
      <c r="I20" s="1">
        <v>294821.8</v>
      </c>
      <c r="J20" s="1">
        <v>116489.4</v>
      </c>
      <c r="K20" s="1">
        <v>178332.4</v>
      </c>
      <c r="L20" s="1">
        <v>600</v>
      </c>
      <c r="M20" s="1">
        <v>600.01</v>
      </c>
      <c r="N20" s="1">
        <v>79156</v>
      </c>
      <c r="O20" s="1">
        <v>121471.7</v>
      </c>
      <c r="P20" s="1">
        <v>200627.7</v>
      </c>
      <c r="Q20" s="1">
        <v>14498.4</v>
      </c>
      <c r="R20" s="1">
        <v>4659.3999999999996</v>
      </c>
      <c r="S20" s="1">
        <v>19157.8</v>
      </c>
      <c r="T20" s="1">
        <v>25.45</v>
      </c>
      <c r="U20" s="1">
        <v>0.08</v>
      </c>
      <c r="V20" s="1">
        <v>4577.8999999999996</v>
      </c>
      <c r="W20" s="1">
        <v>19076.3</v>
      </c>
      <c r="X20" s="1">
        <v>600.09</v>
      </c>
      <c r="Y20" s="1">
        <v>600</v>
      </c>
      <c r="Z20" s="1">
        <v>219704</v>
      </c>
      <c r="AA20" s="1">
        <v>25.48</v>
      </c>
      <c r="AB20" s="1">
        <v>2000</v>
      </c>
    </row>
    <row r="21" spans="1:28" x14ac:dyDescent="0.4">
      <c r="A21" s="1" t="s">
        <v>291</v>
      </c>
      <c r="B21" s="1">
        <v>2000</v>
      </c>
      <c r="C21" s="1">
        <v>0.2</v>
      </c>
      <c r="D21" s="1">
        <v>0.5</v>
      </c>
      <c r="E21" s="1">
        <v>2000</v>
      </c>
      <c r="F21" s="1">
        <v>1</v>
      </c>
      <c r="G21" s="1">
        <v>5</v>
      </c>
      <c r="H21" s="1" t="s">
        <v>583</v>
      </c>
      <c r="I21" s="1">
        <v>290639.59999999998</v>
      </c>
      <c r="J21" s="1">
        <v>114516.4</v>
      </c>
      <c r="K21" s="1">
        <v>176123.2</v>
      </c>
      <c r="L21" s="1">
        <v>600</v>
      </c>
      <c r="M21" s="1">
        <v>600.01</v>
      </c>
      <c r="N21" s="1">
        <v>76220.2</v>
      </c>
      <c r="O21" s="1">
        <v>118529.2</v>
      </c>
      <c r="P21" s="1">
        <v>194749.4</v>
      </c>
      <c r="Q21" s="1">
        <v>14423.1</v>
      </c>
      <c r="R21" s="1">
        <v>4410.2</v>
      </c>
      <c r="S21" s="1">
        <v>18833.3</v>
      </c>
      <c r="T21" s="1">
        <v>26.51</v>
      </c>
      <c r="U21" s="1">
        <v>7.0000000000000007E-2</v>
      </c>
      <c r="V21" s="1">
        <v>4369</v>
      </c>
      <c r="W21" s="1">
        <v>18792.099999999999</v>
      </c>
      <c r="X21" s="1">
        <v>600.08000000000004</v>
      </c>
      <c r="Y21" s="1">
        <v>600</v>
      </c>
      <c r="Z21" s="1">
        <v>213541.5</v>
      </c>
      <c r="AA21" s="1">
        <v>26.53</v>
      </c>
      <c r="AB21" s="1">
        <v>2000</v>
      </c>
    </row>
    <row r="22" spans="1:28" x14ac:dyDescent="0.4">
      <c r="A22" s="1" t="s">
        <v>292</v>
      </c>
      <c r="B22" s="1">
        <v>2000</v>
      </c>
      <c r="C22" s="1">
        <v>0.2</v>
      </c>
      <c r="D22" s="1">
        <v>0.5</v>
      </c>
      <c r="E22" s="1">
        <v>2000</v>
      </c>
      <c r="F22" s="1">
        <v>2</v>
      </c>
      <c r="G22" s="1">
        <v>1</v>
      </c>
      <c r="H22" s="1" t="s">
        <v>583</v>
      </c>
      <c r="I22" s="1">
        <v>429372.1</v>
      </c>
      <c r="J22" s="1">
        <v>169836.6</v>
      </c>
      <c r="K22" s="1">
        <v>259535.5</v>
      </c>
      <c r="L22" s="1">
        <v>600</v>
      </c>
      <c r="M22" s="1">
        <v>600.01</v>
      </c>
      <c r="N22" s="1">
        <v>120534.5</v>
      </c>
      <c r="O22" s="1">
        <v>183434.8</v>
      </c>
      <c r="P22" s="1">
        <v>303969.3</v>
      </c>
      <c r="Q22" s="1">
        <v>13454.5</v>
      </c>
      <c r="R22" s="1">
        <v>4248.8</v>
      </c>
      <c r="S22" s="1">
        <v>17703.3</v>
      </c>
      <c r="T22" s="1">
        <v>25.08</v>
      </c>
      <c r="U22" s="1">
        <v>0.09</v>
      </c>
      <c r="V22" s="1">
        <v>4094.9</v>
      </c>
      <c r="W22" s="1">
        <v>17549.400000000001</v>
      </c>
      <c r="X22" s="1">
        <v>600.1</v>
      </c>
      <c r="Y22" s="1">
        <v>600</v>
      </c>
      <c r="Z22" s="1">
        <v>321518.7</v>
      </c>
      <c r="AA22" s="1">
        <v>25.12</v>
      </c>
      <c r="AB22" s="1">
        <v>2000</v>
      </c>
    </row>
    <row r="23" spans="1:28" x14ac:dyDescent="0.4">
      <c r="A23" s="1" t="s">
        <v>293</v>
      </c>
      <c r="B23" s="1">
        <v>2000</v>
      </c>
      <c r="C23" s="1">
        <v>0.2</v>
      </c>
      <c r="D23" s="1">
        <v>0.5</v>
      </c>
      <c r="E23" s="1">
        <v>2000</v>
      </c>
      <c r="F23" s="1">
        <v>2</v>
      </c>
      <c r="G23" s="1">
        <v>2</v>
      </c>
      <c r="H23" s="1" t="s">
        <v>583</v>
      </c>
      <c r="I23" s="1">
        <v>449279.9</v>
      </c>
      <c r="J23" s="1">
        <v>176283.8</v>
      </c>
      <c r="K23" s="1">
        <v>272996.09999999998</v>
      </c>
      <c r="L23" s="1">
        <v>600</v>
      </c>
      <c r="M23" s="1">
        <v>600.02</v>
      </c>
      <c r="N23" s="1">
        <v>120139.8</v>
      </c>
      <c r="O23" s="1">
        <v>188884.8</v>
      </c>
      <c r="P23" s="1">
        <v>309024.59999999998</v>
      </c>
      <c r="Q23" s="1">
        <v>13835.7</v>
      </c>
      <c r="R23" s="1">
        <v>4547.3999999999996</v>
      </c>
      <c r="S23" s="1">
        <v>18383.099999999999</v>
      </c>
      <c r="T23" s="1">
        <v>27.13</v>
      </c>
      <c r="U23" s="1">
        <v>7.0000000000000007E-2</v>
      </c>
      <c r="V23" s="1">
        <v>4494.8</v>
      </c>
      <c r="W23" s="1">
        <v>18330.5</v>
      </c>
      <c r="X23" s="1">
        <v>600.09</v>
      </c>
      <c r="Y23" s="1">
        <v>600</v>
      </c>
      <c r="Z23" s="1">
        <v>327355.09999999998</v>
      </c>
      <c r="AA23" s="1">
        <v>27.14</v>
      </c>
      <c r="AB23" s="1">
        <v>2000</v>
      </c>
    </row>
    <row r="24" spans="1:28" x14ac:dyDescent="0.4">
      <c r="A24" s="1" t="s">
        <v>294</v>
      </c>
      <c r="B24" s="1">
        <v>2000</v>
      </c>
      <c r="C24" s="1">
        <v>0.2</v>
      </c>
      <c r="D24" s="1">
        <v>0.5</v>
      </c>
      <c r="E24" s="1">
        <v>2000</v>
      </c>
      <c r="F24" s="1">
        <v>2</v>
      </c>
      <c r="G24" s="1">
        <v>3</v>
      </c>
      <c r="H24" s="1" t="s">
        <v>583</v>
      </c>
      <c r="I24" s="1">
        <v>434628.2</v>
      </c>
      <c r="J24" s="1">
        <v>169462.1</v>
      </c>
      <c r="K24" s="1">
        <v>265166.09999999998</v>
      </c>
      <c r="L24" s="1">
        <v>600</v>
      </c>
      <c r="M24" s="1">
        <v>600.01</v>
      </c>
      <c r="N24" s="1">
        <v>116438.2</v>
      </c>
      <c r="O24" s="1">
        <v>184990.8</v>
      </c>
      <c r="P24" s="1">
        <v>301429</v>
      </c>
      <c r="Q24" s="1">
        <v>13592.1</v>
      </c>
      <c r="R24" s="1">
        <v>4617.1000000000004</v>
      </c>
      <c r="S24" s="1">
        <v>18209.2</v>
      </c>
      <c r="T24" s="1">
        <v>26.46</v>
      </c>
      <c r="U24" s="1">
        <v>0.08</v>
      </c>
      <c r="V24" s="1">
        <v>4558.2</v>
      </c>
      <c r="W24" s="1">
        <v>18150.3</v>
      </c>
      <c r="X24" s="1">
        <v>600.09</v>
      </c>
      <c r="Y24" s="1">
        <v>600</v>
      </c>
      <c r="Z24" s="1">
        <v>319579.3</v>
      </c>
      <c r="AA24" s="1">
        <v>26.47</v>
      </c>
      <c r="AB24" s="1">
        <v>2000</v>
      </c>
    </row>
    <row r="25" spans="1:28" x14ac:dyDescent="0.4">
      <c r="A25" s="1" t="s">
        <v>295</v>
      </c>
      <c r="B25" s="1">
        <v>2000</v>
      </c>
      <c r="C25" s="1">
        <v>0.2</v>
      </c>
      <c r="D25" s="1">
        <v>0.5</v>
      </c>
      <c r="E25" s="1">
        <v>2000</v>
      </c>
      <c r="F25" s="1">
        <v>2</v>
      </c>
      <c r="G25" s="1">
        <v>4</v>
      </c>
      <c r="H25" s="1" t="s">
        <v>583</v>
      </c>
      <c r="I25" s="1">
        <v>434426.7</v>
      </c>
      <c r="J25" s="1">
        <v>171944.5</v>
      </c>
      <c r="K25" s="1">
        <v>262482.2</v>
      </c>
      <c r="L25" s="1">
        <v>600</v>
      </c>
      <c r="M25" s="1">
        <v>600.01</v>
      </c>
      <c r="N25" s="1">
        <v>118234.4</v>
      </c>
      <c r="O25" s="1">
        <v>184532.5</v>
      </c>
      <c r="P25" s="1">
        <v>302766.90000000002</v>
      </c>
      <c r="Q25" s="1">
        <v>13764.9</v>
      </c>
      <c r="R25" s="1">
        <v>5034.8999999999996</v>
      </c>
      <c r="S25" s="1">
        <v>18799.8</v>
      </c>
      <c r="T25" s="1">
        <v>25.98</v>
      </c>
      <c r="U25" s="1">
        <v>0.09</v>
      </c>
      <c r="V25" s="1">
        <v>4865.2</v>
      </c>
      <c r="W25" s="1">
        <v>18630.099999999999</v>
      </c>
      <c r="X25" s="1">
        <v>600.1</v>
      </c>
      <c r="Y25" s="1">
        <v>600</v>
      </c>
      <c r="Z25" s="1">
        <v>321397</v>
      </c>
      <c r="AA25" s="1">
        <v>26.02</v>
      </c>
      <c r="AB25" s="1">
        <v>2000</v>
      </c>
    </row>
    <row r="26" spans="1:28" x14ac:dyDescent="0.4">
      <c r="A26" s="1" t="s">
        <v>296</v>
      </c>
      <c r="B26" s="1">
        <v>2000</v>
      </c>
      <c r="C26" s="1">
        <v>0.2</v>
      </c>
      <c r="D26" s="1">
        <v>0.5</v>
      </c>
      <c r="E26" s="1">
        <v>2000</v>
      </c>
      <c r="F26" s="1">
        <v>2</v>
      </c>
      <c r="G26" s="1">
        <v>5</v>
      </c>
      <c r="H26" s="1" t="s">
        <v>583</v>
      </c>
      <c r="I26" s="1">
        <v>445237.3</v>
      </c>
      <c r="J26" s="1">
        <v>173515.2</v>
      </c>
      <c r="K26" s="1">
        <v>271722.09999999998</v>
      </c>
      <c r="L26" s="1">
        <v>600</v>
      </c>
      <c r="M26" s="1">
        <v>600.01</v>
      </c>
      <c r="N26" s="1">
        <v>120095.5</v>
      </c>
      <c r="O26" s="1">
        <v>189059</v>
      </c>
      <c r="P26" s="1">
        <v>309154.5</v>
      </c>
      <c r="Q26" s="1">
        <v>13764.4</v>
      </c>
      <c r="R26" s="1">
        <v>4592.6000000000004</v>
      </c>
      <c r="S26" s="1">
        <v>18357</v>
      </c>
      <c r="T26" s="1">
        <v>26.44</v>
      </c>
      <c r="U26" s="1">
        <v>0.09</v>
      </c>
      <c r="V26" s="1">
        <v>4411.7</v>
      </c>
      <c r="W26" s="1">
        <v>18176.099999999999</v>
      </c>
      <c r="X26" s="1">
        <v>600.1</v>
      </c>
      <c r="Y26" s="1">
        <v>600</v>
      </c>
      <c r="Z26" s="1">
        <v>327330.59999999998</v>
      </c>
      <c r="AA26" s="1">
        <v>26.48</v>
      </c>
      <c r="AB26" s="1">
        <v>2000</v>
      </c>
    </row>
    <row r="27" spans="1:28" x14ac:dyDescent="0.4">
      <c r="A27" s="1" t="s">
        <v>297</v>
      </c>
      <c r="B27" s="1">
        <v>2000</v>
      </c>
      <c r="C27" s="1">
        <v>0.2</v>
      </c>
      <c r="D27" s="1">
        <v>0.5</v>
      </c>
      <c r="E27" s="1">
        <v>2000</v>
      </c>
      <c r="F27" s="1">
        <v>3</v>
      </c>
      <c r="G27" s="1">
        <v>1</v>
      </c>
      <c r="H27" s="1" t="s">
        <v>583</v>
      </c>
      <c r="I27" s="1">
        <v>567589.1</v>
      </c>
      <c r="J27" s="1">
        <v>227659.9</v>
      </c>
      <c r="K27" s="1">
        <v>339929.2</v>
      </c>
      <c r="L27" s="1">
        <v>600</v>
      </c>
      <c r="M27" s="1">
        <v>600</v>
      </c>
      <c r="N27" s="1">
        <v>162893.29999999999</v>
      </c>
      <c r="O27" s="1">
        <v>246055.5</v>
      </c>
      <c r="P27" s="1">
        <v>408948.8</v>
      </c>
      <c r="Q27" s="1">
        <v>12766</v>
      </c>
      <c r="R27" s="1">
        <v>3652.2</v>
      </c>
      <c r="S27" s="1">
        <v>16418.2</v>
      </c>
      <c r="T27" s="1">
        <v>25.06</v>
      </c>
      <c r="U27" s="1">
        <v>0.1</v>
      </c>
      <c r="V27" s="1">
        <v>3366.1</v>
      </c>
      <c r="W27" s="1">
        <v>16132.1</v>
      </c>
      <c r="X27" s="1">
        <v>600.11</v>
      </c>
      <c r="Y27" s="1">
        <v>600</v>
      </c>
      <c r="Z27" s="1">
        <v>425080.9</v>
      </c>
      <c r="AA27" s="1">
        <v>25.11</v>
      </c>
      <c r="AB27" s="1">
        <v>2000</v>
      </c>
    </row>
    <row r="28" spans="1:28" x14ac:dyDescent="0.4">
      <c r="A28" s="1" t="s">
        <v>298</v>
      </c>
      <c r="B28" s="1">
        <v>2000</v>
      </c>
      <c r="C28" s="1">
        <v>0.2</v>
      </c>
      <c r="D28" s="1">
        <v>0.5</v>
      </c>
      <c r="E28" s="1">
        <v>2000</v>
      </c>
      <c r="F28" s="1">
        <v>3</v>
      </c>
      <c r="G28" s="1">
        <v>2</v>
      </c>
      <c r="H28" s="1" t="s">
        <v>583</v>
      </c>
      <c r="I28" s="1">
        <v>574652.6</v>
      </c>
      <c r="J28" s="1">
        <v>228791.7</v>
      </c>
      <c r="K28" s="1">
        <v>345860.9</v>
      </c>
      <c r="L28" s="1">
        <v>600</v>
      </c>
      <c r="M28" s="1">
        <v>600.02</v>
      </c>
      <c r="N28" s="1">
        <v>162390.5</v>
      </c>
      <c r="O28" s="1">
        <v>252710.9</v>
      </c>
      <c r="P28" s="1">
        <v>415101.4</v>
      </c>
      <c r="Q28" s="1">
        <v>13242.3</v>
      </c>
      <c r="R28" s="1">
        <v>3888.1</v>
      </c>
      <c r="S28" s="1">
        <v>17130.400000000001</v>
      </c>
      <c r="T28" s="1">
        <v>24.78</v>
      </c>
      <c r="U28" s="1">
        <v>0.11</v>
      </c>
      <c r="V28" s="1">
        <v>3672.4</v>
      </c>
      <c r="W28" s="1">
        <v>16914.7</v>
      </c>
      <c r="X28" s="1">
        <v>600.12</v>
      </c>
      <c r="Y28" s="1">
        <v>600</v>
      </c>
      <c r="Z28" s="1">
        <v>432016.1</v>
      </c>
      <c r="AA28" s="1">
        <v>24.82</v>
      </c>
      <c r="AB28" s="1">
        <v>2000</v>
      </c>
    </row>
    <row r="29" spans="1:28" x14ac:dyDescent="0.4">
      <c r="A29" s="1" t="s">
        <v>299</v>
      </c>
      <c r="B29" s="1">
        <v>2000</v>
      </c>
      <c r="C29" s="1">
        <v>0.2</v>
      </c>
      <c r="D29" s="1">
        <v>0.5</v>
      </c>
      <c r="E29" s="1">
        <v>2000</v>
      </c>
      <c r="F29" s="1">
        <v>3</v>
      </c>
      <c r="G29" s="1">
        <v>3</v>
      </c>
      <c r="H29" s="1" t="s">
        <v>583</v>
      </c>
      <c r="I29" s="1">
        <v>569085.69999999995</v>
      </c>
      <c r="J29" s="1">
        <v>222208.8</v>
      </c>
      <c r="K29" s="1">
        <v>346876.9</v>
      </c>
      <c r="L29" s="1">
        <v>600</v>
      </c>
      <c r="M29" s="1">
        <v>600.03</v>
      </c>
      <c r="N29" s="1">
        <v>156554.79999999999</v>
      </c>
      <c r="O29" s="1">
        <v>244915.4</v>
      </c>
      <c r="P29" s="1">
        <v>401470.2</v>
      </c>
      <c r="Q29" s="1">
        <v>13187.7</v>
      </c>
      <c r="R29" s="1">
        <v>4163.1000000000004</v>
      </c>
      <c r="S29" s="1">
        <v>17350.8</v>
      </c>
      <c r="T29" s="1">
        <v>26.4</v>
      </c>
      <c r="U29" s="1">
        <v>0.1</v>
      </c>
      <c r="V29" s="1">
        <v>3920.2</v>
      </c>
      <c r="W29" s="1">
        <v>17107.900000000001</v>
      </c>
      <c r="X29" s="1">
        <v>600.13</v>
      </c>
      <c r="Y29" s="1">
        <v>600</v>
      </c>
      <c r="Z29" s="1">
        <v>418578.1</v>
      </c>
      <c r="AA29" s="1">
        <v>26.45</v>
      </c>
      <c r="AB29" s="1">
        <v>2000</v>
      </c>
    </row>
    <row r="30" spans="1:28" x14ac:dyDescent="0.4">
      <c r="A30" s="1" t="s">
        <v>300</v>
      </c>
      <c r="B30" s="1">
        <v>2000</v>
      </c>
      <c r="C30" s="1">
        <v>0.2</v>
      </c>
      <c r="D30" s="1">
        <v>0.5</v>
      </c>
      <c r="E30" s="1">
        <v>2000</v>
      </c>
      <c r="F30" s="1">
        <v>3</v>
      </c>
      <c r="G30" s="1">
        <v>4</v>
      </c>
      <c r="H30" s="1" t="s">
        <v>583</v>
      </c>
      <c r="I30" s="1">
        <v>568129.1</v>
      </c>
      <c r="J30" s="1">
        <v>230045.8</v>
      </c>
      <c r="K30" s="1">
        <v>338083.3</v>
      </c>
      <c r="L30" s="1">
        <v>600</v>
      </c>
      <c r="M30" s="1">
        <v>600.02</v>
      </c>
      <c r="N30" s="1">
        <v>164258.20000000001</v>
      </c>
      <c r="O30" s="1">
        <v>245472.8</v>
      </c>
      <c r="P30" s="1">
        <v>409731</v>
      </c>
      <c r="Q30" s="1">
        <v>13234.4</v>
      </c>
      <c r="R30" s="1">
        <v>4035.9</v>
      </c>
      <c r="S30" s="1">
        <v>17270.3</v>
      </c>
      <c r="T30" s="1">
        <v>24.84</v>
      </c>
      <c r="U30" s="1">
        <v>0.08</v>
      </c>
      <c r="V30" s="1">
        <v>3855.6</v>
      </c>
      <c r="W30" s="1">
        <v>17090</v>
      </c>
      <c r="X30" s="1">
        <v>600.1</v>
      </c>
      <c r="Y30" s="1">
        <v>600</v>
      </c>
      <c r="Z30" s="1">
        <v>426821</v>
      </c>
      <c r="AA30" s="1">
        <v>24.87</v>
      </c>
      <c r="AB30" s="1">
        <v>2000</v>
      </c>
    </row>
    <row r="31" spans="1:28" x14ac:dyDescent="0.4">
      <c r="A31" s="1" t="s">
        <v>301</v>
      </c>
      <c r="B31" s="1">
        <v>2000</v>
      </c>
      <c r="C31" s="1">
        <v>0.2</v>
      </c>
      <c r="D31" s="1">
        <v>0.5</v>
      </c>
      <c r="E31" s="1">
        <v>2000</v>
      </c>
      <c r="F31" s="1">
        <v>3</v>
      </c>
      <c r="G31" s="1">
        <v>5</v>
      </c>
      <c r="H31" s="1" t="s">
        <v>583</v>
      </c>
      <c r="I31" s="1">
        <v>568907.69999999995</v>
      </c>
      <c r="J31" s="1">
        <v>232908.3</v>
      </c>
      <c r="K31" s="1">
        <v>335999.4</v>
      </c>
      <c r="L31" s="1">
        <v>600</v>
      </c>
      <c r="M31" s="1">
        <v>600.01</v>
      </c>
      <c r="N31" s="1">
        <v>165329.60000000001</v>
      </c>
      <c r="O31" s="1">
        <v>240434.9</v>
      </c>
      <c r="P31" s="1">
        <v>405764.5</v>
      </c>
      <c r="Q31" s="1">
        <v>12925</v>
      </c>
      <c r="R31" s="1">
        <v>3648.3</v>
      </c>
      <c r="S31" s="1">
        <v>16573.3</v>
      </c>
      <c r="T31" s="1">
        <v>25.76</v>
      </c>
      <c r="U31" s="1">
        <v>7.0000000000000007E-2</v>
      </c>
      <c r="V31" s="1">
        <v>3368</v>
      </c>
      <c r="W31" s="1">
        <v>16293</v>
      </c>
      <c r="X31" s="1">
        <v>600.08000000000004</v>
      </c>
      <c r="Y31" s="1">
        <v>600</v>
      </c>
      <c r="Z31" s="1">
        <v>422057.5</v>
      </c>
      <c r="AA31" s="1">
        <v>25.81</v>
      </c>
      <c r="AB31" s="1">
        <v>2000</v>
      </c>
    </row>
    <row r="32" spans="1:28" x14ac:dyDescent="0.4">
      <c r="A32" s="1" t="s">
        <v>302</v>
      </c>
      <c r="B32" s="1">
        <v>2000</v>
      </c>
      <c r="C32" s="1">
        <v>0.2</v>
      </c>
      <c r="D32" s="1">
        <v>0.5</v>
      </c>
      <c r="E32" s="1">
        <v>500</v>
      </c>
      <c r="F32" s="1">
        <v>1</v>
      </c>
      <c r="G32" s="1">
        <v>1</v>
      </c>
      <c r="H32" s="1" t="s">
        <v>583</v>
      </c>
      <c r="I32" s="1">
        <v>72828.100000000006</v>
      </c>
      <c r="J32" s="1">
        <v>30131.8</v>
      </c>
      <c r="K32" s="1">
        <v>42696.3</v>
      </c>
      <c r="L32" s="1">
        <v>600</v>
      </c>
      <c r="M32" s="1">
        <v>600</v>
      </c>
      <c r="N32" s="1">
        <v>15894.1</v>
      </c>
      <c r="O32" s="1">
        <v>24355.5</v>
      </c>
      <c r="P32" s="1">
        <v>40249.599999999999</v>
      </c>
      <c r="Q32" s="1">
        <v>13786.1</v>
      </c>
      <c r="R32" s="1">
        <v>2506.9</v>
      </c>
      <c r="S32" s="1">
        <v>16293</v>
      </c>
      <c r="T32" s="1">
        <v>22.36</v>
      </c>
      <c r="U32" s="1">
        <v>0.02</v>
      </c>
      <c r="V32" s="1">
        <v>2473.9</v>
      </c>
      <c r="W32" s="1">
        <v>16260</v>
      </c>
      <c r="X32" s="1">
        <v>600.03</v>
      </c>
      <c r="Y32" s="1">
        <v>600</v>
      </c>
      <c r="Z32" s="1">
        <v>56509.599999999999</v>
      </c>
      <c r="AA32" s="1">
        <v>22.41</v>
      </c>
      <c r="AB32" s="1">
        <v>2000</v>
      </c>
    </row>
    <row r="33" spans="1:28" x14ac:dyDescent="0.4">
      <c r="A33" s="1" t="s">
        <v>303</v>
      </c>
      <c r="B33" s="1">
        <v>2000</v>
      </c>
      <c r="C33" s="1">
        <v>0.2</v>
      </c>
      <c r="D33" s="1">
        <v>0.5</v>
      </c>
      <c r="E33" s="1">
        <v>500</v>
      </c>
      <c r="F33" s="1">
        <v>1</v>
      </c>
      <c r="G33" s="1">
        <v>2</v>
      </c>
      <c r="H33" s="1" t="s">
        <v>583</v>
      </c>
      <c r="I33" s="1">
        <v>73709.399999999994</v>
      </c>
      <c r="J33" s="1">
        <v>30448</v>
      </c>
      <c r="K33" s="1">
        <v>43261.4</v>
      </c>
      <c r="L33" s="1">
        <v>600</v>
      </c>
      <c r="M33" s="1">
        <v>600.01</v>
      </c>
      <c r="N33" s="1">
        <v>16688.8</v>
      </c>
      <c r="O33" s="1">
        <v>24364.7</v>
      </c>
      <c r="P33" s="1">
        <v>41053.5</v>
      </c>
      <c r="Q33" s="1">
        <v>13249.9</v>
      </c>
      <c r="R33" s="1">
        <v>2677.1</v>
      </c>
      <c r="S33" s="1">
        <v>15927</v>
      </c>
      <c r="T33" s="1">
        <v>22.7</v>
      </c>
      <c r="U33" s="1">
        <v>0.03</v>
      </c>
      <c r="V33" s="1">
        <v>2601.1</v>
      </c>
      <c r="W33" s="1">
        <v>15851</v>
      </c>
      <c r="X33" s="1">
        <v>600.04</v>
      </c>
      <c r="Y33" s="1">
        <v>600</v>
      </c>
      <c r="Z33" s="1">
        <v>56904.5</v>
      </c>
      <c r="AA33" s="1">
        <v>22.8</v>
      </c>
      <c r="AB33" s="1">
        <v>2000</v>
      </c>
    </row>
    <row r="34" spans="1:28" x14ac:dyDescent="0.4">
      <c r="A34" s="1" t="s">
        <v>304</v>
      </c>
      <c r="B34" s="1">
        <v>2000</v>
      </c>
      <c r="C34" s="1">
        <v>0.2</v>
      </c>
      <c r="D34" s="1">
        <v>0.5</v>
      </c>
      <c r="E34" s="1">
        <v>500</v>
      </c>
      <c r="F34" s="1">
        <v>1</v>
      </c>
      <c r="G34" s="1">
        <v>3</v>
      </c>
      <c r="H34" s="1" t="s">
        <v>583</v>
      </c>
      <c r="I34" s="1">
        <v>73291.199999999997</v>
      </c>
      <c r="J34" s="1">
        <v>29361</v>
      </c>
      <c r="K34" s="1">
        <v>43930.2</v>
      </c>
      <c r="L34" s="1">
        <v>600</v>
      </c>
      <c r="M34" s="1">
        <v>600</v>
      </c>
      <c r="N34" s="1">
        <v>16833.599999999999</v>
      </c>
      <c r="O34" s="1">
        <v>24117</v>
      </c>
      <c r="P34" s="1">
        <v>40950.6</v>
      </c>
      <c r="Q34" s="1">
        <v>14025.1</v>
      </c>
      <c r="R34" s="1">
        <v>2877.3</v>
      </c>
      <c r="S34" s="1">
        <v>16902.400000000001</v>
      </c>
      <c r="T34" s="1">
        <v>21.06</v>
      </c>
      <c r="U34" s="1">
        <v>0.03</v>
      </c>
      <c r="V34" s="1">
        <v>2837.1</v>
      </c>
      <c r="W34" s="1">
        <v>16862.2</v>
      </c>
      <c r="X34" s="1">
        <v>600.04</v>
      </c>
      <c r="Y34" s="1">
        <v>600</v>
      </c>
      <c r="Z34" s="1">
        <v>57812.800000000003</v>
      </c>
      <c r="AA34" s="1">
        <v>21.12</v>
      </c>
      <c r="AB34" s="1">
        <v>2000</v>
      </c>
    </row>
    <row r="35" spans="1:28" x14ac:dyDescent="0.4">
      <c r="A35" s="1" t="s">
        <v>305</v>
      </c>
      <c r="B35" s="1">
        <v>2000</v>
      </c>
      <c r="C35" s="1">
        <v>0.2</v>
      </c>
      <c r="D35" s="1">
        <v>0.5</v>
      </c>
      <c r="E35" s="1">
        <v>500</v>
      </c>
      <c r="F35" s="1">
        <v>1</v>
      </c>
      <c r="G35" s="1">
        <v>4</v>
      </c>
      <c r="H35" s="1" t="s">
        <v>583</v>
      </c>
      <c r="I35" s="1">
        <v>70840.800000000003</v>
      </c>
      <c r="J35" s="1">
        <v>28183.5</v>
      </c>
      <c r="K35" s="1">
        <v>42657.3</v>
      </c>
      <c r="L35" s="1">
        <v>600</v>
      </c>
      <c r="M35" s="1">
        <v>600</v>
      </c>
      <c r="N35" s="1">
        <v>15395.6</v>
      </c>
      <c r="O35" s="1">
        <v>24070.799999999999</v>
      </c>
      <c r="P35" s="1">
        <v>39466.400000000001</v>
      </c>
      <c r="Q35" s="1">
        <v>13173.2</v>
      </c>
      <c r="R35" s="1">
        <v>2850.9</v>
      </c>
      <c r="S35" s="1">
        <v>16024.1</v>
      </c>
      <c r="T35" s="1">
        <v>21.67</v>
      </c>
      <c r="U35" s="1">
        <v>0.04</v>
      </c>
      <c r="V35" s="1">
        <v>2796.3</v>
      </c>
      <c r="W35" s="1">
        <v>15969.5</v>
      </c>
      <c r="X35" s="1">
        <v>600.04</v>
      </c>
      <c r="Y35" s="1">
        <v>600</v>
      </c>
      <c r="Z35" s="1">
        <v>55435.9</v>
      </c>
      <c r="AA35" s="1">
        <v>21.75</v>
      </c>
      <c r="AB35" s="1">
        <v>2000</v>
      </c>
    </row>
    <row r="36" spans="1:28" x14ac:dyDescent="0.4">
      <c r="A36" s="1" t="s">
        <v>306</v>
      </c>
      <c r="B36" s="1">
        <v>2000</v>
      </c>
      <c r="C36" s="1">
        <v>0.2</v>
      </c>
      <c r="D36" s="1">
        <v>0.5</v>
      </c>
      <c r="E36" s="1">
        <v>500</v>
      </c>
      <c r="F36" s="1">
        <v>1</v>
      </c>
      <c r="G36" s="1">
        <v>5</v>
      </c>
      <c r="H36" s="1" t="s">
        <v>583</v>
      </c>
      <c r="I36" s="1">
        <v>71315</v>
      </c>
      <c r="J36" s="1">
        <v>28392.400000000001</v>
      </c>
      <c r="K36" s="1">
        <v>42922.6</v>
      </c>
      <c r="L36" s="1">
        <v>600</v>
      </c>
      <c r="M36" s="1">
        <v>600</v>
      </c>
      <c r="N36" s="1">
        <v>15317.6</v>
      </c>
      <c r="O36" s="1">
        <v>24176.400000000001</v>
      </c>
      <c r="P36" s="1">
        <v>39494</v>
      </c>
      <c r="Q36" s="1">
        <v>13308.7</v>
      </c>
      <c r="R36" s="1">
        <v>2681.1</v>
      </c>
      <c r="S36" s="1">
        <v>15989.8</v>
      </c>
      <c r="T36" s="1">
        <v>22.2</v>
      </c>
      <c r="U36" s="1">
        <v>0.03</v>
      </c>
      <c r="V36" s="1">
        <v>2625.1</v>
      </c>
      <c r="W36" s="1">
        <v>15933.8</v>
      </c>
      <c r="X36" s="1">
        <v>600.04</v>
      </c>
      <c r="Y36" s="1">
        <v>600</v>
      </c>
      <c r="Z36" s="1">
        <v>55427.8</v>
      </c>
      <c r="AA36" s="1">
        <v>22.28</v>
      </c>
      <c r="AB36" s="1">
        <v>2000</v>
      </c>
    </row>
    <row r="37" spans="1:28" x14ac:dyDescent="0.4">
      <c r="A37" s="1" t="s">
        <v>307</v>
      </c>
      <c r="B37" s="1">
        <v>2000</v>
      </c>
      <c r="C37" s="1">
        <v>0.2</v>
      </c>
      <c r="D37" s="1">
        <v>0.5</v>
      </c>
      <c r="E37" s="1">
        <v>500</v>
      </c>
      <c r="F37" s="1">
        <v>2</v>
      </c>
      <c r="G37" s="1">
        <v>1</v>
      </c>
      <c r="H37" s="1" t="s">
        <v>583</v>
      </c>
      <c r="I37" s="1">
        <v>109987.8</v>
      </c>
      <c r="J37" s="1">
        <v>45375.9</v>
      </c>
      <c r="K37" s="1">
        <v>64611.9</v>
      </c>
      <c r="L37" s="1">
        <v>600</v>
      </c>
      <c r="M37" s="1">
        <v>600</v>
      </c>
      <c r="N37" s="1">
        <v>27777.200000000001</v>
      </c>
      <c r="O37" s="1">
        <v>37927.9</v>
      </c>
      <c r="P37" s="1">
        <v>65705.100000000006</v>
      </c>
      <c r="Q37" s="1">
        <v>13177.4</v>
      </c>
      <c r="R37" s="1">
        <v>3042.8</v>
      </c>
      <c r="S37" s="1">
        <v>16220.2</v>
      </c>
      <c r="T37" s="1">
        <v>25.51</v>
      </c>
      <c r="U37" s="1">
        <v>0.05</v>
      </c>
      <c r="V37" s="1">
        <v>2940.5</v>
      </c>
      <c r="W37" s="1">
        <v>16117.9</v>
      </c>
      <c r="X37" s="1">
        <v>600.05999999999995</v>
      </c>
      <c r="Y37" s="1">
        <v>600</v>
      </c>
      <c r="Z37" s="1">
        <v>81823</v>
      </c>
      <c r="AA37" s="1">
        <v>25.61</v>
      </c>
      <c r="AB37" s="1">
        <v>2000</v>
      </c>
    </row>
    <row r="38" spans="1:28" x14ac:dyDescent="0.4">
      <c r="A38" s="1" t="s">
        <v>308</v>
      </c>
      <c r="B38" s="1">
        <v>2000</v>
      </c>
      <c r="C38" s="1">
        <v>0.2</v>
      </c>
      <c r="D38" s="1">
        <v>0.5</v>
      </c>
      <c r="E38" s="1">
        <v>500</v>
      </c>
      <c r="F38" s="1">
        <v>2</v>
      </c>
      <c r="G38" s="1">
        <v>2</v>
      </c>
      <c r="H38" s="1" t="s">
        <v>583</v>
      </c>
      <c r="I38" s="1">
        <v>111693.6</v>
      </c>
      <c r="J38" s="1">
        <v>43333.7</v>
      </c>
      <c r="K38" s="1">
        <v>68359.899999999994</v>
      </c>
      <c r="L38" s="1">
        <v>600</v>
      </c>
      <c r="M38" s="1">
        <v>600</v>
      </c>
      <c r="N38" s="1">
        <v>25936</v>
      </c>
      <c r="O38" s="1">
        <v>40957.5</v>
      </c>
      <c r="P38" s="1">
        <v>66893.5</v>
      </c>
      <c r="Q38" s="1">
        <v>13397.1</v>
      </c>
      <c r="R38" s="1">
        <v>3270.9</v>
      </c>
      <c r="S38" s="1">
        <v>16668</v>
      </c>
      <c r="T38" s="1">
        <v>25.19</v>
      </c>
      <c r="U38" s="1">
        <v>0.05</v>
      </c>
      <c r="V38" s="1">
        <v>3134.4</v>
      </c>
      <c r="W38" s="1">
        <v>16531.5</v>
      </c>
      <c r="X38" s="1">
        <v>600.04999999999995</v>
      </c>
      <c r="Y38" s="1">
        <v>600</v>
      </c>
      <c r="Z38" s="1">
        <v>83425</v>
      </c>
      <c r="AA38" s="1">
        <v>25.31</v>
      </c>
      <c r="AB38" s="1">
        <v>2000</v>
      </c>
    </row>
    <row r="39" spans="1:28" x14ac:dyDescent="0.4">
      <c r="A39" s="1" t="s">
        <v>309</v>
      </c>
      <c r="B39" s="1">
        <v>2000</v>
      </c>
      <c r="C39" s="1">
        <v>0.2</v>
      </c>
      <c r="D39" s="1">
        <v>0.5</v>
      </c>
      <c r="E39" s="1">
        <v>500</v>
      </c>
      <c r="F39" s="1">
        <v>2</v>
      </c>
      <c r="G39" s="1">
        <v>3</v>
      </c>
      <c r="H39" s="1" t="s">
        <v>583</v>
      </c>
      <c r="I39" s="1">
        <v>105271.7</v>
      </c>
      <c r="J39" s="1">
        <v>43538.6</v>
      </c>
      <c r="K39" s="1">
        <v>61733.1</v>
      </c>
      <c r="L39" s="1">
        <v>600</v>
      </c>
      <c r="M39" s="1">
        <v>600.01</v>
      </c>
      <c r="N39" s="1">
        <v>25396</v>
      </c>
      <c r="O39" s="1">
        <v>37037.599999999999</v>
      </c>
      <c r="P39" s="1">
        <v>62433.599999999999</v>
      </c>
      <c r="Q39" s="1">
        <v>13151.7</v>
      </c>
      <c r="R39" s="1">
        <v>3157.8</v>
      </c>
      <c r="S39" s="1">
        <v>16309.5</v>
      </c>
      <c r="T39" s="1">
        <v>25.2</v>
      </c>
      <c r="U39" s="1">
        <v>0.05</v>
      </c>
      <c r="V39" s="1">
        <v>3069.5</v>
      </c>
      <c r="W39" s="1">
        <v>16221.2</v>
      </c>
      <c r="X39" s="1">
        <v>600.04999999999995</v>
      </c>
      <c r="Y39" s="1">
        <v>600</v>
      </c>
      <c r="Z39" s="1">
        <v>78654.8</v>
      </c>
      <c r="AA39" s="1">
        <v>25.28</v>
      </c>
      <c r="AB39" s="1">
        <v>2000</v>
      </c>
    </row>
    <row r="40" spans="1:28" x14ac:dyDescent="0.4">
      <c r="A40" s="1" t="s">
        <v>310</v>
      </c>
      <c r="B40" s="1">
        <v>2000</v>
      </c>
      <c r="C40" s="1">
        <v>0.2</v>
      </c>
      <c r="D40" s="1">
        <v>0.5</v>
      </c>
      <c r="E40" s="1">
        <v>500</v>
      </c>
      <c r="F40" s="1">
        <v>2</v>
      </c>
      <c r="G40" s="1">
        <v>4</v>
      </c>
      <c r="H40" s="1" t="s">
        <v>583</v>
      </c>
      <c r="I40" s="1">
        <v>114285.5</v>
      </c>
      <c r="J40" s="1">
        <v>42781.8</v>
      </c>
      <c r="K40" s="1">
        <v>71503.7</v>
      </c>
      <c r="L40" s="1">
        <v>600</v>
      </c>
      <c r="M40" s="1">
        <v>600.01</v>
      </c>
      <c r="N40" s="1">
        <v>26686.5</v>
      </c>
      <c r="O40" s="1">
        <v>43264.6</v>
      </c>
      <c r="P40" s="1">
        <v>69951.100000000006</v>
      </c>
      <c r="Q40" s="1">
        <v>12686.3</v>
      </c>
      <c r="R40" s="1">
        <v>2743.4</v>
      </c>
      <c r="S40" s="1">
        <v>15429.7</v>
      </c>
      <c r="T40" s="1">
        <v>25.29</v>
      </c>
      <c r="U40" s="1">
        <v>0.05</v>
      </c>
      <c r="V40" s="1">
        <v>2639.4</v>
      </c>
      <c r="W40" s="1">
        <v>15325.7</v>
      </c>
      <c r="X40" s="1">
        <v>600.04999999999995</v>
      </c>
      <c r="Y40" s="1">
        <v>600</v>
      </c>
      <c r="Z40" s="1">
        <v>85276.800000000003</v>
      </c>
      <c r="AA40" s="1">
        <v>25.38</v>
      </c>
      <c r="AB40" s="1">
        <v>2000</v>
      </c>
    </row>
    <row r="41" spans="1:28" x14ac:dyDescent="0.4">
      <c r="A41" s="1" t="s">
        <v>311</v>
      </c>
      <c r="B41" s="1">
        <v>2000</v>
      </c>
      <c r="C41" s="1">
        <v>0.2</v>
      </c>
      <c r="D41" s="1">
        <v>0.5</v>
      </c>
      <c r="E41" s="1">
        <v>500</v>
      </c>
      <c r="F41" s="1">
        <v>2</v>
      </c>
      <c r="G41" s="1">
        <v>5</v>
      </c>
      <c r="H41" s="1" t="s">
        <v>583</v>
      </c>
      <c r="I41" s="1">
        <v>111707.3</v>
      </c>
      <c r="J41" s="1">
        <v>45068.7</v>
      </c>
      <c r="K41" s="1">
        <v>66638.600000000006</v>
      </c>
      <c r="L41" s="1">
        <v>600</v>
      </c>
      <c r="M41" s="1">
        <v>600</v>
      </c>
      <c r="N41" s="1">
        <v>27001.599999999999</v>
      </c>
      <c r="O41" s="1">
        <v>40725.199999999997</v>
      </c>
      <c r="P41" s="1">
        <v>67726.8</v>
      </c>
      <c r="Q41" s="1">
        <v>13282.9</v>
      </c>
      <c r="R41" s="1">
        <v>3251.1</v>
      </c>
      <c r="S41" s="1">
        <v>16534</v>
      </c>
      <c r="T41" s="1">
        <v>24.57</v>
      </c>
      <c r="U41" s="1">
        <v>0.06</v>
      </c>
      <c r="V41" s="1">
        <v>3162.4</v>
      </c>
      <c r="W41" s="1">
        <v>16445.3</v>
      </c>
      <c r="X41" s="1">
        <v>600.05999999999995</v>
      </c>
      <c r="Y41" s="1">
        <v>600</v>
      </c>
      <c r="Z41" s="1">
        <v>84172.1</v>
      </c>
      <c r="AA41" s="1">
        <v>24.65</v>
      </c>
      <c r="AB41" s="1">
        <v>2000</v>
      </c>
    </row>
    <row r="42" spans="1:28" x14ac:dyDescent="0.4">
      <c r="A42" s="1" t="s">
        <v>312</v>
      </c>
      <c r="B42" s="1">
        <v>2000</v>
      </c>
      <c r="C42" s="1">
        <v>0.2</v>
      </c>
      <c r="D42" s="1">
        <v>0.5</v>
      </c>
      <c r="E42" s="1">
        <v>500</v>
      </c>
      <c r="F42" s="1">
        <v>3</v>
      </c>
      <c r="G42" s="1">
        <v>1</v>
      </c>
      <c r="H42" s="1" t="s">
        <v>583</v>
      </c>
      <c r="I42" s="1">
        <v>138293.29999999999</v>
      </c>
      <c r="J42" s="1">
        <v>53910.1</v>
      </c>
      <c r="K42" s="1">
        <v>84383.2</v>
      </c>
      <c r="L42" s="1">
        <v>600</v>
      </c>
      <c r="M42" s="1">
        <v>600.01</v>
      </c>
      <c r="N42" s="1">
        <v>33391.199999999997</v>
      </c>
      <c r="O42" s="1">
        <v>54685.9</v>
      </c>
      <c r="P42" s="1">
        <v>88077.1</v>
      </c>
      <c r="Q42" s="1">
        <v>13174.7</v>
      </c>
      <c r="R42" s="1">
        <v>3035.2</v>
      </c>
      <c r="S42" s="1">
        <v>16209.9</v>
      </c>
      <c r="T42" s="1">
        <v>24.59</v>
      </c>
      <c r="U42" s="1">
        <v>0.08</v>
      </c>
      <c r="V42" s="1">
        <v>2816.1</v>
      </c>
      <c r="W42" s="1">
        <v>15990.8</v>
      </c>
      <c r="X42" s="1">
        <v>600.09</v>
      </c>
      <c r="Y42" s="1">
        <v>600</v>
      </c>
      <c r="Z42" s="1">
        <v>104067.9</v>
      </c>
      <c r="AA42" s="1">
        <v>24.75</v>
      </c>
      <c r="AB42" s="1">
        <v>2000</v>
      </c>
    </row>
    <row r="43" spans="1:28" x14ac:dyDescent="0.4">
      <c r="A43" s="1" t="s">
        <v>313</v>
      </c>
      <c r="B43" s="1">
        <v>2000</v>
      </c>
      <c r="C43" s="1">
        <v>0.2</v>
      </c>
      <c r="D43" s="1">
        <v>0.5</v>
      </c>
      <c r="E43" s="1">
        <v>500</v>
      </c>
      <c r="F43" s="1">
        <v>3</v>
      </c>
      <c r="G43" s="1">
        <v>2</v>
      </c>
      <c r="H43" s="1" t="s">
        <v>583</v>
      </c>
      <c r="I43" s="1">
        <v>139556.20000000001</v>
      </c>
      <c r="J43" s="1">
        <v>57942.1</v>
      </c>
      <c r="K43" s="1">
        <v>81614.100000000006</v>
      </c>
      <c r="L43" s="1">
        <v>600</v>
      </c>
      <c r="M43" s="1">
        <v>600</v>
      </c>
      <c r="N43" s="1">
        <v>36299.9</v>
      </c>
      <c r="O43" s="1">
        <v>51790.9</v>
      </c>
      <c r="P43" s="1">
        <v>88090.8</v>
      </c>
      <c r="Q43" s="1">
        <v>13190.3</v>
      </c>
      <c r="R43" s="1">
        <v>2987</v>
      </c>
      <c r="S43" s="1">
        <v>16177.3</v>
      </c>
      <c r="T43" s="1">
        <v>25.29</v>
      </c>
      <c r="U43" s="1">
        <v>0.06</v>
      </c>
      <c r="V43" s="1">
        <v>2843.1</v>
      </c>
      <c r="W43" s="1">
        <v>16033.4</v>
      </c>
      <c r="X43" s="1">
        <v>600.05999999999995</v>
      </c>
      <c r="Y43" s="1">
        <v>600</v>
      </c>
      <c r="Z43" s="1">
        <v>104124.2</v>
      </c>
      <c r="AA43" s="1">
        <v>25.39</v>
      </c>
      <c r="AB43" s="1">
        <v>2000</v>
      </c>
    </row>
    <row r="44" spans="1:28" x14ac:dyDescent="0.4">
      <c r="A44" s="1" t="s">
        <v>314</v>
      </c>
      <c r="B44" s="1">
        <v>2000</v>
      </c>
      <c r="C44" s="1">
        <v>0.2</v>
      </c>
      <c r="D44" s="1">
        <v>0.5</v>
      </c>
      <c r="E44" s="1">
        <v>500</v>
      </c>
      <c r="F44" s="1">
        <v>3</v>
      </c>
      <c r="G44" s="1">
        <v>3</v>
      </c>
      <c r="H44" s="1" t="s">
        <v>583</v>
      </c>
      <c r="I44" s="1">
        <v>140624</v>
      </c>
      <c r="J44" s="1">
        <v>57347.7</v>
      </c>
      <c r="K44" s="1">
        <v>83276.3</v>
      </c>
      <c r="L44" s="1">
        <v>600</v>
      </c>
      <c r="M44" s="1">
        <v>600.01</v>
      </c>
      <c r="N44" s="1">
        <v>37280.300000000003</v>
      </c>
      <c r="O44" s="1">
        <v>54535.5</v>
      </c>
      <c r="P44" s="1">
        <v>91815.8</v>
      </c>
      <c r="Q44" s="1">
        <v>12295.9</v>
      </c>
      <c r="R44" s="1">
        <v>2961.4</v>
      </c>
      <c r="S44" s="1">
        <v>15257.3</v>
      </c>
      <c r="T44" s="1">
        <v>23.86</v>
      </c>
      <c r="U44" s="1">
        <v>0.08</v>
      </c>
      <c r="V44" s="1">
        <v>2829.3</v>
      </c>
      <c r="W44" s="1">
        <v>15125.2</v>
      </c>
      <c r="X44" s="1">
        <v>600.09</v>
      </c>
      <c r="Y44" s="1">
        <v>600</v>
      </c>
      <c r="Z44" s="1">
        <v>106941</v>
      </c>
      <c r="AA44" s="1">
        <v>23.95</v>
      </c>
      <c r="AB44" s="1">
        <v>2000</v>
      </c>
    </row>
    <row r="45" spans="1:28" x14ac:dyDescent="0.4">
      <c r="A45" s="1" t="s">
        <v>315</v>
      </c>
      <c r="B45" s="1">
        <v>2000</v>
      </c>
      <c r="C45" s="1">
        <v>0.2</v>
      </c>
      <c r="D45" s="1">
        <v>0.5</v>
      </c>
      <c r="E45" s="1">
        <v>500</v>
      </c>
      <c r="F45" s="1">
        <v>3</v>
      </c>
      <c r="G45" s="1">
        <v>4</v>
      </c>
      <c r="H45" s="1" t="s">
        <v>583</v>
      </c>
      <c r="I45" s="1">
        <v>139265.5</v>
      </c>
      <c r="J45" s="1">
        <v>58904</v>
      </c>
      <c r="K45" s="1">
        <v>80361.5</v>
      </c>
      <c r="L45" s="1">
        <v>600</v>
      </c>
      <c r="M45" s="1">
        <v>600</v>
      </c>
      <c r="N45" s="1">
        <v>37764.199999999997</v>
      </c>
      <c r="O45" s="1">
        <v>52358.5</v>
      </c>
      <c r="P45" s="1">
        <v>90122.7</v>
      </c>
      <c r="Q45" s="1">
        <v>12792.6</v>
      </c>
      <c r="R45" s="1">
        <v>2920</v>
      </c>
      <c r="S45" s="1">
        <v>15712.6</v>
      </c>
      <c r="T45" s="1">
        <v>24</v>
      </c>
      <c r="U45" s="1">
        <v>0.08</v>
      </c>
      <c r="V45" s="1">
        <v>2748.4</v>
      </c>
      <c r="W45" s="1">
        <v>15541</v>
      </c>
      <c r="X45" s="1">
        <v>600.08000000000004</v>
      </c>
      <c r="Y45" s="1">
        <v>600</v>
      </c>
      <c r="Z45" s="1">
        <v>105663.7</v>
      </c>
      <c r="AA45" s="1">
        <v>24.13</v>
      </c>
      <c r="AB45" s="1">
        <v>2000</v>
      </c>
    </row>
    <row r="46" spans="1:28" x14ac:dyDescent="0.4">
      <c r="A46" s="1" t="s">
        <v>316</v>
      </c>
      <c r="B46" s="1">
        <v>2000</v>
      </c>
      <c r="C46" s="1">
        <v>0.2</v>
      </c>
      <c r="D46" s="1">
        <v>0.5</v>
      </c>
      <c r="E46" s="1">
        <v>500</v>
      </c>
      <c r="F46" s="1">
        <v>3</v>
      </c>
      <c r="G46" s="1">
        <v>5</v>
      </c>
      <c r="H46" s="1" t="s">
        <v>583</v>
      </c>
      <c r="I46" s="1">
        <v>150784.5</v>
      </c>
      <c r="J46" s="1">
        <v>62011.8</v>
      </c>
      <c r="K46" s="1">
        <v>88772.7</v>
      </c>
      <c r="L46" s="1">
        <v>600</v>
      </c>
      <c r="M46" s="1">
        <v>600</v>
      </c>
      <c r="N46" s="1">
        <v>38663.5</v>
      </c>
      <c r="O46" s="1">
        <v>58586.1</v>
      </c>
      <c r="P46" s="1">
        <v>97249.600000000006</v>
      </c>
      <c r="Q46" s="1">
        <v>13151.1</v>
      </c>
      <c r="R46" s="1">
        <v>3117.8</v>
      </c>
      <c r="S46" s="1">
        <v>16268.9</v>
      </c>
      <c r="T46" s="1">
        <v>24.71</v>
      </c>
      <c r="U46" s="1">
        <v>0.08</v>
      </c>
      <c r="V46" s="1">
        <v>2928.2</v>
      </c>
      <c r="W46" s="1">
        <v>16079.3</v>
      </c>
      <c r="X46" s="1">
        <v>600.08000000000004</v>
      </c>
      <c r="Y46" s="1">
        <v>600</v>
      </c>
      <c r="Z46" s="1">
        <v>113328.9</v>
      </c>
      <c r="AA46" s="1">
        <v>24.84</v>
      </c>
      <c r="AB46" s="1">
        <v>2000</v>
      </c>
    </row>
    <row r="47" spans="1:28" x14ac:dyDescent="0.4">
      <c r="A47" s="1" t="s">
        <v>30</v>
      </c>
      <c r="B47" s="1">
        <v>2000</v>
      </c>
      <c r="C47" s="1">
        <v>0.3</v>
      </c>
      <c r="D47" s="1">
        <v>0.5</v>
      </c>
      <c r="E47" s="1">
        <v>1000</v>
      </c>
      <c r="F47" s="1">
        <v>1</v>
      </c>
      <c r="G47" s="1">
        <v>1</v>
      </c>
      <c r="H47" s="1" t="s">
        <v>583</v>
      </c>
      <c r="I47" s="1">
        <v>143469.20000000001</v>
      </c>
      <c r="J47" s="1">
        <v>56871.8</v>
      </c>
      <c r="K47" s="1">
        <v>86597.4</v>
      </c>
      <c r="L47" s="1">
        <v>600</v>
      </c>
      <c r="M47" s="1">
        <v>600.01</v>
      </c>
      <c r="N47" s="1">
        <v>33342.1</v>
      </c>
      <c r="O47" s="1">
        <v>49910.1</v>
      </c>
      <c r="P47" s="1">
        <v>83252.2</v>
      </c>
      <c r="Q47" s="1">
        <v>14547.8</v>
      </c>
      <c r="R47" s="1">
        <v>5707.8</v>
      </c>
      <c r="S47" s="1">
        <v>20255.599999999999</v>
      </c>
      <c r="T47" s="1">
        <v>27.85</v>
      </c>
      <c r="U47" s="1">
        <v>0.13</v>
      </c>
      <c r="V47" s="1">
        <v>5623</v>
      </c>
      <c r="W47" s="1">
        <v>20170.8</v>
      </c>
      <c r="X47" s="1">
        <v>600.14</v>
      </c>
      <c r="Y47" s="1">
        <v>600</v>
      </c>
      <c r="Z47" s="1">
        <v>103423</v>
      </c>
      <c r="AA47" s="1">
        <v>27.91</v>
      </c>
      <c r="AB47" s="1">
        <v>2000</v>
      </c>
    </row>
    <row r="48" spans="1:28" x14ac:dyDescent="0.4">
      <c r="A48" s="1" t="s">
        <v>31</v>
      </c>
      <c r="B48" s="1">
        <v>2000</v>
      </c>
      <c r="C48" s="1">
        <v>0.3</v>
      </c>
      <c r="D48" s="1">
        <v>0.5</v>
      </c>
      <c r="E48" s="1">
        <v>1000</v>
      </c>
      <c r="F48" s="1">
        <v>1</v>
      </c>
      <c r="G48" s="1">
        <v>2</v>
      </c>
      <c r="H48" s="1" t="s">
        <v>583</v>
      </c>
      <c r="I48" s="1">
        <v>151717.5</v>
      </c>
      <c r="J48" s="1">
        <v>60829.1</v>
      </c>
      <c r="K48" s="1">
        <v>90888.4</v>
      </c>
      <c r="L48" s="1">
        <v>600</v>
      </c>
      <c r="M48" s="1">
        <v>600</v>
      </c>
      <c r="N48" s="1">
        <v>34479.800000000003</v>
      </c>
      <c r="O48" s="1">
        <v>51679.1</v>
      </c>
      <c r="P48" s="1">
        <v>86158.9</v>
      </c>
      <c r="Q48" s="1">
        <v>14880.9</v>
      </c>
      <c r="R48" s="1">
        <v>5609.1</v>
      </c>
      <c r="S48" s="1">
        <v>20490</v>
      </c>
      <c r="T48" s="1">
        <v>29.71</v>
      </c>
      <c r="U48" s="1">
        <v>0.11</v>
      </c>
      <c r="V48" s="1">
        <v>5499.2</v>
      </c>
      <c r="W48" s="1">
        <v>20380.099999999999</v>
      </c>
      <c r="X48" s="1">
        <v>600.11</v>
      </c>
      <c r="Y48" s="1">
        <v>600</v>
      </c>
      <c r="Z48" s="1">
        <v>106539</v>
      </c>
      <c r="AA48" s="1">
        <v>29.78</v>
      </c>
      <c r="AB48" s="1">
        <v>2000</v>
      </c>
    </row>
    <row r="49" spans="1:28" x14ac:dyDescent="0.4">
      <c r="A49" s="1" t="s">
        <v>32</v>
      </c>
      <c r="B49" s="1">
        <v>2000</v>
      </c>
      <c r="C49" s="1">
        <v>0.3</v>
      </c>
      <c r="D49" s="1">
        <v>0.5</v>
      </c>
      <c r="E49" s="1">
        <v>1000</v>
      </c>
      <c r="F49" s="1">
        <v>1</v>
      </c>
      <c r="G49" s="1">
        <v>3</v>
      </c>
      <c r="H49" s="1" t="s">
        <v>583</v>
      </c>
      <c r="I49" s="1">
        <v>147202.29999999999</v>
      </c>
      <c r="J49" s="1">
        <v>59853.2</v>
      </c>
      <c r="K49" s="1">
        <v>87349.1</v>
      </c>
      <c r="L49" s="1">
        <v>600</v>
      </c>
      <c r="M49" s="1">
        <v>600</v>
      </c>
      <c r="N49" s="1">
        <v>34386.9</v>
      </c>
      <c r="O49" s="1">
        <v>49017.1</v>
      </c>
      <c r="P49" s="1">
        <v>83404</v>
      </c>
      <c r="Q49" s="1">
        <v>14863.3</v>
      </c>
      <c r="R49" s="1">
        <v>5544.1</v>
      </c>
      <c r="S49" s="1">
        <v>20407.400000000001</v>
      </c>
      <c r="T49" s="1">
        <v>29.48</v>
      </c>
      <c r="U49" s="1">
        <v>0.13</v>
      </c>
      <c r="V49" s="1">
        <v>5471.5</v>
      </c>
      <c r="W49" s="1">
        <v>20334.8</v>
      </c>
      <c r="X49" s="1">
        <v>600.13</v>
      </c>
      <c r="Y49" s="1">
        <v>600</v>
      </c>
      <c r="Z49" s="1">
        <v>103738.8</v>
      </c>
      <c r="AA49" s="1">
        <v>29.53</v>
      </c>
      <c r="AB49" s="1">
        <v>2000</v>
      </c>
    </row>
    <row r="50" spans="1:28" x14ac:dyDescent="0.4">
      <c r="A50" s="1" t="s">
        <v>33</v>
      </c>
      <c r="B50" s="1">
        <v>2000</v>
      </c>
      <c r="C50" s="1">
        <v>0.3</v>
      </c>
      <c r="D50" s="1">
        <v>0.5</v>
      </c>
      <c r="E50" s="1">
        <v>1000</v>
      </c>
      <c r="F50" s="1">
        <v>1</v>
      </c>
      <c r="G50" s="1">
        <v>4</v>
      </c>
      <c r="H50" s="1" t="s">
        <v>583</v>
      </c>
      <c r="I50" s="1">
        <v>144352.9</v>
      </c>
      <c r="J50" s="1">
        <v>59480.4</v>
      </c>
      <c r="K50" s="1">
        <v>84872.5</v>
      </c>
      <c r="L50" s="1">
        <v>600</v>
      </c>
      <c r="M50" s="1">
        <v>600.01</v>
      </c>
      <c r="N50" s="1">
        <v>33925.5</v>
      </c>
      <c r="O50" s="1">
        <v>48690.7</v>
      </c>
      <c r="P50" s="1">
        <v>82616.2</v>
      </c>
      <c r="Q50" s="1">
        <v>14800.4</v>
      </c>
      <c r="R50" s="1">
        <v>5542.6</v>
      </c>
      <c r="S50" s="1">
        <v>20343</v>
      </c>
      <c r="T50" s="1">
        <v>28.68</v>
      </c>
      <c r="U50" s="1">
        <v>0.08</v>
      </c>
      <c r="V50" s="1">
        <v>5474.8</v>
      </c>
      <c r="W50" s="1">
        <v>20275.2</v>
      </c>
      <c r="X50" s="1">
        <v>600.09</v>
      </c>
      <c r="Y50" s="1">
        <v>600</v>
      </c>
      <c r="Z50" s="1">
        <v>102891.4</v>
      </c>
      <c r="AA50" s="1">
        <v>28.72</v>
      </c>
      <c r="AB50" s="1">
        <v>2000</v>
      </c>
    </row>
    <row r="51" spans="1:28" x14ac:dyDescent="0.4">
      <c r="A51" s="1" t="s">
        <v>34</v>
      </c>
      <c r="B51" s="1">
        <v>2000</v>
      </c>
      <c r="C51" s="1">
        <v>0.3</v>
      </c>
      <c r="D51" s="1">
        <v>0.5</v>
      </c>
      <c r="E51" s="1">
        <v>1000</v>
      </c>
      <c r="F51" s="1">
        <v>1</v>
      </c>
      <c r="G51" s="1">
        <v>5</v>
      </c>
      <c r="H51" s="1" t="s">
        <v>583</v>
      </c>
      <c r="I51" s="1">
        <v>148278.39999999999</v>
      </c>
      <c r="J51" s="1">
        <v>59478.6</v>
      </c>
      <c r="K51" s="1">
        <v>88799.8</v>
      </c>
      <c r="L51" s="1">
        <v>600</v>
      </c>
      <c r="M51" s="1">
        <v>600</v>
      </c>
      <c r="N51" s="1">
        <v>34105</v>
      </c>
      <c r="O51" s="1">
        <v>50366.8</v>
      </c>
      <c r="P51" s="1">
        <v>84471.8</v>
      </c>
      <c r="Q51" s="1">
        <v>14615.9</v>
      </c>
      <c r="R51" s="1">
        <v>5751.9</v>
      </c>
      <c r="S51" s="1">
        <v>20367.8</v>
      </c>
      <c r="T51" s="1">
        <v>29.3</v>
      </c>
      <c r="U51" s="1">
        <v>0.1</v>
      </c>
      <c r="V51" s="1">
        <v>5641.7</v>
      </c>
      <c r="W51" s="1">
        <v>20257.599999999999</v>
      </c>
      <c r="X51" s="1">
        <v>600.1</v>
      </c>
      <c r="Y51" s="1">
        <v>600</v>
      </c>
      <c r="Z51" s="1">
        <v>104729.4</v>
      </c>
      <c r="AA51" s="1">
        <v>29.37</v>
      </c>
      <c r="AB51" s="1">
        <v>2000</v>
      </c>
    </row>
    <row r="52" spans="1:28" x14ac:dyDescent="0.4">
      <c r="A52" s="1" t="s">
        <v>35</v>
      </c>
      <c r="B52" s="1">
        <v>2000</v>
      </c>
      <c r="C52" s="1">
        <v>0.3</v>
      </c>
      <c r="D52" s="1">
        <v>0.5</v>
      </c>
      <c r="E52" s="1">
        <v>1000</v>
      </c>
      <c r="F52" s="1">
        <v>2</v>
      </c>
      <c r="G52" s="1">
        <v>1</v>
      </c>
      <c r="H52" s="1" t="s">
        <v>583</v>
      </c>
      <c r="I52" s="1">
        <v>226019.20000000001</v>
      </c>
      <c r="J52" s="1">
        <v>89595.9</v>
      </c>
      <c r="K52" s="1">
        <v>136423.29999999999</v>
      </c>
      <c r="L52" s="1">
        <v>600</v>
      </c>
      <c r="M52" s="1">
        <v>600.01</v>
      </c>
      <c r="N52" s="1">
        <v>54377</v>
      </c>
      <c r="O52" s="1">
        <v>82992.100000000006</v>
      </c>
      <c r="P52" s="1">
        <v>137369.1</v>
      </c>
      <c r="Q52" s="1">
        <v>14445.4</v>
      </c>
      <c r="R52" s="1">
        <v>6048.9</v>
      </c>
      <c r="S52" s="1">
        <v>20494.3</v>
      </c>
      <c r="T52" s="1">
        <v>30.15</v>
      </c>
      <c r="U52" s="1">
        <v>0.16</v>
      </c>
      <c r="V52" s="1">
        <v>5942.3</v>
      </c>
      <c r="W52" s="1">
        <v>20387.7</v>
      </c>
      <c r="X52" s="1">
        <v>600.16999999999996</v>
      </c>
      <c r="Y52" s="1">
        <v>600</v>
      </c>
      <c r="Z52" s="1">
        <v>157756.79999999999</v>
      </c>
      <c r="AA52" s="1">
        <v>30.2</v>
      </c>
      <c r="AB52" s="1">
        <v>2000</v>
      </c>
    </row>
    <row r="53" spans="1:28" x14ac:dyDescent="0.4">
      <c r="A53" s="1" t="s">
        <v>36</v>
      </c>
      <c r="B53" s="1">
        <v>2000</v>
      </c>
      <c r="C53" s="1">
        <v>0.3</v>
      </c>
      <c r="D53" s="1">
        <v>0.5</v>
      </c>
      <c r="E53" s="1">
        <v>1000</v>
      </c>
      <c r="F53" s="1">
        <v>2</v>
      </c>
      <c r="G53" s="1">
        <v>2</v>
      </c>
      <c r="H53" s="1" t="s">
        <v>583</v>
      </c>
      <c r="I53" s="1">
        <v>220764</v>
      </c>
      <c r="J53" s="1">
        <v>89826.2</v>
      </c>
      <c r="K53" s="1">
        <v>130937.8</v>
      </c>
      <c r="L53" s="1">
        <v>600</v>
      </c>
      <c r="M53" s="1">
        <v>600.01</v>
      </c>
      <c r="N53" s="1">
        <v>54060.5</v>
      </c>
      <c r="O53" s="1">
        <v>79856.5</v>
      </c>
      <c r="P53" s="1">
        <v>133917</v>
      </c>
      <c r="Q53" s="1">
        <v>14052.5</v>
      </c>
      <c r="R53" s="1">
        <v>5169.8</v>
      </c>
      <c r="S53" s="1">
        <v>19222.3</v>
      </c>
      <c r="T53" s="1">
        <v>30.63</v>
      </c>
      <c r="U53" s="1">
        <v>0.16</v>
      </c>
      <c r="V53" s="1">
        <v>4998.1000000000004</v>
      </c>
      <c r="W53" s="1">
        <v>19050.599999999999</v>
      </c>
      <c r="X53" s="1">
        <v>600.17999999999995</v>
      </c>
      <c r="Y53" s="1">
        <v>600</v>
      </c>
      <c r="Z53" s="1">
        <v>152967.6</v>
      </c>
      <c r="AA53" s="1">
        <v>30.71</v>
      </c>
      <c r="AB53" s="1">
        <v>2000</v>
      </c>
    </row>
    <row r="54" spans="1:28" x14ac:dyDescent="0.4">
      <c r="A54" s="1" t="s">
        <v>37</v>
      </c>
      <c r="B54" s="1">
        <v>2000</v>
      </c>
      <c r="C54" s="1">
        <v>0.3</v>
      </c>
      <c r="D54" s="1">
        <v>0.5</v>
      </c>
      <c r="E54" s="1">
        <v>1000</v>
      </c>
      <c r="F54" s="1">
        <v>2</v>
      </c>
      <c r="G54" s="1">
        <v>3</v>
      </c>
      <c r="H54" s="1" t="s">
        <v>583</v>
      </c>
      <c r="I54" s="1">
        <v>224411.9</v>
      </c>
      <c r="J54" s="1">
        <v>89500.3</v>
      </c>
      <c r="K54" s="1">
        <v>134911.6</v>
      </c>
      <c r="L54" s="1">
        <v>600</v>
      </c>
      <c r="M54" s="1">
        <v>600</v>
      </c>
      <c r="N54" s="1">
        <v>55123</v>
      </c>
      <c r="O54" s="1">
        <v>83509.3</v>
      </c>
      <c r="P54" s="1">
        <v>138632.29999999999</v>
      </c>
      <c r="Q54" s="1">
        <v>14169.7</v>
      </c>
      <c r="R54" s="1">
        <v>5368.2</v>
      </c>
      <c r="S54" s="1">
        <v>19537.900000000001</v>
      </c>
      <c r="T54" s="1">
        <v>29.52</v>
      </c>
      <c r="U54" s="1">
        <v>0.19</v>
      </c>
      <c r="V54" s="1">
        <v>5115.8999999999996</v>
      </c>
      <c r="W54" s="1">
        <v>19285.599999999999</v>
      </c>
      <c r="X54" s="1">
        <v>600.19000000000005</v>
      </c>
      <c r="Y54" s="1">
        <v>600</v>
      </c>
      <c r="Z54" s="1">
        <v>157917.9</v>
      </c>
      <c r="AA54" s="1">
        <v>29.63</v>
      </c>
      <c r="AB54" s="1">
        <v>2000</v>
      </c>
    </row>
    <row r="55" spans="1:28" x14ac:dyDescent="0.4">
      <c r="A55" s="1" t="s">
        <v>38</v>
      </c>
      <c r="B55" s="1">
        <v>2000</v>
      </c>
      <c r="C55" s="1">
        <v>0.3</v>
      </c>
      <c r="D55" s="1">
        <v>0.5</v>
      </c>
      <c r="E55" s="1">
        <v>1000</v>
      </c>
      <c r="F55" s="1">
        <v>2</v>
      </c>
      <c r="G55" s="1">
        <v>4</v>
      </c>
      <c r="H55" s="1" t="s">
        <v>583</v>
      </c>
      <c r="I55" s="1">
        <v>226364.1</v>
      </c>
      <c r="J55" s="1">
        <v>92915.3</v>
      </c>
      <c r="K55" s="1">
        <v>133448.79999999999</v>
      </c>
      <c r="L55" s="1">
        <v>600</v>
      </c>
      <c r="M55" s="1">
        <v>600</v>
      </c>
      <c r="N55" s="1">
        <v>56998.6</v>
      </c>
      <c r="O55" s="1">
        <v>83446.8</v>
      </c>
      <c r="P55" s="1">
        <v>140445.4</v>
      </c>
      <c r="Q55" s="1">
        <v>13387.9</v>
      </c>
      <c r="R55" s="1">
        <v>4918.8</v>
      </c>
      <c r="S55" s="1">
        <v>18306.7</v>
      </c>
      <c r="T55" s="1">
        <v>29.87</v>
      </c>
      <c r="U55" s="1">
        <v>0.12</v>
      </c>
      <c r="V55" s="1">
        <v>4702.8</v>
      </c>
      <c r="W55" s="1">
        <v>18090.7</v>
      </c>
      <c r="X55" s="1">
        <v>600.13</v>
      </c>
      <c r="Y55" s="1">
        <v>600</v>
      </c>
      <c r="Z55" s="1">
        <v>158536.1</v>
      </c>
      <c r="AA55" s="1">
        <v>29.96</v>
      </c>
      <c r="AB55" s="1">
        <v>2000</v>
      </c>
    </row>
    <row r="56" spans="1:28" x14ac:dyDescent="0.4">
      <c r="A56" s="1" t="s">
        <v>39</v>
      </c>
      <c r="B56" s="1">
        <v>2000</v>
      </c>
      <c r="C56" s="1">
        <v>0.3</v>
      </c>
      <c r="D56" s="1">
        <v>0.5</v>
      </c>
      <c r="E56" s="1">
        <v>1000</v>
      </c>
      <c r="F56" s="1">
        <v>2</v>
      </c>
      <c r="G56" s="1">
        <v>5</v>
      </c>
      <c r="H56" s="1" t="s">
        <v>583</v>
      </c>
      <c r="I56" s="1">
        <v>223723.8</v>
      </c>
      <c r="J56" s="1">
        <v>88167.2</v>
      </c>
      <c r="K56" s="1">
        <v>135556.6</v>
      </c>
      <c r="L56" s="1">
        <v>600</v>
      </c>
      <c r="M56" s="1">
        <v>600</v>
      </c>
      <c r="N56" s="1">
        <v>53469.1</v>
      </c>
      <c r="O56" s="1">
        <v>82824</v>
      </c>
      <c r="P56" s="1">
        <v>136293.1</v>
      </c>
      <c r="Q56" s="1">
        <v>14097.4</v>
      </c>
      <c r="R56" s="1">
        <v>5784.7</v>
      </c>
      <c r="S56" s="1">
        <v>19882.099999999999</v>
      </c>
      <c r="T56" s="1">
        <v>30.19</v>
      </c>
      <c r="U56" s="1">
        <v>0.15</v>
      </c>
      <c r="V56" s="1">
        <v>5628.9</v>
      </c>
      <c r="W56" s="1">
        <v>19726.3</v>
      </c>
      <c r="X56" s="1">
        <v>600.16</v>
      </c>
      <c r="Y56" s="1">
        <v>600</v>
      </c>
      <c r="Z56" s="1">
        <v>156019.4</v>
      </c>
      <c r="AA56" s="1">
        <v>30.26</v>
      </c>
      <c r="AB56" s="1">
        <v>2000</v>
      </c>
    </row>
    <row r="57" spans="1:28" x14ac:dyDescent="0.4">
      <c r="A57" s="1" t="s">
        <v>40</v>
      </c>
      <c r="B57" s="1">
        <v>2000</v>
      </c>
      <c r="C57" s="1">
        <v>0.3</v>
      </c>
      <c r="D57" s="1">
        <v>0.5</v>
      </c>
      <c r="E57" s="1">
        <v>1000</v>
      </c>
      <c r="F57" s="1">
        <v>3</v>
      </c>
      <c r="G57" s="1">
        <v>1</v>
      </c>
      <c r="H57" s="1" t="s">
        <v>583</v>
      </c>
      <c r="I57" s="1">
        <v>288442.5</v>
      </c>
      <c r="J57" s="1">
        <v>113101.1</v>
      </c>
      <c r="K57" s="1">
        <v>175341.4</v>
      </c>
      <c r="L57" s="1">
        <v>600</v>
      </c>
      <c r="M57" s="1">
        <v>600.02</v>
      </c>
      <c r="N57" s="1">
        <v>72204.3</v>
      </c>
      <c r="O57" s="1">
        <v>113194.8</v>
      </c>
      <c r="P57" s="1">
        <v>185399.1</v>
      </c>
      <c r="Q57" s="1">
        <v>13187.6</v>
      </c>
      <c r="R57" s="1">
        <v>4582.3</v>
      </c>
      <c r="S57" s="1">
        <v>17769.900000000001</v>
      </c>
      <c r="T57" s="1">
        <v>29.56</v>
      </c>
      <c r="U57" s="1">
        <v>0.19</v>
      </c>
      <c r="V57" s="1">
        <v>4367.1000000000004</v>
      </c>
      <c r="W57" s="1">
        <v>17554.7</v>
      </c>
      <c r="X57" s="1">
        <v>600.21</v>
      </c>
      <c r="Y57" s="1">
        <v>600</v>
      </c>
      <c r="Z57" s="1">
        <v>202953.8</v>
      </c>
      <c r="AA57" s="1">
        <v>29.64</v>
      </c>
      <c r="AB57" s="1">
        <v>2000</v>
      </c>
    </row>
    <row r="58" spans="1:28" x14ac:dyDescent="0.4">
      <c r="A58" s="1" t="s">
        <v>41</v>
      </c>
      <c r="B58" s="1">
        <v>2000</v>
      </c>
      <c r="C58" s="1">
        <v>0.3</v>
      </c>
      <c r="D58" s="1">
        <v>0.5</v>
      </c>
      <c r="E58" s="1">
        <v>1000</v>
      </c>
      <c r="F58" s="1">
        <v>3</v>
      </c>
      <c r="G58" s="1">
        <v>2</v>
      </c>
      <c r="H58" s="1" t="s">
        <v>583</v>
      </c>
      <c r="I58" s="1">
        <v>287701.09999999998</v>
      </c>
      <c r="J58" s="1">
        <v>113553.1</v>
      </c>
      <c r="K58" s="1">
        <v>174148</v>
      </c>
      <c r="L58" s="1">
        <v>600</v>
      </c>
      <c r="M58" s="1">
        <v>600</v>
      </c>
      <c r="N58" s="1">
        <v>71194.7</v>
      </c>
      <c r="O58" s="1">
        <v>111645.7</v>
      </c>
      <c r="P58" s="1">
        <v>182840.4</v>
      </c>
      <c r="Q58" s="1">
        <v>13327.7</v>
      </c>
      <c r="R58" s="1">
        <v>5081.7</v>
      </c>
      <c r="S58" s="1">
        <v>18409.400000000001</v>
      </c>
      <c r="T58" s="1">
        <v>30.05</v>
      </c>
      <c r="U58" s="1">
        <v>0.17</v>
      </c>
      <c r="V58" s="1">
        <v>4753</v>
      </c>
      <c r="W58" s="1">
        <v>18080.7</v>
      </c>
      <c r="X58" s="1">
        <v>600.16999999999996</v>
      </c>
      <c r="Y58" s="1">
        <v>600</v>
      </c>
      <c r="Z58" s="1">
        <v>200921.1</v>
      </c>
      <c r="AA58" s="1">
        <v>30.16</v>
      </c>
      <c r="AB58" s="1">
        <v>2000</v>
      </c>
    </row>
    <row r="59" spans="1:28" x14ac:dyDescent="0.4">
      <c r="A59" s="1" t="s">
        <v>42</v>
      </c>
      <c r="B59" s="1">
        <v>2000</v>
      </c>
      <c r="C59" s="1">
        <v>0.3</v>
      </c>
      <c r="D59" s="1">
        <v>0.5</v>
      </c>
      <c r="E59" s="1">
        <v>1000</v>
      </c>
      <c r="F59" s="1">
        <v>3</v>
      </c>
      <c r="G59" s="1">
        <v>3</v>
      </c>
      <c r="H59" s="1" t="s">
        <v>583</v>
      </c>
      <c r="I59" s="1">
        <v>274857.09999999998</v>
      </c>
      <c r="J59" s="1">
        <v>108945.7</v>
      </c>
      <c r="K59" s="1">
        <v>165911.4</v>
      </c>
      <c r="L59" s="1">
        <v>600</v>
      </c>
      <c r="M59" s="1">
        <v>600</v>
      </c>
      <c r="N59" s="1">
        <v>68926.899999999994</v>
      </c>
      <c r="O59" s="1">
        <v>109462.8</v>
      </c>
      <c r="P59" s="1">
        <v>178389.7</v>
      </c>
      <c r="Q59" s="1">
        <v>13493.7</v>
      </c>
      <c r="R59" s="1">
        <v>4698.3</v>
      </c>
      <c r="S59" s="1">
        <v>18192</v>
      </c>
      <c r="T59" s="1">
        <v>28.48</v>
      </c>
      <c r="U59" s="1">
        <v>0.23</v>
      </c>
      <c r="V59" s="1">
        <v>4454.8999999999996</v>
      </c>
      <c r="W59" s="1">
        <v>17948.599999999999</v>
      </c>
      <c r="X59" s="1">
        <v>600.23</v>
      </c>
      <c r="Y59" s="1">
        <v>600</v>
      </c>
      <c r="Z59" s="1">
        <v>196338.3</v>
      </c>
      <c r="AA59" s="1">
        <v>28.57</v>
      </c>
      <c r="AB59" s="1">
        <v>2000</v>
      </c>
    </row>
    <row r="60" spans="1:28" x14ac:dyDescent="0.4">
      <c r="A60" s="1" t="s">
        <v>43</v>
      </c>
      <c r="B60" s="1">
        <v>2000</v>
      </c>
      <c r="C60" s="1">
        <v>0.3</v>
      </c>
      <c r="D60" s="1">
        <v>0.5</v>
      </c>
      <c r="E60" s="1">
        <v>1000</v>
      </c>
      <c r="F60" s="1">
        <v>3</v>
      </c>
      <c r="G60" s="1">
        <v>4</v>
      </c>
      <c r="H60" s="1" t="s">
        <v>583</v>
      </c>
      <c r="I60" s="1">
        <v>292725.7</v>
      </c>
      <c r="J60" s="1">
        <v>118548.5</v>
      </c>
      <c r="K60" s="1">
        <v>174177.2</v>
      </c>
      <c r="L60" s="1">
        <v>600</v>
      </c>
      <c r="M60" s="1">
        <v>600.01</v>
      </c>
      <c r="N60" s="1">
        <v>75401.100000000006</v>
      </c>
      <c r="O60" s="1">
        <v>113080.9</v>
      </c>
      <c r="P60" s="1">
        <v>188482</v>
      </c>
      <c r="Q60" s="1">
        <v>13797.7</v>
      </c>
      <c r="R60" s="1">
        <v>4811.2</v>
      </c>
      <c r="S60" s="1">
        <v>18608.900000000001</v>
      </c>
      <c r="T60" s="1">
        <v>29.25</v>
      </c>
      <c r="U60" s="1">
        <v>0.16</v>
      </c>
      <c r="V60" s="1">
        <v>4555.2</v>
      </c>
      <c r="W60" s="1">
        <v>18352.900000000001</v>
      </c>
      <c r="X60" s="1">
        <v>600.16999999999996</v>
      </c>
      <c r="Y60" s="1">
        <v>600</v>
      </c>
      <c r="Z60" s="1">
        <v>206834.9</v>
      </c>
      <c r="AA60" s="1">
        <v>29.34</v>
      </c>
      <c r="AB60" s="1">
        <v>2000</v>
      </c>
    </row>
    <row r="61" spans="1:28" x14ac:dyDescent="0.4">
      <c r="A61" s="1" t="s">
        <v>44</v>
      </c>
      <c r="B61" s="1">
        <v>2000</v>
      </c>
      <c r="C61" s="1">
        <v>0.3</v>
      </c>
      <c r="D61" s="1">
        <v>0.5</v>
      </c>
      <c r="E61" s="1">
        <v>1000</v>
      </c>
      <c r="F61" s="1">
        <v>3</v>
      </c>
      <c r="G61" s="1">
        <v>5</v>
      </c>
      <c r="H61" s="1" t="s">
        <v>583</v>
      </c>
      <c r="I61" s="1">
        <v>279635.3</v>
      </c>
      <c r="J61" s="1">
        <v>110407.9</v>
      </c>
      <c r="K61" s="1">
        <v>169227.4</v>
      </c>
      <c r="L61" s="1">
        <v>600</v>
      </c>
      <c r="M61" s="1">
        <v>600.02</v>
      </c>
      <c r="N61" s="1">
        <v>70224.100000000006</v>
      </c>
      <c r="O61" s="1">
        <v>109024.4</v>
      </c>
      <c r="P61" s="1">
        <v>179248.5</v>
      </c>
      <c r="Q61" s="1">
        <v>13198.2</v>
      </c>
      <c r="R61" s="1">
        <v>4897.1000000000004</v>
      </c>
      <c r="S61" s="1">
        <v>18095.3</v>
      </c>
      <c r="T61" s="1">
        <v>29.43</v>
      </c>
      <c r="U61" s="1">
        <v>0.18</v>
      </c>
      <c r="V61" s="1">
        <v>4661.3</v>
      </c>
      <c r="W61" s="1">
        <v>17859.5</v>
      </c>
      <c r="X61" s="1">
        <v>600.21</v>
      </c>
      <c r="Y61" s="1">
        <v>600</v>
      </c>
      <c r="Z61" s="1">
        <v>197108</v>
      </c>
      <c r="AA61" s="1">
        <v>29.51</v>
      </c>
      <c r="AB61" s="1">
        <v>2000</v>
      </c>
    </row>
    <row r="62" spans="1:28" x14ac:dyDescent="0.4">
      <c r="A62" s="1" t="s">
        <v>317</v>
      </c>
      <c r="B62" s="1">
        <v>2000</v>
      </c>
      <c r="C62" s="1">
        <v>0.3</v>
      </c>
      <c r="D62" s="1">
        <v>0.5</v>
      </c>
      <c r="E62" s="1">
        <v>2000</v>
      </c>
      <c r="F62" s="1">
        <v>1</v>
      </c>
      <c r="G62" s="1">
        <v>1</v>
      </c>
      <c r="H62" s="1" t="s">
        <v>583</v>
      </c>
      <c r="I62" s="1">
        <v>289583.90000000002</v>
      </c>
      <c r="J62" s="1">
        <v>121580.7</v>
      </c>
      <c r="K62" s="1">
        <v>168003.20000000001</v>
      </c>
      <c r="L62" s="1">
        <v>600</v>
      </c>
      <c r="M62" s="1">
        <v>600.01</v>
      </c>
      <c r="N62" s="1">
        <v>75128.100000000006</v>
      </c>
      <c r="O62" s="1">
        <v>103222.2</v>
      </c>
      <c r="P62" s="1">
        <v>178350.3</v>
      </c>
      <c r="Q62" s="1">
        <v>14880.7</v>
      </c>
      <c r="R62" s="1">
        <v>6729.4</v>
      </c>
      <c r="S62" s="1">
        <v>21610.1</v>
      </c>
      <c r="T62" s="1">
        <v>30.95</v>
      </c>
      <c r="U62" s="1">
        <v>0.11</v>
      </c>
      <c r="V62" s="1">
        <v>6516.8</v>
      </c>
      <c r="W62" s="1">
        <v>21397.5</v>
      </c>
      <c r="X62" s="1">
        <v>600.12</v>
      </c>
      <c r="Y62" s="1">
        <v>600</v>
      </c>
      <c r="Z62" s="1">
        <v>199747.8</v>
      </c>
      <c r="AA62" s="1">
        <v>31.02</v>
      </c>
      <c r="AB62" s="1">
        <v>2000</v>
      </c>
    </row>
    <row r="63" spans="1:28" x14ac:dyDescent="0.4">
      <c r="A63" s="1" t="s">
        <v>318</v>
      </c>
      <c r="B63" s="1">
        <v>2000</v>
      </c>
      <c r="C63" s="1">
        <v>0.3</v>
      </c>
      <c r="D63" s="1">
        <v>0.5</v>
      </c>
      <c r="E63" s="1">
        <v>2000</v>
      </c>
      <c r="F63" s="1">
        <v>1</v>
      </c>
      <c r="G63" s="1">
        <v>2</v>
      </c>
      <c r="H63" s="1" t="s">
        <v>583</v>
      </c>
      <c r="I63" s="1">
        <v>300140.09999999998</v>
      </c>
      <c r="J63" s="1">
        <v>119249.7</v>
      </c>
      <c r="K63" s="1">
        <v>180890.4</v>
      </c>
      <c r="L63" s="1">
        <v>600</v>
      </c>
      <c r="M63" s="1">
        <v>600</v>
      </c>
      <c r="N63" s="1">
        <v>73385.2</v>
      </c>
      <c r="O63" s="1">
        <v>110139</v>
      </c>
      <c r="P63" s="1">
        <v>183524.2</v>
      </c>
      <c r="Q63" s="1">
        <v>14798.4</v>
      </c>
      <c r="R63" s="1">
        <v>6735.9</v>
      </c>
      <c r="S63" s="1">
        <v>21534.3</v>
      </c>
      <c r="T63" s="1">
        <v>31.68</v>
      </c>
      <c r="U63" s="1">
        <v>0.13</v>
      </c>
      <c r="V63" s="1">
        <v>6527.4</v>
      </c>
      <c r="W63" s="1">
        <v>21325.8</v>
      </c>
      <c r="X63" s="1">
        <v>600.13</v>
      </c>
      <c r="Y63" s="1">
        <v>600</v>
      </c>
      <c r="Z63" s="1">
        <v>204850</v>
      </c>
      <c r="AA63" s="1">
        <v>31.75</v>
      </c>
      <c r="AB63" s="1">
        <v>2000</v>
      </c>
    </row>
    <row r="64" spans="1:28" x14ac:dyDescent="0.4">
      <c r="A64" s="1" t="s">
        <v>319</v>
      </c>
      <c r="B64" s="1">
        <v>2000</v>
      </c>
      <c r="C64" s="1">
        <v>0.3</v>
      </c>
      <c r="D64" s="1">
        <v>0.5</v>
      </c>
      <c r="E64" s="1">
        <v>2000</v>
      </c>
      <c r="F64" s="1">
        <v>1</v>
      </c>
      <c r="G64" s="1">
        <v>3</v>
      </c>
      <c r="H64" s="1" t="s">
        <v>583</v>
      </c>
      <c r="I64" s="1">
        <v>290338.59999999998</v>
      </c>
      <c r="J64" s="1">
        <v>115863.1</v>
      </c>
      <c r="K64" s="1">
        <v>174475.5</v>
      </c>
      <c r="L64" s="1">
        <v>600</v>
      </c>
      <c r="M64" s="1">
        <v>600</v>
      </c>
      <c r="N64" s="1">
        <v>73859.8</v>
      </c>
      <c r="O64" s="1">
        <v>110225.4</v>
      </c>
      <c r="P64" s="1">
        <v>184085.2</v>
      </c>
      <c r="Q64" s="1">
        <v>14438.8</v>
      </c>
      <c r="R64" s="1">
        <v>6344.6</v>
      </c>
      <c r="S64" s="1">
        <v>20783.400000000001</v>
      </c>
      <c r="T64" s="1">
        <v>29.44</v>
      </c>
      <c r="U64" s="1">
        <v>0.13</v>
      </c>
      <c r="V64" s="1">
        <v>6268.1</v>
      </c>
      <c r="W64" s="1">
        <v>20706.900000000001</v>
      </c>
      <c r="X64" s="1">
        <v>600.14</v>
      </c>
      <c r="Y64" s="1">
        <v>600</v>
      </c>
      <c r="Z64" s="1">
        <v>204792.1</v>
      </c>
      <c r="AA64" s="1">
        <v>29.46</v>
      </c>
      <c r="AB64" s="1">
        <v>2000</v>
      </c>
    </row>
    <row r="65" spans="1:28" x14ac:dyDescent="0.4">
      <c r="A65" s="1" t="s">
        <v>320</v>
      </c>
      <c r="B65" s="1">
        <v>2000</v>
      </c>
      <c r="C65" s="1">
        <v>0.3</v>
      </c>
      <c r="D65" s="1">
        <v>0.5</v>
      </c>
      <c r="E65" s="1">
        <v>2000</v>
      </c>
      <c r="F65" s="1">
        <v>1</v>
      </c>
      <c r="G65" s="1">
        <v>4</v>
      </c>
      <c r="H65" s="1" t="s">
        <v>583</v>
      </c>
      <c r="I65" s="1">
        <v>295767.40000000002</v>
      </c>
      <c r="J65" s="1">
        <v>117585.9</v>
      </c>
      <c r="K65" s="1">
        <v>178181.5</v>
      </c>
      <c r="L65" s="1">
        <v>600</v>
      </c>
      <c r="M65" s="1">
        <v>600</v>
      </c>
      <c r="N65" s="1">
        <v>72720.2</v>
      </c>
      <c r="O65" s="1">
        <v>109324.2</v>
      </c>
      <c r="P65" s="1">
        <v>182044.4</v>
      </c>
      <c r="Q65" s="1">
        <v>14763.3</v>
      </c>
      <c r="R65" s="1">
        <v>6478.1</v>
      </c>
      <c r="S65" s="1">
        <v>21241.4</v>
      </c>
      <c r="T65" s="1">
        <v>31.27</v>
      </c>
      <c r="U65" s="1">
        <v>0.12</v>
      </c>
      <c r="V65" s="1">
        <v>6277.7</v>
      </c>
      <c r="W65" s="1">
        <v>21041</v>
      </c>
      <c r="X65" s="1">
        <v>600.12</v>
      </c>
      <c r="Y65" s="1">
        <v>600</v>
      </c>
      <c r="Z65" s="1">
        <v>203085.4</v>
      </c>
      <c r="AA65" s="1">
        <v>31.34</v>
      </c>
      <c r="AB65" s="1">
        <v>2000</v>
      </c>
    </row>
    <row r="66" spans="1:28" x14ac:dyDescent="0.4">
      <c r="A66" s="1" t="s">
        <v>321</v>
      </c>
      <c r="B66" s="1">
        <v>2000</v>
      </c>
      <c r="C66" s="1">
        <v>0.3</v>
      </c>
      <c r="D66" s="1">
        <v>0.5</v>
      </c>
      <c r="E66" s="1">
        <v>2000</v>
      </c>
      <c r="F66" s="1">
        <v>1</v>
      </c>
      <c r="G66" s="1">
        <v>5</v>
      </c>
      <c r="H66" s="1" t="s">
        <v>583</v>
      </c>
      <c r="I66" s="1">
        <v>304712</v>
      </c>
      <c r="J66" s="1">
        <v>117046.9</v>
      </c>
      <c r="K66" s="1">
        <v>187665.1</v>
      </c>
      <c r="L66" s="1">
        <v>600</v>
      </c>
      <c r="M66" s="1">
        <v>600</v>
      </c>
      <c r="N66" s="1">
        <v>71806.8</v>
      </c>
      <c r="O66" s="1">
        <v>116779.9</v>
      </c>
      <c r="P66" s="1">
        <v>188586.7</v>
      </c>
      <c r="Q66" s="1">
        <v>14538</v>
      </c>
      <c r="R66" s="1">
        <v>6869.4</v>
      </c>
      <c r="S66" s="1">
        <v>21407.4</v>
      </c>
      <c r="T66" s="1">
        <v>31.08</v>
      </c>
      <c r="U66" s="1">
        <v>0.15</v>
      </c>
      <c r="V66" s="1">
        <v>6705.1</v>
      </c>
      <c r="W66" s="1">
        <v>21243.1</v>
      </c>
      <c r="X66" s="1">
        <v>600.15</v>
      </c>
      <c r="Y66" s="1">
        <v>600</v>
      </c>
      <c r="Z66" s="1">
        <v>209829.8</v>
      </c>
      <c r="AA66" s="1">
        <v>31.14</v>
      </c>
      <c r="AB66" s="1">
        <v>2000</v>
      </c>
    </row>
    <row r="67" spans="1:28" x14ac:dyDescent="0.4">
      <c r="A67" s="1" t="s">
        <v>322</v>
      </c>
      <c r="B67" s="1">
        <v>2000</v>
      </c>
      <c r="C67" s="1">
        <v>0.3</v>
      </c>
      <c r="D67" s="1">
        <v>0.5</v>
      </c>
      <c r="E67" s="1">
        <v>2000</v>
      </c>
      <c r="F67" s="1">
        <v>2</v>
      </c>
      <c r="G67" s="1">
        <v>1</v>
      </c>
      <c r="H67" s="1" t="s">
        <v>583</v>
      </c>
      <c r="I67" s="1">
        <v>439539.6</v>
      </c>
      <c r="J67" s="1">
        <v>174410.9</v>
      </c>
      <c r="K67" s="1">
        <v>265128.7</v>
      </c>
      <c r="L67" s="1">
        <v>600</v>
      </c>
      <c r="M67" s="1">
        <v>600.01</v>
      </c>
      <c r="N67" s="1">
        <v>109802.6</v>
      </c>
      <c r="O67" s="1">
        <v>168382.7</v>
      </c>
      <c r="P67" s="1">
        <v>278185.3</v>
      </c>
      <c r="Q67" s="1">
        <v>14092.1</v>
      </c>
      <c r="R67" s="1">
        <v>6613</v>
      </c>
      <c r="S67" s="1">
        <v>20705.099999999999</v>
      </c>
      <c r="T67" s="1">
        <v>32</v>
      </c>
      <c r="U67" s="1">
        <v>0.17</v>
      </c>
      <c r="V67" s="1">
        <v>6347.9</v>
      </c>
      <c r="W67" s="1">
        <v>20440</v>
      </c>
      <c r="X67" s="1">
        <v>600.17999999999995</v>
      </c>
      <c r="Y67" s="1">
        <v>600</v>
      </c>
      <c r="Z67" s="1">
        <v>298625.3</v>
      </c>
      <c r="AA67" s="1">
        <v>32.06</v>
      </c>
      <c r="AB67" s="1">
        <v>2000</v>
      </c>
    </row>
    <row r="68" spans="1:28" x14ac:dyDescent="0.4">
      <c r="A68" s="1" t="s">
        <v>323</v>
      </c>
      <c r="B68" s="1">
        <v>2000</v>
      </c>
      <c r="C68" s="1">
        <v>0.3</v>
      </c>
      <c r="D68" s="1">
        <v>0.5</v>
      </c>
      <c r="E68" s="1">
        <v>2000</v>
      </c>
      <c r="F68" s="1">
        <v>2</v>
      </c>
      <c r="G68" s="1">
        <v>2</v>
      </c>
      <c r="H68" s="1" t="s">
        <v>583</v>
      </c>
      <c r="I68" s="1">
        <v>439572.5</v>
      </c>
      <c r="J68" s="1">
        <v>169352</v>
      </c>
      <c r="K68" s="1">
        <v>270220.5</v>
      </c>
      <c r="L68" s="1">
        <v>600</v>
      </c>
      <c r="M68" s="1">
        <v>600</v>
      </c>
      <c r="N68" s="1">
        <v>108813.4</v>
      </c>
      <c r="O68" s="1">
        <v>176206.2</v>
      </c>
      <c r="P68" s="1">
        <v>285019.59999999998</v>
      </c>
      <c r="Q68" s="1">
        <v>14597.2</v>
      </c>
      <c r="R68" s="1">
        <v>6413.6</v>
      </c>
      <c r="S68" s="1">
        <v>21010.799999999999</v>
      </c>
      <c r="T68" s="1">
        <v>30.38</v>
      </c>
      <c r="U68" s="1">
        <v>0.15</v>
      </c>
      <c r="V68" s="1">
        <v>6218.3</v>
      </c>
      <c r="W68" s="1">
        <v>20815.5</v>
      </c>
      <c r="X68" s="1">
        <v>600.15</v>
      </c>
      <c r="Y68" s="1">
        <v>600</v>
      </c>
      <c r="Z68" s="1">
        <v>305835.09999999998</v>
      </c>
      <c r="AA68" s="1">
        <v>30.42</v>
      </c>
      <c r="AB68" s="1">
        <v>2000</v>
      </c>
    </row>
    <row r="69" spans="1:28" x14ac:dyDescent="0.4">
      <c r="A69" s="1" t="s">
        <v>324</v>
      </c>
      <c r="B69" s="1">
        <v>2000</v>
      </c>
      <c r="C69" s="1">
        <v>0.3</v>
      </c>
      <c r="D69" s="1">
        <v>0.5</v>
      </c>
      <c r="E69" s="1">
        <v>2000</v>
      </c>
      <c r="F69" s="1">
        <v>2</v>
      </c>
      <c r="G69" s="1">
        <v>3</v>
      </c>
      <c r="H69" s="1" t="s">
        <v>583</v>
      </c>
      <c r="I69" s="1">
        <v>444091.5</v>
      </c>
      <c r="J69" s="1">
        <v>175675.5</v>
      </c>
      <c r="K69" s="1">
        <v>268416</v>
      </c>
      <c r="L69" s="1">
        <v>600</v>
      </c>
      <c r="M69" s="1">
        <v>600.02</v>
      </c>
      <c r="N69" s="1">
        <v>113514.2</v>
      </c>
      <c r="O69" s="1">
        <v>172565.3</v>
      </c>
      <c r="P69" s="1">
        <v>286079.5</v>
      </c>
      <c r="Q69" s="1">
        <v>13734.1</v>
      </c>
      <c r="R69" s="1">
        <v>5577.6</v>
      </c>
      <c r="S69" s="1">
        <v>19311.7</v>
      </c>
      <c r="T69" s="1">
        <v>31.23</v>
      </c>
      <c r="U69" s="1">
        <v>0.17</v>
      </c>
      <c r="V69" s="1">
        <v>5234.8</v>
      </c>
      <c r="W69" s="1">
        <v>18968.900000000001</v>
      </c>
      <c r="X69" s="1">
        <v>600.19000000000005</v>
      </c>
      <c r="Y69" s="1">
        <v>600</v>
      </c>
      <c r="Z69" s="1">
        <v>305048.40000000002</v>
      </c>
      <c r="AA69" s="1">
        <v>31.31</v>
      </c>
      <c r="AB69" s="1">
        <v>2000</v>
      </c>
    </row>
    <row r="70" spans="1:28" x14ac:dyDescent="0.4">
      <c r="A70" s="1" t="s">
        <v>325</v>
      </c>
      <c r="B70" s="1">
        <v>2000</v>
      </c>
      <c r="C70" s="1">
        <v>0.3</v>
      </c>
      <c r="D70" s="1">
        <v>0.5</v>
      </c>
      <c r="E70" s="1">
        <v>2000</v>
      </c>
      <c r="F70" s="1">
        <v>2</v>
      </c>
      <c r="G70" s="1">
        <v>4</v>
      </c>
      <c r="H70" s="1" t="s">
        <v>583</v>
      </c>
      <c r="I70" s="1">
        <v>443193.7</v>
      </c>
      <c r="J70" s="1">
        <v>177975.9</v>
      </c>
      <c r="K70" s="1">
        <v>265217.8</v>
      </c>
      <c r="L70" s="1">
        <v>600</v>
      </c>
      <c r="M70" s="1">
        <v>600</v>
      </c>
      <c r="N70" s="1">
        <v>114850.5</v>
      </c>
      <c r="O70" s="1">
        <v>169360.9</v>
      </c>
      <c r="P70" s="1">
        <v>284211.40000000002</v>
      </c>
      <c r="Q70" s="1">
        <v>14031.1</v>
      </c>
      <c r="R70" s="1">
        <v>6580.2</v>
      </c>
      <c r="S70" s="1">
        <v>20611.3</v>
      </c>
      <c r="T70" s="1">
        <v>31.22</v>
      </c>
      <c r="U70" s="1">
        <v>0.16</v>
      </c>
      <c r="V70" s="1">
        <v>6350.1</v>
      </c>
      <c r="W70" s="1">
        <v>20381.2</v>
      </c>
      <c r="X70" s="1">
        <v>600.16</v>
      </c>
      <c r="Y70" s="1">
        <v>600</v>
      </c>
      <c r="Z70" s="1">
        <v>304592.59999999998</v>
      </c>
      <c r="AA70" s="1">
        <v>31.27</v>
      </c>
      <c r="AB70" s="1">
        <v>2000</v>
      </c>
    </row>
    <row r="71" spans="1:28" x14ac:dyDescent="0.4">
      <c r="A71" s="1" t="s">
        <v>326</v>
      </c>
      <c r="B71" s="1">
        <v>2000</v>
      </c>
      <c r="C71" s="1">
        <v>0.3</v>
      </c>
      <c r="D71" s="1">
        <v>0.5</v>
      </c>
      <c r="E71" s="1">
        <v>2000</v>
      </c>
      <c r="F71" s="1">
        <v>2</v>
      </c>
      <c r="G71" s="1">
        <v>5</v>
      </c>
      <c r="H71" s="1" t="s">
        <v>583</v>
      </c>
      <c r="I71" s="1">
        <v>463838.9</v>
      </c>
      <c r="J71" s="1">
        <v>182621.5</v>
      </c>
      <c r="K71" s="1">
        <v>281217.40000000002</v>
      </c>
      <c r="L71" s="1">
        <v>600</v>
      </c>
      <c r="M71" s="1">
        <v>600.02</v>
      </c>
      <c r="N71" s="1">
        <v>114349.2</v>
      </c>
      <c r="O71" s="1">
        <v>181006</v>
      </c>
      <c r="P71" s="1">
        <v>295355.2</v>
      </c>
      <c r="Q71" s="1">
        <v>13683.2</v>
      </c>
      <c r="R71" s="1">
        <v>5840.5</v>
      </c>
      <c r="S71" s="1">
        <v>19523.7</v>
      </c>
      <c r="T71" s="1">
        <v>32.11</v>
      </c>
      <c r="U71" s="1">
        <v>0.18</v>
      </c>
      <c r="V71" s="1">
        <v>5495.3</v>
      </c>
      <c r="W71" s="1">
        <v>19178.5</v>
      </c>
      <c r="X71" s="1">
        <v>600.20000000000005</v>
      </c>
      <c r="Y71" s="1">
        <v>600</v>
      </c>
      <c r="Z71" s="1">
        <v>314533.7</v>
      </c>
      <c r="AA71" s="1">
        <v>32.19</v>
      </c>
      <c r="AB71" s="1">
        <v>2000</v>
      </c>
    </row>
    <row r="72" spans="1:28" x14ac:dyDescent="0.4">
      <c r="A72" s="1" t="s">
        <v>327</v>
      </c>
      <c r="B72" s="1">
        <v>2000</v>
      </c>
      <c r="C72" s="1">
        <v>0.3</v>
      </c>
      <c r="D72" s="1">
        <v>0.5</v>
      </c>
      <c r="E72" s="1">
        <v>2000</v>
      </c>
      <c r="F72" s="1">
        <v>3</v>
      </c>
      <c r="G72" s="1">
        <v>1</v>
      </c>
      <c r="H72" s="1" t="s">
        <v>583</v>
      </c>
      <c r="I72" s="1">
        <v>556141.4</v>
      </c>
      <c r="J72" s="1">
        <v>221894.1</v>
      </c>
      <c r="K72" s="1">
        <v>334247.3</v>
      </c>
      <c r="L72" s="1">
        <v>600</v>
      </c>
      <c r="M72" s="1">
        <v>600.03</v>
      </c>
      <c r="N72" s="1">
        <v>145692.70000000001</v>
      </c>
      <c r="O72" s="1">
        <v>221957.5</v>
      </c>
      <c r="P72" s="1">
        <v>367650.2</v>
      </c>
      <c r="Q72" s="1">
        <v>13564</v>
      </c>
      <c r="R72" s="1">
        <v>5709.8</v>
      </c>
      <c r="S72" s="1">
        <v>19273.8</v>
      </c>
      <c r="T72" s="1">
        <v>30.43</v>
      </c>
      <c r="U72" s="1">
        <v>0.28000000000000003</v>
      </c>
      <c r="V72" s="1">
        <v>5450</v>
      </c>
      <c r="W72" s="1">
        <v>19014</v>
      </c>
      <c r="X72" s="1">
        <v>600.30999999999995</v>
      </c>
      <c r="Y72" s="1">
        <v>600</v>
      </c>
      <c r="Z72" s="1">
        <v>386664.2</v>
      </c>
      <c r="AA72" s="1">
        <v>30.47</v>
      </c>
      <c r="AB72" s="1">
        <v>2000</v>
      </c>
    </row>
    <row r="73" spans="1:28" x14ac:dyDescent="0.4">
      <c r="A73" s="1" t="s">
        <v>328</v>
      </c>
      <c r="B73" s="1">
        <v>2000</v>
      </c>
      <c r="C73" s="1">
        <v>0.3</v>
      </c>
      <c r="D73" s="1">
        <v>0.5</v>
      </c>
      <c r="E73" s="1">
        <v>2000</v>
      </c>
      <c r="F73" s="1">
        <v>3</v>
      </c>
      <c r="G73" s="1">
        <v>2</v>
      </c>
      <c r="H73" s="1" t="s">
        <v>583</v>
      </c>
      <c r="I73" s="1">
        <v>560257</v>
      </c>
      <c r="J73" s="1">
        <v>221512.4</v>
      </c>
      <c r="K73" s="1">
        <v>338744.6</v>
      </c>
      <c r="L73" s="1">
        <v>600</v>
      </c>
      <c r="M73" s="1">
        <v>600.01</v>
      </c>
      <c r="N73" s="1">
        <v>148479.4</v>
      </c>
      <c r="O73" s="1">
        <v>226825.9</v>
      </c>
      <c r="P73" s="1">
        <v>375305.3</v>
      </c>
      <c r="Q73" s="1">
        <v>13224.8</v>
      </c>
      <c r="R73" s="1">
        <v>5379.9</v>
      </c>
      <c r="S73" s="1">
        <v>18604.7</v>
      </c>
      <c r="T73" s="1">
        <v>29.69</v>
      </c>
      <c r="U73" s="1">
        <v>0.26</v>
      </c>
      <c r="V73" s="1">
        <v>5085.6000000000004</v>
      </c>
      <c r="W73" s="1">
        <v>18310.400000000001</v>
      </c>
      <c r="X73" s="1">
        <v>600.27</v>
      </c>
      <c r="Y73" s="1">
        <v>600</v>
      </c>
      <c r="Z73" s="1">
        <v>393615.7</v>
      </c>
      <c r="AA73" s="1">
        <v>29.74</v>
      </c>
      <c r="AB73" s="1">
        <v>2000</v>
      </c>
    </row>
    <row r="74" spans="1:28" x14ac:dyDescent="0.4">
      <c r="A74" s="1" t="s">
        <v>329</v>
      </c>
      <c r="B74" s="1">
        <v>2000</v>
      </c>
      <c r="C74" s="1">
        <v>0.3</v>
      </c>
      <c r="D74" s="1">
        <v>0.5</v>
      </c>
      <c r="E74" s="1">
        <v>2000</v>
      </c>
      <c r="F74" s="1">
        <v>3</v>
      </c>
      <c r="G74" s="1">
        <v>3</v>
      </c>
      <c r="H74" s="1" t="s">
        <v>583</v>
      </c>
      <c r="I74" s="1">
        <v>568524.9</v>
      </c>
      <c r="J74" s="1">
        <v>227982.2</v>
      </c>
      <c r="K74" s="1">
        <v>340542.7</v>
      </c>
      <c r="L74" s="1">
        <v>600</v>
      </c>
      <c r="M74" s="1">
        <v>600</v>
      </c>
      <c r="N74" s="1">
        <v>150885.6</v>
      </c>
      <c r="O74" s="1">
        <v>230225.7</v>
      </c>
      <c r="P74" s="1">
        <v>381111.3</v>
      </c>
      <c r="Q74" s="1">
        <v>13153.7</v>
      </c>
      <c r="R74" s="1">
        <v>4845</v>
      </c>
      <c r="S74" s="1">
        <v>17998.7</v>
      </c>
      <c r="T74" s="1">
        <v>29.8</v>
      </c>
      <c r="U74" s="1">
        <v>0.18</v>
      </c>
      <c r="V74" s="1">
        <v>4577.8</v>
      </c>
      <c r="W74" s="1">
        <v>17731.5</v>
      </c>
      <c r="X74" s="1">
        <v>600.17999999999995</v>
      </c>
      <c r="Y74" s="1">
        <v>600</v>
      </c>
      <c r="Z74" s="1">
        <v>398842.8</v>
      </c>
      <c r="AA74" s="1">
        <v>29.85</v>
      </c>
      <c r="AB74" s="1">
        <v>2000</v>
      </c>
    </row>
    <row r="75" spans="1:28" x14ac:dyDescent="0.4">
      <c r="A75" s="1" t="s">
        <v>330</v>
      </c>
      <c r="B75" s="1">
        <v>2000</v>
      </c>
      <c r="C75" s="1">
        <v>0.3</v>
      </c>
      <c r="D75" s="1">
        <v>0.5</v>
      </c>
      <c r="E75" s="1">
        <v>2000</v>
      </c>
      <c r="F75" s="1">
        <v>3</v>
      </c>
      <c r="G75" s="1">
        <v>4</v>
      </c>
      <c r="H75" s="1" t="s">
        <v>583</v>
      </c>
      <c r="I75" s="1">
        <v>572096.9</v>
      </c>
      <c r="J75" s="1">
        <v>227950.6</v>
      </c>
      <c r="K75" s="1">
        <v>344146.3</v>
      </c>
      <c r="L75" s="1">
        <v>600</v>
      </c>
      <c r="M75" s="1">
        <v>600.01</v>
      </c>
      <c r="N75" s="1">
        <v>152743.9</v>
      </c>
      <c r="O75" s="1">
        <v>234664.6</v>
      </c>
      <c r="P75" s="1">
        <v>387408.5</v>
      </c>
      <c r="Q75" s="1">
        <v>13158.3</v>
      </c>
      <c r="R75" s="1">
        <v>5119.3999999999996</v>
      </c>
      <c r="S75" s="1">
        <v>18277.7</v>
      </c>
      <c r="T75" s="1">
        <v>29.09</v>
      </c>
      <c r="U75" s="1">
        <v>0.19</v>
      </c>
      <c r="V75" s="1">
        <v>4847.6000000000004</v>
      </c>
      <c r="W75" s="1">
        <v>18005.900000000001</v>
      </c>
      <c r="X75" s="1">
        <v>600.19000000000005</v>
      </c>
      <c r="Y75" s="1">
        <v>600</v>
      </c>
      <c r="Z75" s="1">
        <v>405414.40000000002</v>
      </c>
      <c r="AA75" s="1">
        <v>29.14</v>
      </c>
      <c r="AB75" s="1">
        <v>2000</v>
      </c>
    </row>
    <row r="76" spans="1:28" x14ac:dyDescent="0.4">
      <c r="A76" s="1" t="s">
        <v>331</v>
      </c>
      <c r="B76" s="1">
        <v>2000</v>
      </c>
      <c r="C76" s="1">
        <v>0.3</v>
      </c>
      <c r="D76" s="1">
        <v>0.5</v>
      </c>
      <c r="E76" s="1">
        <v>2000</v>
      </c>
      <c r="F76" s="1">
        <v>3</v>
      </c>
      <c r="G76" s="1">
        <v>5</v>
      </c>
      <c r="H76" s="1" t="s">
        <v>583</v>
      </c>
      <c r="I76" s="1">
        <v>563961.5</v>
      </c>
      <c r="J76" s="1">
        <v>224204.2</v>
      </c>
      <c r="K76" s="1">
        <v>339757.3</v>
      </c>
      <c r="L76" s="1">
        <v>600</v>
      </c>
      <c r="M76" s="1">
        <v>600.01</v>
      </c>
      <c r="N76" s="1">
        <v>147503.9</v>
      </c>
      <c r="O76" s="1">
        <v>225585.6</v>
      </c>
      <c r="P76" s="1">
        <v>373089.5</v>
      </c>
      <c r="Q76" s="1">
        <v>13087.6</v>
      </c>
      <c r="R76" s="1">
        <v>5487.8</v>
      </c>
      <c r="S76" s="1">
        <v>18575.400000000001</v>
      </c>
      <c r="T76" s="1">
        <v>30.55</v>
      </c>
      <c r="U76" s="1">
        <v>0.22</v>
      </c>
      <c r="V76" s="1">
        <v>5269.8</v>
      </c>
      <c r="W76" s="1">
        <v>18357.400000000001</v>
      </c>
      <c r="X76" s="1">
        <v>600.23</v>
      </c>
      <c r="Y76" s="1">
        <v>600</v>
      </c>
      <c r="Z76" s="1">
        <v>391446.9</v>
      </c>
      <c r="AA76" s="1">
        <v>30.59</v>
      </c>
      <c r="AB76" s="1">
        <v>2000</v>
      </c>
    </row>
    <row r="77" spans="1:28" x14ac:dyDescent="0.4">
      <c r="A77" s="1" t="s">
        <v>332</v>
      </c>
      <c r="B77" s="1">
        <v>2000</v>
      </c>
      <c r="C77" s="1">
        <v>0.3</v>
      </c>
      <c r="D77" s="1">
        <v>0.5</v>
      </c>
      <c r="E77" s="1">
        <v>500</v>
      </c>
      <c r="F77" s="1">
        <v>1</v>
      </c>
      <c r="G77" s="1">
        <v>1</v>
      </c>
      <c r="H77" s="1" t="s">
        <v>583</v>
      </c>
      <c r="I77" s="1">
        <v>74756.5</v>
      </c>
      <c r="J77" s="1">
        <v>30616.9</v>
      </c>
      <c r="K77" s="1">
        <v>44139.6</v>
      </c>
      <c r="L77" s="1">
        <v>600</v>
      </c>
      <c r="M77" s="1">
        <v>600</v>
      </c>
      <c r="N77" s="1">
        <v>15672</v>
      </c>
      <c r="O77" s="1">
        <v>23317.3</v>
      </c>
      <c r="P77" s="1">
        <v>38989.300000000003</v>
      </c>
      <c r="Q77" s="1">
        <v>13195.6</v>
      </c>
      <c r="R77" s="1">
        <v>3772.2</v>
      </c>
      <c r="S77" s="1">
        <v>16967.8</v>
      </c>
      <c r="T77" s="1">
        <v>25.15</v>
      </c>
      <c r="U77" s="1">
        <v>0.08</v>
      </c>
      <c r="V77" s="1">
        <v>3700.3</v>
      </c>
      <c r="W77" s="1">
        <v>16895.900000000001</v>
      </c>
      <c r="X77" s="1">
        <v>600.09</v>
      </c>
      <c r="Y77" s="1">
        <v>600</v>
      </c>
      <c r="Z77" s="1">
        <v>55885.2</v>
      </c>
      <c r="AA77" s="1">
        <v>25.24</v>
      </c>
      <c r="AB77" s="1">
        <v>2000</v>
      </c>
    </row>
    <row r="78" spans="1:28" x14ac:dyDescent="0.4">
      <c r="A78" s="1" t="s">
        <v>333</v>
      </c>
      <c r="B78" s="1">
        <v>2000</v>
      </c>
      <c r="C78" s="1">
        <v>0.3</v>
      </c>
      <c r="D78" s="1">
        <v>0.5</v>
      </c>
      <c r="E78" s="1">
        <v>500</v>
      </c>
      <c r="F78" s="1">
        <v>1</v>
      </c>
      <c r="G78" s="1">
        <v>2</v>
      </c>
      <c r="H78" s="1" t="s">
        <v>583</v>
      </c>
      <c r="I78" s="1">
        <v>70154.3</v>
      </c>
      <c r="J78" s="1">
        <v>27368.3</v>
      </c>
      <c r="K78" s="1">
        <v>42786</v>
      </c>
      <c r="L78" s="1">
        <v>600</v>
      </c>
      <c r="M78" s="1">
        <v>600.01</v>
      </c>
      <c r="N78" s="1">
        <v>15025.8</v>
      </c>
      <c r="O78" s="1">
        <v>22993</v>
      </c>
      <c r="P78" s="1">
        <v>38018.800000000003</v>
      </c>
      <c r="Q78" s="1">
        <v>13229.7</v>
      </c>
      <c r="R78" s="1">
        <v>3907.6</v>
      </c>
      <c r="S78" s="1">
        <v>17137.3</v>
      </c>
      <c r="T78" s="1">
        <v>21.38</v>
      </c>
      <c r="U78" s="1">
        <v>0.05</v>
      </c>
      <c r="V78" s="1">
        <v>3871.3</v>
      </c>
      <c r="W78" s="1">
        <v>17101</v>
      </c>
      <c r="X78" s="1">
        <v>600.05999999999995</v>
      </c>
      <c r="Y78" s="1">
        <v>600</v>
      </c>
      <c r="Z78" s="1">
        <v>55119.8</v>
      </c>
      <c r="AA78" s="1">
        <v>21.43</v>
      </c>
      <c r="AB78" s="1">
        <v>2000</v>
      </c>
    </row>
    <row r="79" spans="1:28" x14ac:dyDescent="0.4">
      <c r="A79" s="1" t="s">
        <v>334</v>
      </c>
      <c r="B79" s="1">
        <v>2000</v>
      </c>
      <c r="C79" s="1">
        <v>0.3</v>
      </c>
      <c r="D79" s="1">
        <v>0.5</v>
      </c>
      <c r="E79" s="1">
        <v>500</v>
      </c>
      <c r="F79" s="1">
        <v>1</v>
      </c>
      <c r="G79" s="1">
        <v>3</v>
      </c>
      <c r="H79" s="1" t="s">
        <v>583</v>
      </c>
      <c r="I79" s="1">
        <v>75606.899999999994</v>
      </c>
      <c r="J79" s="1">
        <v>30252.1</v>
      </c>
      <c r="K79" s="1">
        <v>45354.8</v>
      </c>
      <c r="L79" s="1">
        <v>600</v>
      </c>
      <c r="M79" s="1">
        <v>600</v>
      </c>
      <c r="N79" s="1">
        <v>15984</v>
      </c>
      <c r="O79" s="1">
        <v>24449.9</v>
      </c>
      <c r="P79" s="1">
        <v>40433.9</v>
      </c>
      <c r="Q79" s="1">
        <v>13477.8</v>
      </c>
      <c r="R79" s="1">
        <v>3842</v>
      </c>
      <c r="S79" s="1">
        <v>17319.8</v>
      </c>
      <c r="T79" s="1">
        <v>23.61</v>
      </c>
      <c r="U79" s="1">
        <v>0.08</v>
      </c>
      <c r="V79" s="1">
        <v>3762.8</v>
      </c>
      <c r="W79" s="1">
        <v>17240.599999999999</v>
      </c>
      <c r="X79" s="1">
        <v>600.08000000000004</v>
      </c>
      <c r="Y79" s="1">
        <v>600</v>
      </c>
      <c r="Z79" s="1">
        <v>57674.5</v>
      </c>
      <c r="AA79" s="1">
        <v>23.72</v>
      </c>
      <c r="AB79" s="1">
        <v>2000</v>
      </c>
    </row>
    <row r="80" spans="1:28" x14ac:dyDescent="0.4">
      <c r="A80" s="1" t="s">
        <v>335</v>
      </c>
      <c r="B80" s="1">
        <v>2000</v>
      </c>
      <c r="C80" s="1">
        <v>0.3</v>
      </c>
      <c r="D80" s="1">
        <v>0.5</v>
      </c>
      <c r="E80" s="1">
        <v>500</v>
      </c>
      <c r="F80" s="1">
        <v>1</v>
      </c>
      <c r="G80" s="1">
        <v>4</v>
      </c>
      <c r="H80" s="1" t="s">
        <v>583</v>
      </c>
      <c r="I80" s="1">
        <v>75315.199999999997</v>
      </c>
      <c r="J80" s="1">
        <v>30632</v>
      </c>
      <c r="K80" s="1">
        <v>44683.199999999997</v>
      </c>
      <c r="L80" s="1">
        <v>600</v>
      </c>
      <c r="M80" s="1">
        <v>600</v>
      </c>
      <c r="N80" s="1">
        <v>16139.7</v>
      </c>
      <c r="O80" s="1">
        <v>23613.599999999999</v>
      </c>
      <c r="P80" s="1">
        <v>39753.300000000003</v>
      </c>
      <c r="Q80" s="1">
        <v>13687.3</v>
      </c>
      <c r="R80" s="1">
        <v>3777.9</v>
      </c>
      <c r="S80" s="1">
        <v>17465.2</v>
      </c>
      <c r="T80" s="1">
        <v>24.03</v>
      </c>
      <c r="U80" s="1">
        <v>0.06</v>
      </c>
      <c r="V80" s="1">
        <v>3727.2</v>
      </c>
      <c r="W80" s="1">
        <v>17414.5</v>
      </c>
      <c r="X80" s="1">
        <v>600.05999999999995</v>
      </c>
      <c r="Y80" s="1">
        <v>600</v>
      </c>
      <c r="Z80" s="1">
        <v>57167.8</v>
      </c>
      <c r="AA80" s="1">
        <v>24.1</v>
      </c>
      <c r="AB80" s="1">
        <v>2000</v>
      </c>
    </row>
    <row r="81" spans="1:28" x14ac:dyDescent="0.4">
      <c r="A81" s="1" t="s">
        <v>336</v>
      </c>
      <c r="B81" s="1">
        <v>2000</v>
      </c>
      <c r="C81" s="1">
        <v>0.3</v>
      </c>
      <c r="D81" s="1">
        <v>0.5</v>
      </c>
      <c r="E81" s="1">
        <v>500</v>
      </c>
      <c r="F81" s="1">
        <v>1</v>
      </c>
      <c r="G81" s="1">
        <v>5</v>
      </c>
      <c r="H81" s="1" t="s">
        <v>583</v>
      </c>
      <c r="I81" s="1">
        <v>73279.899999999994</v>
      </c>
      <c r="J81" s="1">
        <v>27895.1</v>
      </c>
      <c r="K81" s="1">
        <v>45384.800000000003</v>
      </c>
      <c r="L81" s="1">
        <v>600</v>
      </c>
      <c r="M81" s="1">
        <v>600</v>
      </c>
      <c r="N81" s="1">
        <v>15256.4</v>
      </c>
      <c r="O81" s="1">
        <v>23590.9</v>
      </c>
      <c r="P81" s="1">
        <v>38847.300000000003</v>
      </c>
      <c r="Q81" s="1">
        <v>13496</v>
      </c>
      <c r="R81" s="1">
        <v>3656</v>
      </c>
      <c r="S81" s="1">
        <v>17152</v>
      </c>
      <c r="T81" s="1">
        <v>23.58</v>
      </c>
      <c r="U81" s="1">
        <v>0.09</v>
      </c>
      <c r="V81" s="1">
        <v>3564.2</v>
      </c>
      <c r="W81" s="1">
        <v>17060.2</v>
      </c>
      <c r="X81" s="1">
        <v>600.09</v>
      </c>
      <c r="Y81" s="1">
        <v>600</v>
      </c>
      <c r="Z81" s="1">
        <v>55907.5</v>
      </c>
      <c r="AA81" s="1">
        <v>23.71</v>
      </c>
      <c r="AB81" s="1">
        <v>2000</v>
      </c>
    </row>
    <row r="82" spans="1:28" x14ac:dyDescent="0.4">
      <c r="A82" s="1" t="s">
        <v>337</v>
      </c>
      <c r="B82" s="1">
        <v>2000</v>
      </c>
      <c r="C82" s="1">
        <v>0.3</v>
      </c>
      <c r="D82" s="1">
        <v>0.5</v>
      </c>
      <c r="E82" s="1">
        <v>500</v>
      </c>
      <c r="F82" s="1">
        <v>2</v>
      </c>
      <c r="G82" s="1">
        <v>1</v>
      </c>
      <c r="H82" s="1" t="s">
        <v>583</v>
      </c>
      <c r="I82" s="1">
        <v>110472.8</v>
      </c>
      <c r="J82" s="1">
        <v>42931.8</v>
      </c>
      <c r="K82" s="1">
        <v>67541</v>
      </c>
      <c r="L82" s="1">
        <v>600</v>
      </c>
      <c r="M82" s="1">
        <v>600</v>
      </c>
      <c r="N82" s="1">
        <v>23271.8</v>
      </c>
      <c r="O82" s="1">
        <v>38634.1</v>
      </c>
      <c r="P82" s="1">
        <v>61905.9</v>
      </c>
      <c r="Q82" s="1">
        <v>13519.5</v>
      </c>
      <c r="R82" s="1">
        <v>4732.3</v>
      </c>
      <c r="S82" s="1">
        <v>18251.8</v>
      </c>
      <c r="T82" s="1">
        <v>27.44</v>
      </c>
      <c r="U82" s="1">
        <v>0.12</v>
      </c>
      <c r="V82" s="1">
        <v>4604.8999999999996</v>
      </c>
      <c r="W82" s="1">
        <v>18124.400000000001</v>
      </c>
      <c r="X82" s="1">
        <v>600.12</v>
      </c>
      <c r="Y82" s="1">
        <v>600</v>
      </c>
      <c r="Z82" s="1">
        <v>80030.3</v>
      </c>
      <c r="AA82" s="1">
        <v>27.56</v>
      </c>
      <c r="AB82" s="1">
        <v>2000</v>
      </c>
    </row>
    <row r="83" spans="1:28" x14ac:dyDescent="0.4">
      <c r="A83" s="1" t="s">
        <v>338</v>
      </c>
      <c r="B83" s="1">
        <v>2000</v>
      </c>
      <c r="C83" s="1">
        <v>0.3</v>
      </c>
      <c r="D83" s="1">
        <v>0.5</v>
      </c>
      <c r="E83" s="1">
        <v>500</v>
      </c>
      <c r="F83" s="1">
        <v>2</v>
      </c>
      <c r="G83" s="1">
        <v>2</v>
      </c>
      <c r="H83" s="1" t="s">
        <v>583</v>
      </c>
      <c r="I83" s="1">
        <v>106280.6</v>
      </c>
      <c r="J83" s="1">
        <v>42654.400000000001</v>
      </c>
      <c r="K83" s="1">
        <v>63626.2</v>
      </c>
      <c r="L83" s="1">
        <v>600</v>
      </c>
      <c r="M83" s="1">
        <v>600</v>
      </c>
      <c r="N83" s="1">
        <v>24262.799999999999</v>
      </c>
      <c r="O83" s="1">
        <v>36280.6</v>
      </c>
      <c r="P83" s="1">
        <v>60543.4</v>
      </c>
      <c r="Q83" s="1">
        <v>13140.5</v>
      </c>
      <c r="R83" s="1">
        <v>3984.4</v>
      </c>
      <c r="S83" s="1">
        <v>17124.900000000001</v>
      </c>
      <c r="T83" s="1">
        <v>26.92</v>
      </c>
      <c r="U83" s="1">
        <v>0.12</v>
      </c>
      <c r="V83" s="1">
        <v>3812.3</v>
      </c>
      <c r="W83" s="1">
        <v>16952.8</v>
      </c>
      <c r="X83" s="1">
        <v>600.12</v>
      </c>
      <c r="Y83" s="1">
        <v>600</v>
      </c>
      <c r="Z83" s="1">
        <v>77496.2</v>
      </c>
      <c r="AA83" s="1">
        <v>27.08</v>
      </c>
      <c r="AB83" s="1">
        <v>2000</v>
      </c>
    </row>
    <row r="84" spans="1:28" x14ac:dyDescent="0.4">
      <c r="A84" s="1" t="s">
        <v>339</v>
      </c>
      <c r="B84" s="1">
        <v>2000</v>
      </c>
      <c r="C84" s="1">
        <v>0.3</v>
      </c>
      <c r="D84" s="1">
        <v>0.5</v>
      </c>
      <c r="E84" s="1">
        <v>500</v>
      </c>
      <c r="F84" s="1">
        <v>2</v>
      </c>
      <c r="G84" s="1">
        <v>3</v>
      </c>
      <c r="H84" s="1" t="s">
        <v>583</v>
      </c>
      <c r="I84" s="1">
        <v>107447.3</v>
      </c>
      <c r="J84" s="1">
        <v>42720.6</v>
      </c>
      <c r="K84" s="1">
        <v>64726.7</v>
      </c>
      <c r="L84" s="1">
        <v>600</v>
      </c>
      <c r="M84" s="1">
        <v>600</v>
      </c>
      <c r="N84" s="1">
        <v>23556.9</v>
      </c>
      <c r="O84" s="1">
        <v>36822.699999999997</v>
      </c>
      <c r="P84" s="1">
        <v>60379.6</v>
      </c>
      <c r="Q84" s="1">
        <v>13079.9</v>
      </c>
      <c r="R84" s="1">
        <v>4073.1</v>
      </c>
      <c r="S84" s="1">
        <v>17153</v>
      </c>
      <c r="T84" s="1">
        <v>27.84</v>
      </c>
      <c r="U84" s="1">
        <v>0.14000000000000001</v>
      </c>
      <c r="V84" s="1">
        <v>3886.7</v>
      </c>
      <c r="W84" s="1">
        <v>16966.599999999999</v>
      </c>
      <c r="X84" s="1">
        <v>600.14</v>
      </c>
      <c r="Y84" s="1">
        <v>600</v>
      </c>
      <c r="Z84" s="1">
        <v>77346.2</v>
      </c>
      <c r="AA84" s="1">
        <v>28.01</v>
      </c>
      <c r="AB84" s="1">
        <v>2000</v>
      </c>
    </row>
    <row r="85" spans="1:28" x14ac:dyDescent="0.4">
      <c r="A85" s="1" t="s">
        <v>340</v>
      </c>
      <c r="B85" s="1">
        <v>2000</v>
      </c>
      <c r="C85" s="1">
        <v>0.3</v>
      </c>
      <c r="D85" s="1">
        <v>0.5</v>
      </c>
      <c r="E85" s="1">
        <v>500</v>
      </c>
      <c r="F85" s="1">
        <v>2</v>
      </c>
      <c r="G85" s="1">
        <v>4</v>
      </c>
      <c r="H85" s="1" t="s">
        <v>583</v>
      </c>
      <c r="I85" s="1">
        <v>109197.5</v>
      </c>
      <c r="J85" s="1">
        <v>44088</v>
      </c>
      <c r="K85" s="1">
        <v>65109.5</v>
      </c>
      <c r="L85" s="1">
        <v>600</v>
      </c>
      <c r="M85" s="1">
        <v>600.01</v>
      </c>
      <c r="N85" s="1">
        <v>24638.400000000001</v>
      </c>
      <c r="O85" s="1">
        <v>36485.4</v>
      </c>
      <c r="P85" s="1">
        <v>61123.8</v>
      </c>
      <c r="Q85" s="1">
        <v>13789.9</v>
      </c>
      <c r="R85" s="1">
        <v>4772.7</v>
      </c>
      <c r="S85" s="1">
        <v>18562.599999999999</v>
      </c>
      <c r="T85" s="1">
        <v>27.03</v>
      </c>
      <c r="U85" s="1">
        <v>0.16</v>
      </c>
      <c r="V85" s="1">
        <v>4630.6000000000004</v>
      </c>
      <c r="W85" s="1">
        <v>18420.5</v>
      </c>
      <c r="X85" s="1">
        <v>600.16</v>
      </c>
      <c r="Y85" s="1">
        <v>600</v>
      </c>
      <c r="Z85" s="1">
        <v>79544.3</v>
      </c>
      <c r="AA85" s="1">
        <v>27.16</v>
      </c>
      <c r="AB85" s="1">
        <v>2000</v>
      </c>
    </row>
    <row r="86" spans="1:28" x14ac:dyDescent="0.4">
      <c r="A86" s="1" t="s">
        <v>341</v>
      </c>
      <c r="B86" s="1">
        <v>2000</v>
      </c>
      <c r="C86" s="1">
        <v>0.3</v>
      </c>
      <c r="D86" s="1">
        <v>0.5</v>
      </c>
      <c r="E86" s="1">
        <v>500</v>
      </c>
      <c r="F86" s="1">
        <v>2</v>
      </c>
      <c r="G86" s="1">
        <v>5</v>
      </c>
      <c r="H86" s="1" t="s">
        <v>583</v>
      </c>
      <c r="I86" s="1">
        <v>111481.7</v>
      </c>
      <c r="J86" s="1">
        <v>43469.4</v>
      </c>
      <c r="K86" s="1">
        <v>68012.3</v>
      </c>
      <c r="L86" s="1">
        <v>600</v>
      </c>
      <c r="M86" s="1">
        <v>600</v>
      </c>
      <c r="N86" s="1">
        <v>24538.799999999999</v>
      </c>
      <c r="O86" s="1">
        <v>38364.199999999997</v>
      </c>
      <c r="P86" s="1">
        <v>62903</v>
      </c>
      <c r="Q86" s="1">
        <v>13181.8</v>
      </c>
      <c r="R86" s="1">
        <v>4231.8</v>
      </c>
      <c r="S86" s="1">
        <v>17413.599999999999</v>
      </c>
      <c r="T86" s="1">
        <v>27.96</v>
      </c>
      <c r="U86" s="1">
        <v>0.11</v>
      </c>
      <c r="V86" s="1">
        <v>4021.7</v>
      </c>
      <c r="W86" s="1">
        <v>17203.5</v>
      </c>
      <c r="X86" s="1">
        <v>600.11</v>
      </c>
      <c r="Y86" s="1">
        <v>600</v>
      </c>
      <c r="Z86" s="1">
        <v>80106.5</v>
      </c>
      <c r="AA86" s="1">
        <v>28.14</v>
      </c>
      <c r="AB86" s="1">
        <v>2000</v>
      </c>
    </row>
    <row r="87" spans="1:28" x14ac:dyDescent="0.4">
      <c r="A87" s="1" t="s">
        <v>342</v>
      </c>
      <c r="B87" s="1">
        <v>2000</v>
      </c>
      <c r="C87" s="1">
        <v>0.3</v>
      </c>
      <c r="D87" s="1">
        <v>0.5</v>
      </c>
      <c r="E87" s="1">
        <v>500</v>
      </c>
      <c r="F87" s="1">
        <v>3</v>
      </c>
      <c r="G87" s="1">
        <v>1</v>
      </c>
      <c r="H87" s="1" t="s">
        <v>583</v>
      </c>
      <c r="I87" s="1">
        <v>143946.29999999999</v>
      </c>
      <c r="J87" s="1">
        <v>57323.8</v>
      </c>
      <c r="K87" s="1">
        <v>86622.5</v>
      </c>
      <c r="L87" s="1">
        <v>600</v>
      </c>
      <c r="M87" s="1">
        <v>600.02</v>
      </c>
      <c r="N87" s="1">
        <v>34261.800000000003</v>
      </c>
      <c r="O87" s="1">
        <v>52974.3</v>
      </c>
      <c r="P87" s="1">
        <v>87236.1</v>
      </c>
      <c r="Q87" s="1">
        <v>12825.8</v>
      </c>
      <c r="R87" s="1">
        <v>4060.6</v>
      </c>
      <c r="S87" s="1">
        <v>16886.400000000001</v>
      </c>
      <c r="T87" s="1">
        <v>27.67</v>
      </c>
      <c r="U87" s="1">
        <v>0.15</v>
      </c>
      <c r="V87" s="1">
        <v>3857.8</v>
      </c>
      <c r="W87" s="1">
        <v>16683.599999999999</v>
      </c>
      <c r="X87" s="1">
        <v>600.16999999999996</v>
      </c>
      <c r="Y87" s="1">
        <v>600</v>
      </c>
      <c r="Z87" s="1">
        <v>103919.7</v>
      </c>
      <c r="AA87" s="1">
        <v>27.81</v>
      </c>
      <c r="AB87" s="1">
        <v>2000</v>
      </c>
    </row>
    <row r="88" spans="1:28" x14ac:dyDescent="0.4">
      <c r="A88" s="1" t="s">
        <v>343</v>
      </c>
      <c r="B88" s="1">
        <v>2000</v>
      </c>
      <c r="C88" s="1">
        <v>0.3</v>
      </c>
      <c r="D88" s="1">
        <v>0.5</v>
      </c>
      <c r="E88" s="1">
        <v>500</v>
      </c>
      <c r="F88" s="1">
        <v>3</v>
      </c>
      <c r="G88" s="1">
        <v>2</v>
      </c>
      <c r="H88" s="1" t="s">
        <v>583</v>
      </c>
      <c r="I88" s="1">
        <v>137491.9</v>
      </c>
      <c r="J88" s="1">
        <v>53804.5</v>
      </c>
      <c r="K88" s="1">
        <v>83687.399999999994</v>
      </c>
      <c r="L88" s="1">
        <v>600</v>
      </c>
      <c r="M88" s="1">
        <v>600.01</v>
      </c>
      <c r="N88" s="1">
        <v>31500.3</v>
      </c>
      <c r="O88" s="1">
        <v>50493.2</v>
      </c>
      <c r="P88" s="1">
        <v>81993.5</v>
      </c>
      <c r="Q88" s="1">
        <v>13135.6</v>
      </c>
      <c r="R88" s="1">
        <v>4382.8</v>
      </c>
      <c r="S88" s="1">
        <v>17518.400000000001</v>
      </c>
      <c r="T88" s="1">
        <v>27.62</v>
      </c>
      <c r="U88" s="1">
        <v>0.21</v>
      </c>
      <c r="V88" s="1">
        <v>4099.7</v>
      </c>
      <c r="W88" s="1">
        <v>17235.3</v>
      </c>
      <c r="X88" s="1">
        <v>600.21</v>
      </c>
      <c r="Y88" s="1">
        <v>600</v>
      </c>
      <c r="Z88" s="1">
        <v>99228.800000000003</v>
      </c>
      <c r="AA88" s="1">
        <v>27.83</v>
      </c>
      <c r="AB88" s="1">
        <v>2000</v>
      </c>
    </row>
    <row r="89" spans="1:28" x14ac:dyDescent="0.4">
      <c r="A89" s="1" t="s">
        <v>344</v>
      </c>
      <c r="B89" s="1">
        <v>2000</v>
      </c>
      <c r="C89" s="1">
        <v>0.3</v>
      </c>
      <c r="D89" s="1">
        <v>0.5</v>
      </c>
      <c r="E89" s="1">
        <v>500</v>
      </c>
      <c r="F89" s="1">
        <v>3</v>
      </c>
      <c r="G89" s="1">
        <v>3</v>
      </c>
      <c r="H89" s="1" t="s">
        <v>583</v>
      </c>
      <c r="I89" s="1">
        <v>134184.20000000001</v>
      </c>
      <c r="J89" s="1">
        <v>54224.9</v>
      </c>
      <c r="K89" s="1">
        <v>79959.3</v>
      </c>
      <c r="L89" s="1">
        <v>600</v>
      </c>
      <c r="M89" s="1">
        <v>600</v>
      </c>
      <c r="N89" s="1">
        <v>31666</v>
      </c>
      <c r="O89" s="1">
        <v>48692.3</v>
      </c>
      <c r="P89" s="1">
        <v>80358.3</v>
      </c>
      <c r="Q89" s="1">
        <v>12789.5</v>
      </c>
      <c r="R89" s="1">
        <v>4056.6</v>
      </c>
      <c r="S89" s="1">
        <v>16846.099999999999</v>
      </c>
      <c r="T89" s="1">
        <v>27.56</v>
      </c>
      <c r="U89" s="1">
        <v>0.18</v>
      </c>
      <c r="V89" s="1">
        <v>3943.3</v>
      </c>
      <c r="W89" s="1">
        <v>16732.8</v>
      </c>
      <c r="X89" s="1">
        <v>600.17999999999995</v>
      </c>
      <c r="Y89" s="1">
        <v>600</v>
      </c>
      <c r="Z89" s="1">
        <v>97091.1</v>
      </c>
      <c r="AA89" s="1">
        <v>27.64</v>
      </c>
      <c r="AB89" s="1">
        <v>2000</v>
      </c>
    </row>
    <row r="90" spans="1:28" x14ac:dyDescent="0.4">
      <c r="A90" s="1" t="s">
        <v>345</v>
      </c>
      <c r="B90" s="1">
        <v>2000</v>
      </c>
      <c r="C90" s="1">
        <v>0.3</v>
      </c>
      <c r="D90" s="1">
        <v>0.5</v>
      </c>
      <c r="E90" s="1">
        <v>500</v>
      </c>
      <c r="F90" s="1">
        <v>3</v>
      </c>
      <c r="G90" s="1">
        <v>4</v>
      </c>
      <c r="H90" s="1" t="s">
        <v>583</v>
      </c>
      <c r="I90" s="1">
        <v>140703.4</v>
      </c>
      <c r="J90" s="1">
        <v>54175.8</v>
      </c>
      <c r="K90" s="1">
        <v>86527.6</v>
      </c>
      <c r="L90" s="1">
        <v>600</v>
      </c>
      <c r="M90" s="1">
        <v>600</v>
      </c>
      <c r="N90" s="1">
        <v>33033.9</v>
      </c>
      <c r="O90" s="1">
        <v>53585.1</v>
      </c>
      <c r="P90" s="1">
        <v>86619</v>
      </c>
      <c r="Q90" s="1">
        <v>12896.4</v>
      </c>
      <c r="R90" s="1">
        <v>3739.1</v>
      </c>
      <c r="S90" s="1">
        <v>16635.5</v>
      </c>
      <c r="T90" s="1">
        <v>26.62</v>
      </c>
      <c r="U90" s="1">
        <v>0.16</v>
      </c>
      <c r="V90" s="1">
        <v>3603</v>
      </c>
      <c r="W90" s="1">
        <v>16499.400000000001</v>
      </c>
      <c r="X90" s="1">
        <v>600.16999999999996</v>
      </c>
      <c r="Y90" s="1">
        <v>600</v>
      </c>
      <c r="Z90" s="1">
        <v>103118.39999999999</v>
      </c>
      <c r="AA90" s="1">
        <v>26.71</v>
      </c>
      <c r="AB90" s="1">
        <v>2000</v>
      </c>
    </row>
    <row r="91" spans="1:28" x14ac:dyDescent="0.4">
      <c r="A91" s="1" t="s">
        <v>346</v>
      </c>
      <c r="B91" s="1">
        <v>2000</v>
      </c>
      <c r="C91" s="1">
        <v>0.3</v>
      </c>
      <c r="D91" s="1">
        <v>0.5</v>
      </c>
      <c r="E91" s="1">
        <v>500</v>
      </c>
      <c r="F91" s="1">
        <v>3</v>
      </c>
      <c r="G91" s="1">
        <v>5</v>
      </c>
      <c r="H91" s="1" t="s">
        <v>583</v>
      </c>
      <c r="I91" s="1">
        <v>136155.6</v>
      </c>
      <c r="J91" s="1">
        <v>51030.7</v>
      </c>
      <c r="K91" s="1">
        <v>85124.9</v>
      </c>
      <c r="L91" s="1">
        <v>600</v>
      </c>
      <c r="M91" s="1">
        <v>600</v>
      </c>
      <c r="N91" s="1">
        <v>30895.1</v>
      </c>
      <c r="O91" s="1">
        <v>51056.9</v>
      </c>
      <c r="P91" s="1">
        <v>81952</v>
      </c>
      <c r="Q91" s="1">
        <v>12747.5</v>
      </c>
      <c r="R91" s="1">
        <v>4005.2</v>
      </c>
      <c r="S91" s="1">
        <v>16752.7</v>
      </c>
      <c r="T91" s="1">
        <v>27.51</v>
      </c>
      <c r="U91" s="1">
        <v>0.12</v>
      </c>
      <c r="V91" s="1">
        <v>3827.8</v>
      </c>
      <c r="W91" s="1">
        <v>16575.3</v>
      </c>
      <c r="X91" s="1">
        <v>600.13</v>
      </c>
      <c r="Y91" s="1">
        <v>600</v>
      </c>
      <c r="Z91" s="1">
        <v>98527.3</v>
      </c>
      <c r="AA91" s="1">
        <v>27.64</v>
      </c>
      <c r="AB91" s="1">
        <v>2000</v>
      </c>
    </row>
    <row r="92" spans="1:28" x14ac:dyDescent="0.4">
      <c r="A92" s="1" t="s">
        <v>45</v>
      </c>
      <c r="B92" s="1">
        <v>2000</v>
      </c>
      <c r="C92" s="1">
        <v>0.4</v>
      </c>
      <c r="D92" s="1">
        <v>0.5</v>
      </c>
      <c r="E92" s="1">
        <v>1000</v>
      </c>
      <c r="F92" s="1">
        <v>1</v>
      </c>
      <c r="G92" s="1">
        <v>1</v>
      </c>
      <c r="H92" s="1" t="s">
        <v>583</v>
      </c>
      <c r="I92" s="1">
        <v>146743.6</v>
      </c>
      <c r="J92" s="1">
        <v>58000.4</v>
      </c>
      <c r="K92" s="1">
        <v>88743.2</v>
      </c>
      <c r="L92" s="1">
        <v>600</v>
      </c>
      <c r="M92" s="1">
        <v>600.01</v>
      </c>
      <c r="N92" s="1">
        <v>30954.799999999999</v>
      </c>
      <c r="O92" s="1">
        <v>48494.7</v>
      </c>
      <c r="P92" s="1">
        <v>79449.5</v>
      </c>
      <c r="Q92" s="1">
        <v>14754.8</v>
      </c>
      <c r="R92" s="1">
        <v>7261.5</v>
      </c>
      <c r="S92" s="1">
        <v>22016.3</v>
      </c>
      <c r="T92" s="1">
        <v>30.86</v>
      </c>
      <c r="U92" s="1">
        <v>0.14000000000000001</v>
      </c>
      <c r="V92" s="1">
        <v>7099.7</v>
      </c>
      <c r="W92" s="1">
        <v>21854.5</v>
      </c>
      <c r="X92" s="1">
        <v>600.14</v>
      </c>
      <c r="Y92" s="1">
        <v>600</v>
      </c>
      <c r="Z92" s="1">
        <v>101304</v>
      </c>
      <c r="AA92" s="1">
        <v>30.97</v>
      </c>
      <c r="AB92" s="1">
        <v>2000</v>
      </c>
    </row>
    <row r="93" spans="1:28" x14ac:dyDescent="0.4">
      <c r="A93" s="1" t="s">
        <v>46</v>
      </c>
      <c r="B93" s="1">
        <v>2000</v>
      </c>
      <c r="C93" s="1">
        <v>0.4</v>
      </c>
      <c r="D93" s="1">
        <v>0.5</v>
      </c>
      <c r="E93" s="1">
        <v>1000</v>
      </c>
      <c r="F93" s="1">
        <v>1</v>
      </c>
      <c r="G93" s="1">
        <v>2</v>
      </c>
      <c r="H93" s="1" t="s">
        <v>583</v>
      </c>
      <c r="I93" s="1">
        <v>147538.70000000001</v>
      </c>
      <c r="J93" s="1">
        <v>60411.8</v>
      </c>
      <c r="K93" s="1">
        <v>87126.9</v>
      </c>
      <c r="L93" s="1">
        <v>600</v>
      </c>
      <c r="M93" s="1">
        <v>600</v>
      </c>
      <c r="N93" s="1">
        <v>32658.3</v>
      </c>
      <c r="O93" s="1">
        <v>47045.599999999999</v>
      </c>
      <c r="P93" s="1">
        <v>79703.899999999994</v>
      </c>
      <c r="Q93" s="1">
        <v>15006.7</v>
      </c>
      <c r="R93" s="1">
        <v>7012.1</v>
      </c>
      <c r="S93" s="1">
        <v>22018.799999999999</v>
      </c>
      <c r="T93" s="1">
        <v>31.05</v>
      </c>
      <c r="U93" s="1">
        <v>0.14000000000000001</v>
      </c>
      <c r="V93" s="1">
        <v>6856.1</v>
      </c>
      <c r="W93" s="1">
        <v>21862.799999999999</v>
      </c>
      <c r="X93" s="1">
        <v>600.14</v>
      </c>
      <c r="Y93" s="1">
        <v>600</v>
      </c>
      <c r="Z93" s="1">
        <v>101566.7</v>
      </c>
      <c r="AA93" s="1">
        <v>31.16</v>
      </c>
      <c r="AB93" s="1">
        <v>2000</v>
      </c>
    </row>
    <row r="94" spans="1:28" x14ac:dyDescent="0.4">
      <c r="A94" s="1" t="s">
        <v>47</v>
      </c>
      <c r="B94" s="1">
        <v>2000</v>
      </c>
      <c r="C94" s="1">
        <v>0.4</v>
      </c>
      <c r="D94" s="1">
        <v>0.5</v>
      </c>
      <c r="E94" s="1">
        <v>1000</v>
      </c>
      <c r="F94" s="1">
        <v>1</v>
      </c>
      <c r="G94" s="1">
        <v>3</v>
      </c>
      <c r="H94" s="1" t="s">
        <v>583</v>
      </c>
      <c r="I94" s="1">
        <v>147212.4</v>
      </c>
      <c r="J94" s="1">
        <v>60036.4</v>
      </c>
      <c r="K94" s="1">
        <v>87176</v>
      </c>
      <c r="L94" s="1">
        <v>600</v>
      </c>
      <c r="M94" s="1">
        <v>600</v>
      </c>
      <c r="N94" s="1">
        <v>31532.6</v>
      </c>
      <c r="O94" s="1">
        <v>46959.9</v>
      </c>
      <c r="P94" s="1">
        <v>78492.5</v>
      </c>
      <c r="Q94" s="1">
        <v>14571.5</v>
      </c>
      <c r="R94" s="1">
        <v>7217.5</v>
      </c>
      <c r="S94" s="1">
        <v>21789</v>
      </c>
      <c r="T94" s="1">
        <v>31.88</v>
      </c>
      <c r="U94" s="1">
        <v>0.15</v>
      </c>
      <c r="V94" s="1">
        <v>7071.1</v>
      </c>
      <c r="W94" s="1">
        <v>21642.6</v>
      </c>
      <c r="X94" s="1">
        <v>600.15</v>
      </c>
      <c r="Y94" s="1">
        <v>600</v>
      </c>
      <c r="Z94" s="1">
        <v>100135.1</v>
      </c>
      <c r="AA94" s="1">
        <v>31.98</v>
      </c>
      <c r="AB94" s="1">
        <v>2000</v>
      </c>
    </row>
    <row r="95" spans="1:28" x14ac:dyDescent="0.4">
      <c r="A95" s="1" t="s">
        <v>48</v>
      </c>
      <c r="B95" s="1">
        <v>2000</v>
      </c>
      <c r="C95" s="1">
        <v>0.4</v>
      </c>
      <c r="D95" s="1">
        <v>0.5</v>
      </c>
      <c r="E95" s="1">
        <v>1000</v>
      </c>
      <c r="F95" s="1">
        <v>1</v>
      </c>
      <c r="G95" s="1">
        <v>4</v>
      </c>
      <c r="H95" s="1" t="s">
        <v>583</v>
      </c>
      <c r="I95" s="1">
        <v>148707.4</v>
      </c>
      <c r="J95" s="1">
        <v>61039</v>
      </c>
      <c r="K95" s="1">
        <v>87668.4</v>
      </c>
      <c r="L95" s="1">
        <v>600</v>
      </c>
      <c r="M95" s="1">
        <v>600.01</v>
      </c>
      <c r="N95" s="1">
        <v>31648.6</v>
      </c>
      <c r="O95" s="1">
        <v>46360.3</v>
      </c>
      <c r="P95" s="1">
        <v>78008.899999999994</v>
      </c>
      <c r="Q95" s="1">
        <v>15050.2</v>
      </c>
      <c r="R95" s="1">
        <v>7326.7</v>
      </c>
      <c r="S95" s="1">
        <v>22376.9</v>
      </c>
      <c r="T95" s="1">
        <v>32.49</v>
      </c>
      <c r="U95" s="1">
        <v>0.14000000000000001</v>
      </c>
      <c r="V95" s="1">
        <v>7225.4</v>
      </c>
      <c r="W95" s="1">
        <v>22275.599999999999</v>
      </c>
      <c r="X95" s="1">
        <v>600.15</v>
      </c>
      <c r="Y95" s="1">
        <v>600</v>
      </c>
      <c r="Z95" s="1">
        <v>100284.5</v>
      </c>
      <c r="AA95" s="1">
        <v>32.56</v>
      </c>
      <c r="AB95" s="1">
        <v>2000</v>
      </c>
    </row>
    <row r="96" spans="1:28" x14ac:dyDescent="0.4">
      <c r="A96" s="1" t="s">
        <v>49</v>
      </c>
      <c r="B96" s="1">
        <v>2000</v>
      </c>
      <c r="C96" s="1">
        <v>0.4</v>
      </c>
      <c r="D96" s="1">
        <v>0.5</v>
      </c>
      <c r="E96" s="1">
        <v>1000</v>
      </c>
      <c r="F96" s="1">
        <v>1</v>
      </c>
      <c r="G96" s="1">
        <v>5</v>
      </c>
      <c r="H96" s="1" t="s">
        <v>583</v>
      </c>
      <c r="I96" s="1">
        <v>148055.70000000001</v>
      </c>
      <c r="J96" s="1">
        <v>57683</v>
      </c>
      <c r="K96" s="1">
        <v>90372.7</v>
      </c>
      <c r="L96" s="1">
        <v>600</v>
      </c>
      <c r="M96" s="1">
        <v>600.01</v>
      </c>
      <c r="N96" s="1">
        <v>31121.3</v>
      </c>
      <c r="O96" s="1">
        <v>47946.1</v>
      </c>
      <c r="P96" s="1">
        <v>79067.399999999994</v>
      </c>
      <c r="Q96" s="1">
        <v>14923.2</v>
      </c>
      <c r="R96" s="1">
        <v>7203.5</v>
      </c>
      <c r="S96" s="1">
        <v>22126.7</v>
      </c>
      <c r="T96" s="1">
        <v>31.65</v>
      </c>
      <c r="U96" s="1">
        <v>0.14000000000000001</v>
      </c>
      <c r="V96" s="1">
        <v>7087</v>
      </c>
      <c r="W96" s="1">
        <v>22010.2</v>
      </c>
      <c r="X96" s="1">
        <v>600.15</v>
      </c>
      <c r="Y96" s="1">
        <v>600</v>
      </c>
      <c r="Z96" s="1">
        <v>101077.6</v>
      </c>
      <c r="AA96" s="1">
        <v>31.73</v>
      </c>
      <c r="AB96" s="1">
        <v>2000</v>
      </c>
    </row>
    <row r="97" spans="1:28" x14ac:dyDescent="0.4">
      <c r="A97" s="1" t="s">
        <v>50</v>
      </c>
      <c r="B97" s="1">
        <v>2000</v>
      </c>
      <c r="C97" s="1">
        <v>0.4</v>
      </c>
      <c r="D97" s="1">
        <v>0.5</v>
      </c>
      <c r="E97" s="1">
        <v>1000</v>
      </c>
      <c r="F97" s="1">
        <v>2</v>
      </c>
      <c r="G97" s="1">
        <v>1</v>
      </c>
      <c r="H97" s="1" t="s">
        <v>583</v>
      </c>
      <c r="I97" s="1">
        <v>230670.1</v>
      </c>
      <c r="J97" s="1">
        <v>90584.2</v>
      </c>
      <c r="K97" s="1">
        <v>140085.9</v>
      </c>
      <c r="L97" s="1">
        <v>600</v>
      </c>
      <c r="M97" s="1">
        <v>600.01</v>
      </c>
      <c r="N97" s="1">
        <v>52034.1</v>
      </c>
      <c r="O97" s="1">
        <v>80177.100000000006</v>
      </c>
      <c r="P97" s="1">
        <v>132211.20000000001</v>
      </c>
      <c r="Q97" s="1">
        <v>13511.1</v>
      </c>
      <c r="R97" s="1">
        <v>6908.6</v>
      </c>
      <c r="S97" s="1">
        <v>20419.7</v>
      </c>
      <c r="T97" s="1">
        <v>33.83</v>
      </c>
      <c r="U97" s="1">
        <v>0.26</v>
      </c>
      <c r="V97" s="1">
        <v>6746.2</v>
      </c>
      <c r="W97" s="1">
        <v>20257.3</v>
      </c>
      <c r="X97" s="1">
        <v>600.27</v>
      </c>
      <c r="Y97" s="1">
        <v>600</v>
      </c>
      <c r="Z97" s="1">
        <v>152468.5</v>
      </c>
      <c r="AA97" s="1">
        <v>33.9</v>
      </c>
      <c r="AB97" s="1">
        <v>2000</v>
      </c>
    </row>
    <row r="98" spans="1:28" x14ac:dyDescent="0.4">
      <c r="A98" s="1" t="s">
        <v>51</v>
      </c>
      <c r="B98" s="1">
        <v>2000</v>
      </c>
      <c r="C98" s="1">
        <v>0.4</v>
      </c>
      <c r="D98" s="1">
        <v>0.5</v>
      </c>
      <c r="E98" s="1">
        <v>1000</v>
      </c>
      <c r="F98" s="1">
        <v>2</v>
      </c>
      <c r="G98" s="1">
        <v>2</v>
      </c>
      <c r="H98" s="1" t="s">
        <v>583</v>
      </c>
      <c r="I98" s="1">
        <v>230566.8</v>
      </c>
      <c r="J98" s="1">
        <v>88402.6</v>
      </c>
      <c r="K98" s="1">
        <v>142164.20000000001</v>
      </c>
      <c r="L98" s="1">
        <v>600</v>
      </c>
      <c r="M98" s="1">
        <v>600.02</v>
      </c>
      <c r="N98" s="1">
        <v>50883.3</v>
      </c>
      <c r="O98" s="1">
        <v>81439.899999999994</v>
      </c>
      <c r="P98" s="1">
        <v>132323.20000000001</v>
      </c>
      <c r="Q98" s="1">
        <v>13330.4</v>
      </c>
      <c r="R98" s="1">
        <v>6248.3</v>
      </c>
      <c r="S98" s="1">
        <v>19578.7</v>
      </c>
      <c r="T98" s="1">
        <v>34.119999999999997</v>
      </c>
      <c r="U98" s="1">
        <v>0.26</v>
      </c>
      <c r="V98" s="1">
        <v>6072.6</v>
      </c>
      <c r="W98" s="1">
        <v>19403</v>
      </c>
      <c r="X98" s="1">
        <v>600.28</v>
      </c>
      <c r="Y98" s="1">
        <v>600</v>
      </c>
      <c r="Z98" s="1">
        <v>151726.20000000001</v>
      </c>
      <c r="AA98" s="1">
        <v>34.19</v>
      </c>
      <c r="AB98" s="1">
        <v>2000</v>
      </c>
    </row>
    <row r="99" spans="1:28" x14ac:dyDescent="0.4">
      <c r="A99" s="1" t="s">
        <v>52</v>
      </c>
      <c r="B99" s="1">
        <v>2000</v>
      </c>
      <c r="C99" s="1">
        <v>0.4</v>
      </c>
      <c r="D99" s="1">
        <v>0.5</v>
      </c>
      <c r="E99" s="1">
        <v>1000</v>
      </c>
      <c r="F99" s="1">
        <v>2</v>
      </c>
      <c r="G99" s="1">
        <v>3</v>
      </c>
      <c r="H99" s="1" t="s">
        <v>583</v>
      </c>
      <c r="I99" s="1">
        <v>216725.7</v>
      </c>
      <c r="J99" s="1">
        <v>84765.8</v>
      </c>
      <c r="K99" s="1">
        <v>131959.9</v>
      </c>
      <c r="L99" s="1">
        <v>600</v>
      </c>
      <c r="M99" s="1">
        <v>600</v>
      </c>
      <c r="N99" s="1">
        <v>48495.6</v>
      </c>
      <c r="O99" s="1">
        <v>75681.399999999994</v>
      </c>
      <c r="P99" s="1">
        <v>124177</v>
      </c>
      <c r="Q99" s="1">
        <v>13723</v>
      </c>
      <c r="R99" s="1">
        <v>6508.1</v>
      </c>
      <c r="S99" s="1">
        <v>20231.099999999999</v>
      </c>
      <c r="T99" s="1">
        <v>33.369999999999997</v>
      </c>
      <c r="U99" s="1">
        <v>0.26</v>
      </c>
      <c r="V99" s="1">
        <v>6360.2</v>
      </c>
      <c r="W99" s="1">
        <v>20083.2</v>
      </c>
      <c r="X99" s="1">
        <v>600.27</v>
      </c>
      <c r="Y99" s="1">
        <v>600</v>
      </c>
      <c r="Z99" s="1">
        <v>144260.20000000001</v>
      </c>
      <c r="AA99" s="1">
        <v>33.44</v>
      </c>
      <c r="AB99" s="1">
        <v>2000</v>
      </c>
    </row>
    <row r="100" spans="1:28" x14ac:dyDescent="0.4">
      <c r="A100" s="1" t="s">
        <v>53</v>
      </c>
      <c r="B100" s="1">
        <v>2000</v>
      </c>
      <c r="C100" s="1">
        <v>0.4</v>
      </c>
      <c r="D100" s="1">
        <v>0.5</v>
      </c>
      <c r="E100" s="1">
        <v>1000</v>
      </c>
      <c r="F100" s="1">
        <v>2</v>
      </c>
      <c r="G100" s="1">
        <v>4</v>
      </c>
      <c r="H100" s="1" t="s">
        <v>583</v>
      </c>
      <c r="I100" s="1">
        <v>228249.8</v>
      </c>
      <c r="J100" s="1">
        <v>93670.2</v>
      </c>
      <c r="K100" s="1">
        <v>134579.6</v>
      </c>
      <c r="L100" s="1">
        <v>600</v>
      </c>
      <c r="M100" s="1">
        <v>600.01</v>
      </c>
      <c r="N100" s="1">
        <v>53066.9</v>
      </c>
      <c r="O100" s="1">
        <v>76090.3</v>
      </c>
      <c r="P100" s="1">
        <v>129157.2</v>
      </c>
      <c r="Q100" s="1">
        <v>13886.2</v>
      </c>
      <c r="R100" s="1">
        <v>6532.7</v>
      </c>
      <c r="S100" s="1">
        <v>20418.900000000001</v>
      </c>
      <c r="T100" s="1">
        <v>34.47</v>
      </c>
      <c r="U100" s="1">
        <v>0.23</v>
      </c>
      <c r="V100" s="1">
        <v>6369.2</v>
      </c>
      <c r="W100" s="1">
        <v>20255.400000000001</v>
      </c>
      <c r="X100" s="1">
        <v>600.24</v>
      </c>
      <c r="Y100" s="1">
        <v>600</v>
      </c>
      <c r="Z100" s="1">
        <v>149412.6</v>
      </c>
      <c r="AA100" s="1">
        <v>34.54</v>
      </c>
      <c r="AB100" s="1">
        <v>2000</v>
      </c>
    </row>
    <row r="101" spans="1:28" x14ac:dyDescent="0.4">
      <c r="A101" s="1" t="s">
        <v>54</v>
      </c>
      <c r="B101" s="1">
        <v>2000</v>
      </c>
      <c r="C101" s="1">
        <v>0.4</v>
      </c>
      <c r="D101" s="1">
        <v>0.5</v>
      </c>
      <c r="E101" s="1">
        <v>1000</v>
      </c>
      <c r="F101" s="1">
        <v>2</v>
      </c>
      <c r="G101" s="1">
        <v>5</v>
      </c>
      <c r="H101" s="1" t="s">
        <v>583</v>
      </c>
      <c r="I101" s="1">
        <v>216003.3</v>
      </c>
      <c r="J101" s="1">
        <v>85862.7</v>
      </c>
      <c r="K101" s="1">
        <v>130140.6</v>
      </c>
      <c r="L101" s="1">
        <v>600</v>
      </c>
      <c r="M101" s="1">
        <v>600.01</v>
      </c>
      <c r="N101" s="1">
        <v>49877.2</v>
      </c>
      <c r="O101" s="1">
        <v>74781.8</v>
      </c>
      <c r="P101" s="1">
        <v>124659</v>
      </c>
      <c r="Q101" s="1">
        <v>13982.5</v>
      </c>
      <c r="R101" s="1">
        <v>6740.4</v>
      </c>
      <c r="S101" s="1">
        <v>20722.900000000001</v>
      </c>
      <c r="T101" s="1">
        <v>32.69</v>
      </c>
      <c r="U101" s="1">
        <v>0.21</v>
      </c>
      <c r="V101" s="1">
        <v>6573.1</v>
      </c>
      <c r="W101" s="1">
        <v>20555.599999999999</v>
      </c>
      <c r="X101" s="1">
        <v>600.22</v>
      </c>
      <c r="Y101" s="1">
        <v>600</v>
      </c>
      <c r="Z101" s="1">
        <v>145214.6</v>
      </c>
      <c r="AA101" s="1">
        <v>32.770000000000003</v>
      </c>
      <c r="AB101" s="1">
        <v>2000</v>
      </c>
    </row>
    <row r="102" spans="1:28" x14ac:dyDescent="0.4">
      <c r="A102" s="1" t="s">
        <v>55</v>
      </c>
      <c r="B102" s="1">
        <v>2000</v>
      </c>
      <c r="C102" s="1">
        <v>0.4</v>
      </c>
      <c r="D102" s="1">
        <v>0.5</v>
      </c>
      <c r="E102" s="1">
        <v>1000</v>
      </c>
      <c r="F102" s="1">
        <v>3</v>
      </c>
      <c r="G102" s="1">
        <v>1</v>
      </c>
      <c r="H102" s="1" t="s">
        <v>583</v>
      </c>
      <c r="I102" s="1">
        <v>276286</v>
      </c>
      <c r="J102" s="1">
        <v>109961</v>
      </c>
      <c r="K102" s="1">
        <v>166325</v>
      </c>
      <c r="L102" s="1">
        <v>600</v>
      </c>
      <c r="M102" s="1">
        <v>600.02</v>
      </c>
      <c r="N102" s="1">
        <v>65874.899999999994</v>
      </c>
      <c r="O102" s="1">
        <v>100089.9</v>
      </c>
      <c r="P102" s="1">
        <v>165964.79999999999</v>
      </c>
      <c r="Q102" s="1">
        <v>12939</v>
      </c>
      <c r="R102" s="1">
        <v>5395.9</v>
      </c>
      <c r="S102" s="1">
        <v>18334.900000000001</v>
      </c>
      <c r="T102" s="1">
        <v>33.29</v>
      </c>
      <c r="U102" s="1">
        <v>0.34</v>
      </c>
      <c r="V102" s="1">
        <v>5201.8999999999996</v>
      </c>
      <c r="W102" s="1">
        <v>18140.900000000001</v>
      </c>
      <c r="X102" s="1">
        <v>600.36</v>
      </c>
      <c r="Y102" s="1">
        <v>600</v>
      </c>
      <c r="Z102" s="1">
        <v>184105.7</v>
      </c>
      <c r="AA102" s="1">
        <v>33.36</v>
      </c>
      <c r="AB102" s="1">
        <v>2000</v>
      </c>
    </row>
    <row r="103" spans="1:28" x14ac:dyDescent="0.4">
      <c r="A103" s="1" t="s">
        <v>56</v>
      </c>
      <c r="B103" s="1">
        <v>2000</v>
      </c>
      <c r="C103" s="1">
        <v>0.4</v>
      </c>
      <c r="D103" s="1">
        <v>0.5</v>
      </c>
      <c r="E103" s="1">
        <v>1000</v>
      </c>
      <c r="F103" s="1">
        <v>3</v>
      </c>
      <c r="G103" s="1">
        <v>2</v>
      </c>
      <c r="H103" s="1" t="s">
        <v>583</v>
      </c>
      <c r="I103" s="1">
        <v>279729.59999999998</v>
      </c>
      <c r="J103" s="1">
        <v>113230.9</v>
      </c>
      <c r="K103" s="1">
        <v>166498.70000000001</v>
      </c>
      <c r="L103" s="1">
        <v>600</v>
      </c>
      <c r="M103" s="1">
        <v>600.02</v>
      </c>
      <c r="N103" s="1">
        <v>67011.7</v>
      </c>
      <c r="O103" s="1">
        <v>97335.3</v>
      </c>
      <c r="P103" s="1">
        <v>164347</v>
      </c>
      <c r="Q103" s="1">
        <v>13523.2</v>
      </c>
      <c r="R103" s="1">
        <v>5764.7</v>
      </c>
      <c r="S103" s="1">
        <v>19287.900000000001</v>
      </c>
      <c r="T103" s="1">
        <v>34.35</v>
      </c>
      <c r="U103" s="1">
        <v>0.28999999999999998</v>
      </c>
      <c r="V103" s="1">
        <v>5481.7</v>
      </c>
      <c r="W103" s="1">
        <v>19004.900000000001</v>
      </c>
      <c r="X103" s="1">
        <v>600.29999999999995</v>
      </c>
      <c r="Y103" s="1">
        <v>600</v>
      </c>
      <c r="Z103" s="1">
        <v>183351.9</v>
      </c>
      <c r="AA103" s="1">
        <v>34.450000000000003</v>
      </c>
      <c r="AB103" s="1">
        <v>2000</v>
      </c>
    </row>
    <row r="104" spans="1:28" x14ac:dyDescent="0.4">
      <c r="A104" s="1" t="s">
        <v>57</v>
      </c>
      <c r="B104" s="1">
        <v>2000</v>
      </c>
      <c r="C104" s="1">
        <v>0.4</v>
      </c>
      <c r="D104" s="1">
        <v>0.5</v>
      </c>
      <c r="E104" s="1">
        <v>1000</v>
      </c>
      <c r="F104" s="1">
        <v>3</v>
      </c>
      <c r="G104" s="1">
        <v>3</v>
      </c>
      <c r="H104" s="1" t="s">
        <v>583</v>
      </c>
      <c r="I104" s="1">
        <v>279169.2</v>
      </c>
      <c r="J104" s="1">
        <v>112698.4</v>
      </c>
      <c r="K104" s="1">
        <v>166470.79999999999</v>
      </c>
      <c r="L104" s="1">
        <v>600</v>
      </c>
      <c r="M104" s="1">
        <v>600.01</v>
      </c>
      <c r="N104" s="1">
        <v>67661.3</v>
      </c>
      <c r="O104" s="1">
        <v>99441.8</v>
      </c>
      <c r="P104" s="1">
        <v>167103.1</v>
      </c>
      <c r="Q104" s="1">
        <v>12835.3</v>
      </c>
      <c r="R104" s="1">
        <v>5486.7</v>
      </c>
      <c r="S104" s="1">
        <v>18322</v>
      </c>
      <c r="T104" s="1">
        <v>33.58</v>
      </c>
      <c r="U104" s="1">
        <v>0.28000000000000003</v>
      </c>
      <c r="V104" s="1">
        <v>5301</v>
      </c>
      <c r="W104" s="1">
        <v>18136.3</v>
      </c>
      <c r="X104" s="1">
        <v>600.29</v>
      </c>
      <c r="Y104" s="1">
        <v>600</v>
      </c>
      <c r="Z104" s="1">
        <v>185239.4</v>
      </c>
      <c r="AA104" s="1">
        <v>33.65</v>
      </c>
      <c r="AB104" s="1">
        <v>2000</v>
      </c>
    </row>
    <row r="105" spans="1:28" x14ac:dyDescent="0.4">
      <c r="A105" s="1" t="s">
        <v>58</v>
      </c>
      <c r="B105" s="1">
        <v>2000</v>
      </c>
      <c r="C105" s="1">
        <v>0.4</v>
      </c>
      <c r="D105" s="1">
        <v>0.5</v>
      </c>
      <c r="E105" s="1">
        <v>1000</v>
      </c>
      <c r="F105" s="1">
        <v>3</v>
      </c>
      <c r="G105" s="1">
        <v>4</v>
      </c>
      <c r="H105" s="1" t="s">
        <v>583</v>
      </c>
      <c r="I105" s="1">
        <v>283603</v>
      </c>
      <c r="J105" s="1">
        <v>106923.5</v>
      </c>
      <c r="K105" s="1">
        <v>176679.5</v>
      </c>
      <c r="L105" s="1">
        <v>600</v>
      </c>
      <c r="M105" s="1">
        <v>600.01</v>
      </c>
      <c r="N105" s="1">
        <v>62509.2</v>
      </c>
      <c r="O105" s="1">
        <v>104720.7</v>
      </c>
      <c r="P105" s="1">
        <v>167229.9</v>
      </c>
      <c r="Q105" s="1">
        <v>13300.1</v>
      </c>
      <c r="R105" s="1">
        <v>5875</v>
      </c>
      <c r="S105" s="1">
        <v>19175.099999999999</v>
      </c>
      <c r="T105" s="1">
        <v>34.270000000000003</v>
      </c>
      <c r="U105" s="1">
        <v>0.32</v>
      </c>
      <c r="V105" s="1">
        <v>5644.8</v>
      </c>
      <c r="W105" s="1">
        <v>18944.900000000001</v>
      </c>
      <c r="X105" s="1">
        <v>600.33000000000004</v>
      </c>
      <c r="Y105" s="1">
        <v>600</v>
      </c>
      <c r="Z105" s="1">
        <v>186174.8</v>
      </c>
      <c r="AA105" s="1">
        <v>34.35</v>
      </c>
      <c r="AB105" s="1">
        <v>2000</v>
      </c>
    </row>
    <row r="106" spans="1:28" x14ac:dyDescent="0.4">
      <c r="A106" s="1" t="s">
        <v>59</v>
      </c>
      <c r="B106" s="1">
        <v>2000</v>
      </c>
      <c r="C106" s="1">
        <v>0.4</v>
      </c>
      <c r="D106" s="1">
        <v>0.5</v>
      </c>
      <c r="E106" s="1">
        <v>1000</v>
      </c>
      <c r="F106" s="1">
        <v>3</v>
      </c>
      <c r="G106" s="1">
        <v>5</v>
      </c>
      <c r="H106" s="1" t="s">
        <v>583</v>
      </c>
      <c r="I106" s="1">
        <v>280909.3</v>
      </c>
      <c r="J106" s="1">
        <v>115396.7</v>
      </c>
      <c r="K106" s="1">
        <v>165512.6</v>
      </c>
      <c r="L106" s="1">
        <v>600</v>
      </c>
      <c r="M106" s="1">
        <v>600.01</v>
      </c>
      <c r="N106" s="1">
        <v>68531.100000000006</v>
      </c>
      <c r="O106" s="1">
        <v>97497.8</v>
      </c>
      <c r="P106" s="1">
        <v>166028.9</v>
      </c>
      <c r="Q106" s="1">
        <v>13884.3</v>
      </c>
      <c r="R106" s="1">
        <v>6530.2</v>
      </c>
      <c r="S106" s="1">
        <v>20414.5</v>
      </c>
      <c r="T106" s="1">
        <v>33.630000000000003</v>
      </c>
      <c r="U106" s="1">
        <v>0.31</v>
      </c>
      <c r="V106" s="1">
        <v>6259</v>
      </c>
      <c r="W106" s="1">
        <v>20143.3</v>
      </c>
      <c r="X106" s="1">
        <v>600.32000000000005</v>
      </c>
      <c r="Y106" s="1">
        <v>600</v>
      </c>
      <c r="Z106" s="1">
        <v>186172.2</v>
      </c>
      <c r="AA106" s="1">
        <v>33.729999999999997</v>
      </c>
      <c r="AB106" s="1">
        <v>2000</v>
      </c>
    </row>
    <row r="107" spans="1:28" x14ac:dyDescent="0.4">
      <c r="A107" s="1" t="s">
        <v>347</v>
      </c>
      <c r="B107" s="1">
        <v>2000</v>
      </c>
      <c r="C107" s="1">
        <v>0.4</v>
      </c>
      <c r="D107" s="1">
        <v>0.5</v>
      </c>
      <c r="E107" s="1">
        <v>2000</v>
      </c>
      <c r="F107" s="1">
        <v>1</v>
      </c>
      <c r="G107" s="1">
        <v>1</v>
      </c>
      <c r="H107" s="1" t="s">
        <v>583</v>
      </c>
      <c r="I107" s="1">
        <v>295726.09999999998</v>
      </c>
      <c r="J107" s="1">
        <v>118267.4</v>
      </c>
      <c r="K107" s="1">
        <v>177458.7</v>
      </c>
      <c r="L107" s="1">
        <v>600</v>
      </c>
      <c r="M107" s="1">
        <v>600.01</v>
      </c>
      <c r="N107" s="1">
        <v>67075.8</v>
      </c>
      <c r="O107" s="1">
        <v>101333.7</v>
      </c>
      <c r="P107" s="1">
        <v>168409.5</v>
      </c>
      <c r="Q107" s="1">
        <v>14317.7</v>
      </c>
      <c r="R107" s="1">
        <v>8421.2999999999993</v>
      </c>
      <c r="S107" s="1">
        <v>22739</v>
      </c>
      <c r="T107" s="1">
        <v>35.36</v>
      </c>
      <c r="U107" s="1">
        <v>0.14000000000000001</v>
      </c>
      <c r="V107" s="1">
        <v>8360.4</v>
      </c>
      <c r="W107" s="1">
        <v>22678.1</v>
      </c>
      <c r="X107" s="1">
        <v>600.15</v>
      </c>
      <c r="Y107" s="1">
        <v>600</v>
      </c>
      <c r="Z107" s="1">
        <v>191087.6</v>
      </c>
      <c r="AA107" s="1">
        <v>35.380000000000003</v>
      </c>
      <c r="AB107" s="1">
        <v>2000</v>
      </c>
    </row>
    <row r="108" spans="1:28" x14ac:dyDescent="0.4">
      <c r="A108" s="1" t="s">
        <v>348</v>
      </c>
      <c r="B108" s="1">
        <v>2000</v>
      </c>
      <c r="C108" s="1">
        <v>0.4</v>
      </c>
      <c r="D108" s="1">
        <v>0.5</v>
      </c>
      <c r="E108" s="1">
        <v>2000</v>
      </c>
      <c r="F108" s="1">
        <v>1</v>
      </c>
      <c r="G108" s="1">
        <v>2</v>
      </c>
      <c r="H108" s="1" t="s">
        <v>583</v>
      </c>
      <c r="I108" s="1">
        <v>298600.8</v>
      </c>
      <c r="J108" s="1">
        <v>119219.5</v>
      </c>
      <c r="K108" s="1">
        <v>179381.3</v>
      </c>
      <c r="L108" s="1">
        <v>600</v>
      </c>
      <c r="M108" s="1">
        <v>600.01</v>
      </c>
      <c r="N108" s="1">
        <v>68374.399999999994</v>
      </c>
      <c r="O108" s="1">
        <v>103882.8</v>
      </c>
      <c r="P108" s="1">
        <v>172257.2</v>
      </c>
      <c r="Q108" s="1">
        <v>14660.9</v>
      </c>
      <c r="R108" s="1">
        <v>8040.4</v>
      </c>
      <c r="S108" s="1">
        <v>22701.3</v>
      </c>
      <c r="T108" s="1">
        <v>34.71</v>
      </c>
      <c r="U108" s="1">
        <v>0.13</v>
      </c>
      <c r="V108" s="1">
        <v>7737.6</v>
      </c>
      <c r="W108" s="1">
        <v>22398.5</v>
      </c>
      <c r="X108" s="1">
        <v>600.14</v>
      </c>
      <c r="Y108" s="1">
        <v>600</v>
      </c>
      <c r="Z108" s="1">
        <v>194655.7</v>
      </c>
      <c r="AA108" s="1">
        <v>34.81</v>
      </c>
      <c r="AB108" s="1">
        <v>2000</v>
      </c>
    </row>
    <row r="109" spans="1:28" x14ac:dyDescent="0.4">
      <c r="A109" s="1" t="s">
        <v>349</v>
      </c>
      <c r="B109" s="1">
        <v>2000</v>
      </c>
      <c r="C109" s="1">
        <v>0.4</v>
      </c>
      <c r="D109" s="1">
        <v>0.5</v>
      </c>
      <c r="E109" s="1">
        <v>2000</v>
      </c>
      <c r="F109" s="1">
        <v>1</v>
      </c>
      <c r="G109" s="1">
        <v>3</v>
      </c>
      <c r="H109" s="1" t="s">
        <v>583</v>
      </c>
      <c r="I109" s="1">
        <v>292993.3</v>
      </c>
      <c r="J109" s="1">
        <v>117695.9</v>
      </c>
      <c r="K109" s="1">
        <v>175297.4</v>
      </c>
      <c r="L109" s="1">
        <v>600</v>
      </c>
      <c r="M109" s="1">
        <v>600</v>
      </c>
      <c r="N109" s="1">
        <v>68708.7</v>
      </c>
      <c r="O109" s="1">
        <v>102666.3</v>
      </c>
      <c r="P109" s="1">
        <v>171375</v>
      </c>
      <c r="Q109" s="1">
        <v>14698</v>
      </c>
      <c r="R109" s="1">
        <v>8008.2</v>
      </c>
      <c r="S109" s="1">
        <v>22706.2</v>
      </c>
      <c r="T109" s="1">
        <v>33.76</v>
      </c>
      <c r="U109" s="1">
        <v>0.2</v>
      </c>
      <c r="V109" s="1">
        <v>7864.1</v>
      </c>
      <c r="W109" s="1">
        <v>22562.1</v>
      </c>
      <c r="X109" s="1">
        <v>600.20000000000005</v>
      </c>
      <c r="Y109" s="1">
        <v>600</v>
      </c>
      <c r="Z109" s="1">
        <v>193937.1</v>
      </c>
      <c r="AA109" s="1">
        <v>33.81</v>
      </c>
      <c r="AB109" s="1">
        <v>2000</v>
      </c>
    </row>
    <row r="110" spans="1:28" x14ac:dyDescent="0.4">
      <c r="A110" s="1" t="s">
        <v>350</v>
      </c>
      <c r="B110" s="1">
        <v>2000</v>
      </c>
      <c r="C110" s="1">
        <v>0.4</v>
      </c>
      <c r="D110" s="1">
        <v>0.5</v>
      </c>
      <c r="E110" s="1">
        <v>2000</v>
      </c>
      <c r="F110" s="1">
        <v>1</v>
      </c>
      <c r="G110" s="1">
        <v>4</v>
      </c>
      <c r="H110" s="1" t="s">
        <v>583</v>
      </c>
      <c r="I110" s="1">
        <v>301400.5</v>
      </c>
      <c r="J110" s="1">
        <v>122960.4</v>
      </c>
      <c r="K110" s="1">
        <v>178440.1</v>
      </c>
      <c r="L110" s="1">
        <v>600</v>
      </c>
      <c r="M110" s="1">
        <v>600</v>
      </c>
      <c r="N110" s="1">
        <v>69348.100000000006</v>
      </c>
      <c r="O110" s="1">
        <v>99404.9</v>
      </c>
      <c r="P110" s="1">
        <v>168753</v>
      </c>
      <c r="Q110" s="1">
        <v>14962.2</v>
      </c>
      <c r="R110" s="1">
        <v>8099.3</v>
      </c>
      <c r="S110" s="1">
        <v>23061.5</v>
      </c>
      <c r="T110" s="1">
        <v>36.36</v>
      </c>
      <c r="U110" s="1">
        <v>0.18</v>
      </c>
      <c r="V110" s="1">
        <v>7959.5</v>
      </c>
      <c r="W110" s="1">
        <v>22921.7</v>
      </c>
      <c r="X110" s="1">
        <v>600.19000000000005</v>
      </c>
      <c r="Y110" s="1">
        <v>600</v>
      </c>
      <c r="Z110" s="1">
        <v>191674.7</v>
      </c>
      <c r="AA110" s="1">
        <v>36.409999999999997</v>
      </c>
      <c r="AB110" s="1">
        <v>2000</v>
      </c>
    </row>
    <row r="111" spans="1:28" x14ac:dyDescent="0.4">
      <c r="A111" s="1" t="s">
        <v>351</v>
      </c>
      <c r="B111" s="1">
        <v>2000</v>
      </c>
      <c r="C111" s="1">
        <v>0.4</v>
      </c>
      <c r="D111" s="1">
        <v>0.5</v>
      </c>
      <c r="E111" s="1">
        <v>2000</v>
      </c>
      <c r="F111" s="1">
        <v>1</v>
      </c>
      <c r="G111" s="1">
        <v>5</v>
      </c>
      <c r="H111" s="1" t="s">
        <v>583</v>
      </c>
      <c r="I111" s="1">
        <v>299455.59999999998</v>
      </c>
      <c r="J111" s="1">
        <v>121744.5</v>
      </c>
      <c r="K111" s="1">
        <v>177711.1</v>
      </c>
      <c r="L111" s="1">
        <v>600</v>
      </c>
      <c r="M111" s="1">
        <v>600</v>
      </c>
      <c r="N111" s="1">
        <v>68780.7</v>
      </c>
      <c r="O111" s="1">
        <v>101419.2</v>
      </c>
      <c r="P111" s="1">
        <v>170199.9</v>
      </c>
      <c r="Q111" s="1">
        <v>14926.5</v>
      </c>
      <c r="R111" s="1">
        <v>8236.6</v>
      </c>
      <c r="S111" s="1">
        <v>23163.1</v>
      </c>
      <c r="T111" s="1">
        <v>35.43</v>
      </c>
      <c r="U111" s="1">
        <v>0.18</v>
      </c>
      <c r="V111" s="1">
        <v>7870</v>
      </c>
      <c r="W111" s="1">
        <v>22796.5</v>
      </c>
      <c r="X111" s="1">
        <v>600.17999999999995</v>
      </c>
      <c r="Y111" s="1">
        <v>600</v>
      </c>
      <c r="Z111" s="1">
        <v>192996.4</v>
      </c>
      <c r="AA111" s="1">
        <v>35.549999999999997</v>
      </c>
      <c r="AB111" s="1">
        <v>2000</v>
      </c>
    </row>
    <row r="112" spans="1:28" x14ac:dyDescent="0.4">
      <c r="A112" s="1" t="s">
        <v>352</v>
      </c>
      <c r="B112" s="1">
        <v>2000</v>
      </c>
      <c r="C112" s="1">
        <v>0.4</v>
      </c>
      <c r="D112" s="1">
        <v>0.5</v>
      </c>
      <c r="E112" s="1">
        <v>2000</v>
      </c>
      <c r="F112" s="1">
        <v>2</v>
      </c>
      <c r="G112" s="1">
        <v>1</v>
      </c>
      <c r="H112" s="1" t="s">
        <v>583</v>
      </c>
      <c r="I112" s="1">
        <v>447962.7</v>
      </c>
      <c r="J112" s="1">
        <v>187483.7</v>
      </c>
      <c r="K112" s="1">
        <v>260479</v>
      </c>
      <c r="L112" s="1">
        <v>600</v>
      </c>
      <c r="M112" s="1">
        <v>600.02</v>
      </c>
      <c r="N112" s="1">
        <v>112011.7</v>
      </c>
      <c r="O112" s="1">
        <v>155013.79999999999</v>
      </c>
      <c r="P112" s="1">
        <v>267025.5</v>
      </c>
      <c r="Q112" s="1">
        <v>13729.4</v>
      </c>
      <c r="R112" s="1">
        <v>7509.6</v>
      </c>
      <c r="S112" s="1">
        <v>21239</v>
      </c>
      <c r="T112" s="1">
        <v>35.65</v>
      </c>
      <c r="U112" s="1">
        <v>0.26</v>
      </c>
      <c r="V112" s="1">
        <v>7288.2</v>
      </c>
      <c r="W112" s="1">
        <v>21017.599999999999</v>
      </c>
      <c r="X112" s="1">
        <v>600.28</v>
      </c>
      <c r="Y112" s="1">
        <v>600</v>
      </c>
      <c r="Z112" s="1">
        <v>288043.09999999998</v>
      </c>
      <c r="AA112" s="1">
        <v>35.700000000000003</v>
      </c>
      <c r="AB112" s="1">
        <v>2000</v>
      </c>
    </row>
    <row r="113" spans="1:28" x14ac:dyDescent="0.4">
      <c r="A113" s="1" t="s">
        <v>353</v>
      </c>
      <c r="B113" s="1">
        <v>2000</v>
      </c>
      <c r="C113" s="1">
        <v>0.4</v>
      </c>
      <c r="D113" s="1">
        <v>0.5</v>
      </c>
      <c r="E113" s="1">
        <v>2000</v>
      </c>
      <c r="F113" s="1">
        <v>2</v>
      </c>
      <c r="G113" s="1">
        <v>2</v>
      </c>
      <c r="H113" s="1" t="s">
        <v>583</v>
      </c>
      <c r="I113" s="1">
        <v>453956.8</v>
      </c>
      <c r="J113" s="1">
        <v>177453.1</v>
      </c>
      <c r="K113" s="1">
        <v>276503.7</v>
      </c>
      <c r="L113" s="1">
        <v>600</v>
      </c>
      <c r="M113" s="1">
        <v>600.03</v>
      </c>
      <c r="N113" s="1">
        <v>107327.2</v>
      </c>
      <c r="O113" s="1">
        <v>164270.6</v>
      </c>
      <c r="P113" s="1">
        <v>271597.8</v>
      </c>
      <c r="Q113" s="1">
        <v>13676.7</v>
      </c>
      <c r="R113" s="1">
        <v>6972.2</v>
      </c>
      <c r="S113" s="1">
        <v>20648.900000000001</v>
      </c>
      <c r="T113" s="1">
        <v>35.619999999999997</v>
      </c>
      <c r="U113" s="1">
        <v>0.23</v>
      </c>
      <c r="V113" s="1">
        <v>6664.2</v>
      </c>
      <c r="W113" s="1">
        <v>20340.900000000001</v>
      </c>
      <c r="X113" s="1">
        <v>600.26</v>
      </c>
      <c r="Y113" s="1">
        <v>600</v>
      </c>
      <c r="Z113" s="1">
        <v>291938.7</v>
      </c>
      <c r="AA113" s="1">
        <v>35.69</v>
      </c>
      <c r="AB113" s="1">
        <v>2000</v>
      </c>
    </row>
    <row r="114" spans="1:28" x14ac:dyDescent="0.4">
      <c r="A114" s="1" t="s">
        <v>354</v>
      </c>
      <c r="B114" s="1">
        <v>2000</v>
      </c>
      <c r="C114" s="1">
        <v>0.4</v>
      </c>
      <c r="D114" s="1">
        <v>0.5</v>
      </c>
      <c r="E114" s="1">
        <v>2000</v>
      </c>
      <c r="F114" s="1">
        <v>2</v>
      </c>
      <c r="G114" s="1">
        <v>3</v>
      </c>
      <c r="H114" s="1" t="s">
        <v>583</v>
      </c>
      <c r="I114" s="1">
        <v>446076.3</v>
      </c>
      <c r="J114" s="1">
        <v>172106.3</v>
      </c>
      <c r="K114" s="1">
        <v>273970</v>
      </c>
      <c r="L114" s="1">
        <v>600</v>
      </c>
      <c r="M114" s="1">
        <v>600.01</v>
      </c>
      <c r="N114" s="1">
        <v>102898</v>
      </c>
      <c r="O114" s="1">
        <v>161040</v>
      </c>
      <c r="P114" s="1">
        <v>263938</v>
      </c>
      <c r="Q114" s="1">
        <v>13869.9</v>
      </c>
      <c r="R114" s="1">
        <v>7551</v>
      </c>
      <c r="S114" s="1">
        <v>21420.9</v>
      </c>
      <c r="T114" s="1">
        <v>36.03</v>
      </c>
      <c r="U114" s="1">
        <v>0.25</v>
      </c>
      <c r="V114" s="1">
        <v>7410.1</v>
      </c>
      <c r="W114" s="1">
        <v>21280</v>
      </c>
      <c r="X114" s="1">
        <v>600.26</v>
      </c>
      <c r="Y114" s="1">
        <v>600</v>
      </c>
      <c r="Z114" s="1">
        <v>285218</v>
      </c>
      <c r="AA114" s="1">
        <v>36.06</v>
      </c>
      <c r="AB114" s="1">
        <v>2000</v>
      </c>
    </row>
    <row r="115" spans="1:28" x14ac:dyDescent="0.4">
      <c r="A115" s="1" t="s">
        <v>355</v>
      </c>
      <c r="B115" s="1">
        <v>2000</v>
      </c>
      <c r="C115" s="1">
        <v>0.4</v>
      </c>
      <c r="D115" s="1">
        <v>0.5</v>
      </c>
      <c r="E115" s="1">
        <v>2000</v>
      </c>
      <c r="F115" s="1">
        <v>2</v>
      </c>
      <c r="G115" s="1">
        <v>4</v>
      </c>
      <c r="H115" s="1" t="s">
        <v>583</v>
      </c>
      <c r="I115" s="1">
        <v>439522.5</v>
      </c>
      <c r="J115" s="1">
        <v>174035.5</v>
      </c>
      <c r="K115" s="1">
        <v>265487</v>
      </c>
      <c r="L115" s="1">
        <v>600</v>
      </c>
      <c r="M115" s="1">
        <v>600.03</v>
      </c>
      <c r="N115" s="1">
        <v>103913.4</v>
      </c>
      <c r="O115" s="1">
        <v>157166.9</v>
      </c>
      <c r="P115" s="1">
        <v>261080.3</v>
      </c>
      <c r="Q115" s="1">
        <v>13783.4</v>
      </c>
      <c r="R115" s="1">
        <v>7353.2</v>
      </c>
      <c r="S115" s="1">
        <v>21136.6</v>
      </c>
      <c r="T115" s="1">
        <v>35.79</v>
      </c>
      <c r="U115" s="1">
        <v>0.27</v>
      </c>
      <c r="V115" s="1">
        <v>7084.4</v>
      </c>
      <c r="W115" s="1">
        <v>20867.8</v>
      </c>
      <c r="X115" s="1">
        <v>600.29999999999995</v>
      </c>
      <c r="Y115" s="1">
        <v>600</v>
      </c>
      <c r="Z115" s="1">
        <v>281948.09999999998</v>
      </c>
      <c r="AA115" s="1">
        <v>35.85</v>
      </c>
      <c r="AB115" s="1">
        <v>2000</v>
      </c>
    </row>
    <row r="116" spans="1:28" x14ac:dyDescent="0.4">
      <c r="A116" s="1" t="s">
        <v>356</v>
      </c>
      <c r="B116" s="1">
        <v>2000</v>
      </c>
      <c r="C116" s="1">
        <v>0.4</v>
      </c>
      <c r="D116" s="1">
        <v>0.5</v>
      </c>
      <c r="E116" s="1">
        <v>2000</v>
      </c>
      <c r="F116" s="1">
        <v>2</v>
      </c>
      <c r="G116" s="1">
        <v>5</v>
      </c>
      <c r="H116" s="1" t="s">
        <v>583</v>
      </c>
      <c r="I116" s="1">
        <v>445828</v>
      </c>
      <c r="J116" s="1">
        <v>180145.2</v>
      </c>
      <c r="K116" s="1">
        <v>265682.8</v>
      </c>
      <c r="L116" s="1">
        <v>600</v>
      </c>
      <c r="M116" s="1">
        <v>600.03</v>
      </c>
      <c r="N116" s="1">
        <v>102533</v>
      </c>
      <c r="O116" s="1">
        <v>155505.29999999999</v>
      </c>
      <c r="P116" s="1">
        <v>258038.3</v>
      </c>
      <c r="Q116" s="1">
        <v>14279.6</v>
      </c>
      <c r="R116" s="1">
        <v>8281.9</v>
      </c>
      <c r="S116" s="1">
        <v>22561.5</v>
      </c>
      <c r="T116" s="1">
        <v>37.06</v>
      </c>
      <c r="U116" s="1">
        <v>0.23</v>
      </c>
      <c r="V116" s="1">
        <v>8026.8</v>
      </c>
      <c r="W116" s="1">
        <v>22306.400000000001</v>
      </c>
      <c r="X116" s="1">
        <v>600.26</v>
      </c>
      <c r="Y116" s="1">
        <v>600</v>
      </c>
      <c r="Z116" s="1">
        <v>280344.7</v>
      </c>
      <c r="AA116" s="1">
        <v>37.119999999999997</v>
      </c>
      <c r="AB116" s="1">
        <v>2000</v>
      </c>
    </row>
    <row r="117" spans="1:28" x14ac:dyDescent="0.4">
      <c r="A117" s="1" t="s">
        <v>357</v>
      </c>
      <c r="B117" s="1">
        <v>2000</v>
      </c>
      <c r="C117" s="1">
        <v>0.4</v>
      </c>
      <c r="D117" s="1">
        <v>0.5</v>
      </c>
      <c r="E117" s="1">
        <v>2000</v>
      </c>
      <c r="F117" s="1">
        <v>3</v>
      </c>
      <c r="G117" s="1">
        <v>1</v>
      </c>
      <c r="H117" s="1" t="s">
        <v>583</v>
      </c>
      <c r="I117" s="1">
        <v>562335.69999999995</v>
      </c>
      <c r="J117" s="1">
        <v>220931.3</v>
      </c>
      <c r="K117" s="1">
        <v>341404.4</v>
      </c>
      <c r="L117" s="1">
        <v>600</v>
      </c>
      <c r="M117" s="1">
        <v>600.03</v>
      </c>
      <c r="N117" s="1">
        <v>137213.29999999999</v>
      </c>
      <c r="O117" s="1">
        <v>211566.6</v>
      </c>
      <c r="P117" s="1">
        <v>348779.9</v>
      </c>
      <c r="Q117" s="1">
        <v>13404.9</v>
      </c>
      <c r="R117" s="1">
        <v>5871.5</v>
      </c>
      <c r="S117" s="1">
        <v>19276.400000000001</v>
      </c>
      <c r="T117" s="1">
        <v>34.549999999999997</v>
      </c>
      <c r="U117" s="1">
        <v>0.28000000000000003</v>
      </c>
      <c r="V117" s="1">
        <v>5610.1</v>
      </c>
      <c r="W117" s="1">
        <v>19015</v>
      </c>
      <c r="X117" s="1">
        <v>600.30999999999995</v>
      </c>
      <c r="Y117" s="1">
        <v>600</v>
      </c>
      <c r="Z117" s="1">
        <v>367794.9</v>
      </c>
      <c r="AA117" s="1">
        <v>34.6</v>
      </c>
      <c r="AB117" s="1">
        <v>2000</v>
      </c>
    </row>
    <row r="118" spans="1:28" x14ac:dyDescent="0.4">
      <c r="A118" s="1" t="s">
        <v>358</v>
      </c>
      <c r="B118" s="1">
        <v>2000</v>
      </c>
      <c r="C118" s="1">
        <v>0.4</v>
      </c>
      <c r="D118" s="1">
        <v>0.5</v>
      </c>
      <c r="E118" s="1">
        <v>2000</v>
      </c>
      <c r="F118" s="1">
        <v>3</v>
      </c>
      <c r="G118" s="1">
        <v>2</v>
      </c>
      <c r="H118" s="1" t="s">
        <v>583</v>
      </c>
      <c r="I118" s="1">
        <v>564231</v>
      </c>
      <c r="J118" s="1">
        <v>222582</v>
      </c>
      <c r="K118" s="1">
        <v>341649</v>
      </c>
      <c r="L118" s="1">
        <v>600</v>
      </c>
      <c r="M118" s="1">
        <v>600.01</v>
      </c>
      <c r="N118" s="1">
        <v>136956.9</v>
      </c>
      <c r="O118" s="1">
        <v>208310.39999999999</v>
      </c>
      <c r="P118" s="1">
        <v>345267.3</v>
      </c>
      <c r="Q118" s="1">
        <v>13103.2</v>
      </c>
      <c r="R118" s="1">
        <v>6038.1</v>
      </c>
      <c r="S118" s="1">
        <v>19141.3</v>
      </c>
      <c r="T118" s="1">
        <v>35.409999999999997</v>
      </c>
      <c r="U118" s="1">
        <v>0.37</v>
      </c>
      <c r="V118" s="1">
        <v>5698.2</v>
      </c>
      <c r="W118" s="1">
        <v>18801.400000000001</v>
      </c>
      <c r="X118" s="1">
        <v>600.38</v>
      </c>
      <c r="Y118" s="1">
        <v>600</v>
      </c>
      <c r="Z118" s="1">
        <v>364068.7</v>
      </c>
      <c r="AA118" s="1">
        <v>35.479999999999997</v>
      </c>
      <c r="AB118" s="1">
        <v>2000</v>
      </c>
    </row>
    <row r="119" spans="1:28" x14ac:dyDescent="0.4">
      <c r="A119" s="1" t="s">
        <v>359</v>
      </c>
      <c r="B119" s="1">
        <v>2000</v>
      </c>
      <c r="C119" s="1">
        <v>0.4</v>
      </c>
      <c r="D119" s="1">
        <v>0.5</v>
      </c>
      <c r="E119" s="1">
        <v>2000</v>
      </c>
      <c r="F119" s="1">
        <v>3</v>
      </c>
      <c r="G119" s="1">
        <v>3</v>
      </c>
      <c r="H119" s="1" t="s">
        <v>583</v>
      </c>
      <c r="I119" s="1">
        <v>568389.69999999995</v>
      </c>
      <c r="J119" s="1">
        <v>224541</v>
      </c>
      <c r="K119" s="1">
        <v>343848.7</v>
      </c>
      <c r="L119" s="1">
        <v>600</v>
      </c>
      <c r="M119" s="1">
        <v>600.01</v>
      </c>
      <c r="N119" s="1">
        <v>137184</v>
      </c>
      <c r="O119" s="1">
        <v>211491.4</v>
      </c>
      <c r="P119" s="1">
        <v>348675.4</v>
      </c>
      <c r="Q119" s="1">
        <v>13248.1</v>
      </c>
      <c r="R119" s="1">
        <v>5951.5</v>
      </c>
      <c r="S119" s="1">
        <v>19199.599999999999</v>
      </c>
      <c r="T119" s="1">
        <v>35.28</v>
      </c>
      <c r="U119" s="1">
        <v>0.31</v>
      </c>
      <c r="V119" s="1">
        <v>5626.5</v>
      </c>
      <c r="W119" s="1">
        <v>18874.599999999999</v>
      </c>
      <c r="X119" s="1">
        <v>600.32000000000005</v>
      </c>
      <c r="Y119" s="1">
        <v>600</v>
      </c>
      <c r="Z119" s="1">
        <v>367550</v>
      </c>
      <c r="AA119" s="1">
        <v>35.33</v>
      </c>
      <c r="AB119" s="1">
        <v>2000</v>
      </c>
    </row>
    <row r="120" spans="1:28" x14ac:dyDescent="0.4">
      <c r="A120" s="1" t="s">
        <v>360</v>
      </c>
      <c r="B120" s="1">
        <v>2000</v>
      </c>
      <c r="C120" s="1">
        <v>0.4</v>
      </c>
      <c r="D120" s="1">
        <v>0.5</v>
      </c>
      <c r="E120" s="1">
        <v>2000</v>
      </c>
      <c r="F120" s="1">
        <v>3</v>
      </c>
      <c r="G120" s="1">
        <v>4</v>
      </c>
      <c r="H120" s="1" t="s">
        <v>583</v>
      </c>
      <c r="I120" s="1">
        <v>568260.4</v>
      </c>
      <c r="J120" s="1">
        <v>228002</v>
      </c>
      <c r="K120" s="1">
        <v>340258.4</v>
      </c>
      <c r="L120" s="1">
        <v>600</v>
      </c>
      <c r="M120" s="1">
        <v>600.01</v>
      </c>
      <c r="N120" s="1">
        <v>142337.1</v>
      </c>
      <c r="O120" s="1">
        <v>212097.4</v>
      </c>
      <c r="P120" s="1">
        <v>354434.5</v>
      </c>
      <c r="Q120" s="1">
        <v>13855.3</v>
      </c>
      <c r="R120" s="1">
        <v>7004.8</v>
      </c>
      <c r="S120" s="1">
        <v>20860.099999999999</v>
      </c>
      <c r="T120" s="1">
        <v>33.96</v>
      </c>
      <c r="U120" s="1">
        <v>0.28000000000000003</v>
      </c>
      <c r="V120" s="1">
        <v>6727.3</v>
      </c>
      <c r="W120" s="1">
        <v>20582.599999999999</v>
      </c>
      <c r="X120" s="1">
        <v>600.29</v>
      </c>
      <c r="Y120" s="1">
        <v>600</v>
      </c>
      <c r="Z120" s="1">
        <v>375017.1</v>
      </c>
      <c r="AA120" s="1">
        <v>34.01</v>
      </c>
      <c r="AB120" s="1">
        <v>2000</v>
      </c>
    </row>
    <row r="121" spans="1:28" x14ac:dyDescent="0.4">
      <c r="A121" s="1" t="s">
        <v>361</v>
      </c>
      <c r="B121" s="1">
        <v>2000</v>
      </c>
      <c r="C121" s="1">
        <v>0.4</v>
      </c>
      <c r="D121" s="1">
        <v>0.5</v>
      </c>
      <c r="E121" s="1">
        <v>2000</v>
      </c>
      <c r="F121" s="1">
        <v>3</v>
      </c>
      <c r="G121" s="1">
        <v>5</v>
      </c>
      <c r="H121" s="1" t="s">
        <v>583</v>
      </c>
      <c r="I121" s="1">
        <v>567033.1</v>
      </c>
      <c r="J121" s="1">
        <v>227548.79999999999</v>
      </c>
      <c r="K121" s="1">
        <v>339484.3</v>
      </c>
      <c r="L121" s="1">
        <v>600</v>
      </c>
      <c r="M121" s="1">
        <v>600.03</v>
      </c>
      <c r="N121" s="1">
        <v>140424.20000000001</v>
      </c>
      <c r="O121" s="1">
        <v>212815.1</v>
      </c>
      <c r="P121" s="1">
        <v>353239.3</v>
      </c>
      <c r="Q121" s="1">
        <v>13169.6</v>
      </c>
      <c r="R121" s="1">
        <v>5674.8</v>
      </c>
      <c r="S121" s="1">
        <v>18844.400000000001</v>
      </c>
      <c r="T121" s="1">
        <v>34.380000000000003</v>
      </c>
      <c r="U121" s="1">
        <v>0.28999999999999998</v>
      </c>
      <c r="V121" s="1">
        <v>5425</v>
      </c>
      <c r="W121" s="1">
        <v>18594.599999999999</v>
      </c>
      <c r="X121" s="1">
        <v>600.30999999999995</v>
      </c>
      <c r="Y121" s="1">
        <v>600</v>
      </c>
      <c r="Z121" s="1">
        <v>371833.9</v>
      </c>
      <c r="AA121" s="1">
        <v>34.42</v>
      </c>
      <c r="AB121" s="1">
        <v>2000</v>
      </c>
    </row>
    <row r="122" spans="1:28" x14ac:dyDescent="0.4">
      <c r="A122" s="1" t="s">
        <v>362</v>
      </c>
      <c r="B122" s="1">
        <v>2000</v>
      </c>
      <c r="C122" s="1">
        <v>0.4</v>
      </c>
      <c r="D122" s="1">
        <v>0.5</v>
      </c>
      <c r="E122" s="1">
        <v>500</v>
      </c>
      <c r="F122" s="1">
        <v>1</v>
      </c>
      <c r="G122" s="1">
        <v>1</v>
      </c>
      <c r="H122" s="1" t="s">
        <v>583</v>
      </c>
      <c r="I122" s="1">
        <v>72750.3</v>
      </c>
      <c r="J122" s="1">
        <v>28783.5</v>
      </c>
      <c r="K122" s="1">
        <v>43966.8</v>
      </c>
      <c r="L122" s="1">
        <v>600</v>
      </c>
      <c r="M122" s="1">
        <v>600</v>
      </c>
      <c r="N122" s="1">
        <v>12846.5</v>
      </c>
      <c r="O122" s="1">
        <v>21003.3</v>
      </c>
      <c r="P122" s="1">
        <v>33849.800000000003</v>
      </c>
      <c r="Q122" s="1">
        <v>13844.2</v>
      </c>
      <c r="R122" s="1">
        <v>5464.9</v>
      </c>
      <c r="S122" s="1">
        <v>19309.099999999999</v>
      </c>
      <c r="T122" s="1">
        <v>26.93</v>
      </c>
      <c r="U122" s="1">
        <v>0.14000000000000001</v>
      </c>
      <c r="V122" s="1">
        <v>5395.1</v>
      </c>
      <c r="W122" s="1">
        <v>19239.3</v>
      </c>
      <c r="X122" s="1">
        <v>600.14</v>
      </c>
      <c r="Y122" s="1">
        <v>600</v>
      </c>
      <c r="Z122" s="1">
        <v>53089.1</v>
      </c>
      <c r="AA122" s="1">
        <v>27.03</v>
      </c>
      <c r="AB122" s="1">
        <v>2000</v>
      </c>
    </row>
    <row r="123" spans="1:28" x14ac:dyDescent="0.4">
      <c r="A123" s="1" t="s">
        <v>363</v>
      </c>
      <c r="B123" s="1">
        <v>2000</v>
      </c>
      <c r="C123" s="1">
        <v>0.4</v>
      </c>
      <c r="D123" s="1">
        <v>0.5</v>
      </c>
      <c r="E123" s="1">
        <v>500</v>
      </c>
      <c r="F123" s="1">
        <v>1</v>
      </c>
      <c r="G123" s="1">
        <v>2</v>
      </c>
      <c r="H123" s="1" t="s">
        <v>583</v>
      </c>
      <c r="I123" s="1">
        <v>73605.100000000006</v>
      </c>
      <c r="J123" s="1">
        <v>29630.9</v>
      </c>
      <c r="K123" s="1">
        <v>43974.2</v>
      </c>
      <c r="L123" s="1">
        <v>600</v>
      </c>
      <c r="M123" s="1">
        <v>600</v>
      </c>
      <c r="N123" s="1">
        <v>15280</v>
      </c>
      <c r="O123" s="1">
        <v>21591.3</v>
      </c>
      <c r="P123" s="1">
        <v>36871.300000000003</v>
      </c>
      <c r="Q123" s="1">
        <v>13240.3</v>
      </c>
      <c r="R123" s="1">
        <v>5427.3</v>
      </c>
      <c r="S123" s="1">
        <v>18667.599999999999</v>
      </c>
      <c r="T123" s="1">
        <v>24.54</v>
      </c>
      <c r="U123" s="1">
        <v>0.13</v>
      </c>
      <c r="V123" s="1">
        <v>5364.1</v>
      </c>
      <c r="W123" s="1">
        <v>18604.400000000001</v>
      </c>
      <c r="X123" s="1">
        <v>600.13</v>
      </c>
      <c r="Y123" s="1">
        <v>600</v>
      </c>
      <c r="Z123" s="1">
        <v>55475.7</v>
      </c>
      <c r="AA123" s="1">
        <v>24.63</v>
      </c>
      <c r="AB123" s="1">
        <v>2000</v>
      </c>
    </row>
    <row r="124" spans="1:28" x14ac:dyDescent="0.4">
      <c r="A124" s="1" t="s">
        <v>364</v>
      </c>
      <c r="B124" s="1">
        <v>2000</v>
      </c>
      <c r="C124" s="1">
        <v>0.4</v>
      </c>
      <c r="D124" s="1">
        <v>0.5</v>
      </c>
      <c r="E124" s="1">
        <v>500</v>
      </c>
      <c r="F124" s="1">
        <v>1</v>
      </c>
      <c r="G124" s="1">
        <v>3</v>
      </c>
      <c r="H124" s="1" t="s">
        <v>583</v>
      </c>
      <c r="I124" s="1">
        <v>76455.600000000006</v>
      </c>
      <c r="J124" s="1">
        <v>31014.400000000001</v>
      </c>
      <c r="K124" s="1">
        <v>45441.2</v>
      </c>
      <c r="L124" s="1">
        <v>600</v>
      </c>
      <c r="M124" s="1">
        <v>600</v>
      </c>
      <c r="N124" s="1">
        <v>14692.3</v>
      </c>
      <c r="O124" s="1">
        <v>22425</v>
      </c>
      <c r="P124" s="1">
        <v>37117.300000000003</v>
      </c>
      <c r="Q124" s="1">
        <v>14082.4</v>
      </c>
      <c r="R124" s="1">
        <v>5604.3</v>
      </c>
      <c r="S124" s="1">
        <v>19686.7</v>
      </c>
      <c r="T124" s="1">
        <v>25.7</v>
      </c>
      <c r="U124" s="1">
        <v>0.13</v>
      </c>
      <c r="V124" s="1">
        <v>5516.4</v>
      </c>
      <c r="W124" s="1">
        <v>19598.8</v>
      </c>
      <c r="X124" s="1">
        <v>600.13</v>
      </c>
      <c r="Y124" s="1">
        <v>600</v>
      </c>
      <c r="Z124" s="1">
        <v>56716.1</v>
      </c>
      <c r="AA124" s="1">
        <v>25.82</v>
      </c>
      <c r="AB124" s="1">
        <v>2000</v>
      </c>
    </row>
    <row r="125" spans="1:28" x14ac:dyDescent="0.4">
      <c r="A125" s="1" t="s">
        <v>365</v>
      </c>
      <c r="B125" s="1">
        <v>2000</v>
      </c>
      <c r="C125" s="1">
        <v>0.4</v>
      </c>
      <c r="D125" s="1">
        <v>0.5</v>
      </c>
      <c r="E125" s="1">
        <v>500</v>
      </c>
      <c r="F125" s="1">
        <v>1</v>
      </c>
      <c r="G125" s="1">
        <v>4</v>
      </c>
      <c r="H125" s="1" t="s">
        <v>583</v>
      </c>
      <c r="I125" s="1">
        <v>73701.600000000006</v>
      </c>
      <c r="J125" s="1">
        <v>29454.6</v>
      </c>
      <c r="K125" s="1">
        <v>44247</v>
      </c>
      <c r="L125" s="1">
        <v>600</v>
      </c>
      <c r="M125" s="1">
        <v>600</v>
      </c>
      <c r="N125" s="1">
        <v>14637.9</v>
      </c>
      <c r="O125" s="1">
        <v>22568.9</v>
      </c>
      <c r="P125" s="1">
        <v>37206.800000000003</v>
      </c>
      <c r="Q125" s="1">
        <v>13444.8</v>
      </c>
      <c r="R125" s="1">
        <v>5111.3999999999996</v>
      </c>
      <c r="S125" s="1">
        <v>18556.2</v>
      </c>
      <c r="T125" s="1">
        <v>24.34</v>
      </c>
      <c r="U125" s="1">
        <v>0.13</v>
      </c>
      <c r="V125" s="1">
        <v>5049.6000000000004</v>
      </c>
      <c r="W125" s="1">
        <v>18494.400000000001</v>
      </c>
      <c r="X125" s="1">
        <v>600.14</v>
      </c>
      <c r="Y125" s="1">
        <v>600</v>
      </c>
      <c r="Z125" s="1">
        <v>55701.2</v>
      </c>
      <c r="AA125" s="1">
        <v>24.42</v>
      </c>
      <c r="AB125" s="1">
        <v>2000</v>
      </c>
    </row>
    <row r="126" spans="1:28" x14ac:dyDescent="0.4">
      <c r="A126" s="1" t="s">
        <v>366</v>
      </c>
      <c r="B126" s="1">
        <v>2000</v>
      </c>
      <c r="C126" s="1">
        <v>0.4</v>
      </c>
      <c r="D126" s="1">
        <v>0.5</v>
      </c>
      <c r="E126" s="1">
        <v>500</v>
      </c>
      <c r="F126" s="1">
        <v>1</v>
      </c>
      <c r="G126" s="1">
        <v>5</v>
      </c>
      <c r="H126" s="1" t="s">
        <v>583</v>
      </c>
      <c r="I126" s="1">
        <v>76721.100000000006</v>
      </c>
      <c r="J126" s="1">
        <v>28543.3</v>
      </c>
      <c r="K126" s="1">
        <v>48177.8</v>
      </c>
      <c r="L126" s="1">
        <v>600</v>
      </c>
      <c r="M126" s="1">
        <v>600</v>
      </c>
      <c r="N126" s="1">
        <v>14508</v>
      </c>
      <c r="O126" s="1">
        <v>23289.3</v>
      </c>
      <c r="P126" s="1">
        <v>37797.300000000003</v>
      </c>
      <c r="Q126" s="1">
        <v>13846.2</v>
      </c>
      <c r="R126" s="1">
        <v>5264</v>
      </c>
      <c r="S126" s="1">
        <v>19110.2</v>
      </c>
      <c r="T126" s="1">
        <v>25.83</v>
      </c>
      <c r="U126" s="1">
        <v>0.14000000000000001</v>
      </c>
      <c r="V126" s="1">
        <v>5198.5</v>
      </c>
      <c r="W126" s="1">
        <v>19044.7</v>
      </c>
      <c r="X126" s="1">
        <v>600.14</v>
      </c>
      <c r="Y126" s="1">
        <v>600</v>
      </c>
      <c r="Z126" s="1">
        <v>56842</v>
      </c>
      <c r="AA126" s="1">
        <v>25.91</v>
      </c>
      <c r="AB126" s="1">
        <v>2000</v>
      </c>
    </row>
    <row r="127" spans="1:28" x14ac:dyDescent="0.4">
      <c r="A127" s="1" t="s">
        <v>367</v>
      </c>
      <c r="B127" s="1">
        <v>2000</v>
      </c>
      <c r="C127" s="1">
        <v>0.4</v>
      </c>
      <c r="D127" s="1">
        <v>0.5</v>
      </c>
      <c r="E127" s="1">
        <v>500</v>
      </c>
      <c r="F127" s="1">
        <v>2</v>
      </c>
      <c r="G127" s="1">
        <v>1</v>
      </c>
      <c r="H127" s="1" t="s">
        <v>583</v>
      </c>
      <c r="I127" s="1">
        <v>111543.7</v>
      </c>
      <c r="J127" s="1">
        <v>44482</v>
      </c>
      <c r="K127" s="1">
        <v>67061.7</v>
      </c>
      <c r="L127" s="1">
        <v>600</v>
      </c>
      <c r="M127" s="1">
        <v>600</v>
      </c>
      <c r="N127" s="1">
        <v>23959.1</v>
      </c>
      <c r="O127" s="1">
        <v>35087.699999999997</v>
      </c>
      <c r="P127" s="1">
        <v>59046.8</v>
      </c>
      <c r="Q127" s="1">
        <v>13215</v>
      </c>
      <c r="R127" s="1">
        <v>5153.7</v>
      </c>
      <c r="S127" s="1">
        <v>18368.7</v>
      </c>
      <c r="T127" s="1">
        <v>30.6</v>
      </c>
      <c r="U127" s="1">
        <v>0.25</v>
      </c>
      <c r="V127" s="1">
        <v>4941.7</v>
      </c>
      <c r="W127" s="1">
        <v>18156.7</v>
      </c>
      <c r="X127" s="1">
        <v>600.25</v>
      </c>
      <c r="Y127" s="1">
        <v>600</v>
      </c>
      <c r="Z127" s="1">
        <v>77203.5</v>
      </c>
      <c r="AA127" s="1">
        <v>30.79</v>
      </c>
      <c r="AB127" s="1">
        <v>2000</v>
      </c>
    </row>
    <row r="128" spans="1:28" x14ac:dyDescent="0.4">
      <c r="A128" s="1" t="s">
        <v>368</v>
      </c>
      <c r="B128" s="1">
        <v>2000</v>
      </c>
      <c r="C128" s="1">
        <v>0.4</v>
      </c>
      <c r="D128" s="1">
        <v>0.5</v>
      </c>
      <c r="E128" s="1">
        <v>500</v>
      </c>
      <c r="F128" s="1">
        <v>2</v>
      </c>
      <c r="G128" s="1">
        <v>2</v>
      </c>
      <c r="H128" s="1" t="s">
        <v>583</v>
      </c>
      <c r="I128" s="1">
        <v>110422.6</v>
      </c>
      <c r="J128" s="1">
        <v>43034.5</v>
      </c>
      <c r="K128" s="1">
        <v>67388.100000000006</v>
      </c>
      <c r="L128" s="1">
        <v>600</v>
      </c>
      <c r="M128" s="1">
        <v>600</v>
      </c>
      <c r="N128" s="1">
        <v>23364.799999999999</v>
      </c>
      <c r="O128" s="1">
        <v>34824.800000000003</v>
      </c>
      <c r="P128" s="1">
        <v>58189.599999999999</v>
      </c>
      <c r="Q128" s="1">
        <v>13429.4</v>
      </c>
      <c r="R128" s="1">
        <v>5556</v>
      </c>
      <c r="S128" s="1">
        <v>18985.400000000001</v>
      </c>
      <c r="T128" s="1">
        <v>30.11</v>
      </c>
      <c r="U128" s="1">
        <v>0.23</v>
      </c>
      <c r="V128" s="1">
        <v>5410.8</v>
      </c>
      <c r="W128" s="1">
        <v>18840.2</v>
      </c>
      <c r="X128" s="1">
        <v>600.23</v>
      </c>
      <c r="Y128" s="1">
        <v>600</v>
      </c>
      <c r="Z128" s="1">
        <v>77029.8</v>
      </c>
      <c r="AA128" s="1">
        <v>30.24</v>
      </c>
      <c r="AB128" s="1">
        <v>2000</v>
      </c>
    </row>
    <row r="129" spans="1:28" x14ac:dyDescent="0.4">
      <c r="A129" s="1" t="s">
        <v>369</v>
      </c>
      <c r="B129" s="1">
        <v>2000</v>
      </c>
      <c r="C129" s="1">
        <v>0.4</v>
      </c>
      <c r="D129" s="1">
        <v>0.5</v>
      </c>
      <c r="E129" s="1">
        <v>500</v>
      </c>
      <c r="F129" s="1">
        <v>2</v>
      </c>
      <c r="G129" s="1">
        <v>3</v>
      </c>
      <c r="H129" s="1" t="s">
        <v>583</v>
      </c>
      <c r="I129" s="1">
        <v>112921.7</v>
      </c>
      <c r="J129" s="1">
        <v>43531.7</v>
      </c>
      <c r="K129" s="1">
        <v>69390</v>
      </c>
      <c r="L129" s="1">
        <v>600</v>
      </c>
      <c r="M129" s="1">
        <v>600.01</v>
      </c>
      <c r="N129" s="1">
        <v>22837</v>
      </c>
      <c r="O129" s="1">
        <v>36134</v>
      </c>
      <c r="P129" s="1">
        <v>58971</v>
      </c>
      <c r="Q129" s="1">
        <v>13289.8</v>
      </c>
      <c r="R129" s="1">
        <v>5293.9</v>
      </c>
      <c r="S129" s="1">
        <v>18583.7</v>
      </c>
      <c r="T129" s="1">
        <v>31.32</v>
      </c>
      <c r="U129" s="1">
        <v>0.18</v>
      </c>
      <c r="V129" s="1">
        <v>5161.6000000000004</v>
      </c>
      <c r="W129" s="1">
        <v>18451.400000000001</v>
      </c>
      <c r="X129" s="1">
        <v>600.19000000000005</v>
      </c>
      <c r="Y129" s="1">
        <v>600</v>
      </c>
      <c r="Z129" s="1">
        <v>77422.399999999994</v>
      </c>
      <c r="AA129" s="1">
        <v>31.44</v>
      </c>
      <c r="AB129" s="1">
        <v>2000</v>
      </c>
    </row>
    <row r="130" spans="1:28" x14ac:dyDescent="0.4">
      <c r="A130" s="1" t="s">
        <v>370</v>
      </c>
      <c r="B130" s="1">
        <v>2000</v>
      </c>
      <c r="C130" s="1">
        <v>0.4</v>
      </c>
      <c r="D130" s="1">
        <v>0.5</v>
      </c>
      <c r="E130" s="1">
        <v>500</v>
      </c>
      <c r="F130" s="1">
        <v>2</v>
      </c>
      <c r="G130" s="1">
        <v>4</v>
      </c>
      <c r="H130" s="1" t="s">
        <v>583</v>
      </c>
      <c r="I130" s="1">
        <v>114643.4</v>
      </c>
      <c r="J130" s="1">
        <v>45320.5</v>
      </c>
      <c r="K130" s="1">
        <v>69322.899999999994</v>
      </c>
      <c r="L130" s="1">
        <v>600</v>
      </c>
      <c r="M130" s="1">
        <v>600</v>
      </c>
      <c r="N130" s="1">
        <v>24901.7</v>
      </c>
      <c r="O130" s="1">
        <v>37580.6</v>
      </c>
      <c r="P130" s="1">
        <v>62482.3</v>
      </c>
      <c r="Q130" s="1">
        <v>12910.2</v>
      </c>
      <c r="R130" s="1">
        <v>4954.5</v>
      </c>
      <c r="S130" s="1">
        <v>17864.7</v>
      </c>
      <c r="T130" s="1">
        <v>29.92</v>
      </c>
      <c r="U130" s="1">
        <v>0.16</v>
      </c>
      <c r="V130" s="1">
        <v>4835.1000000000004</v>
      </c>
      <c r="W130" s="1">
        <v>17745.3</v>
      </c>
      <c r="X130" s="1">
        <v>600.16</v>
      </c>
      <c r="Y130" s="1">
        <v>600</v>
      </c>
      <c r="Z130" s="1">
        <v>80227.600000000006</v>
      </c>
      <c r="AA130" s="1">
        <v>30.02</v>
      </c>
      <c r="AB130" s="1">
        <v>2000</v>
      </c>
    </row>
    <row r="131" spans="1:28" x14ac:dyDescent="0.4">
      <c r="A131" s="1" t="s">
        <v>371</v>
      </c>
      <c r="B131" s="1">
        <v>2000</v>
      </c>
      <c r="C131" s="1">
        <v>0.4</v>
      </c>
      <c r="D131" s="1">
        <v>0.5</v>
      </c>
      <c r="E131" s="1">
        <v>500</v>
      </c>
      <c r="F131" s="1">
        <v>2</v>
      </c>
      <c r="G131" s="1">
        <v>5</v>
      </c>
      <c r="H131" s="1" t="s">
        <v>583</v>
      </c>
      <c r="I131" s="1">
        <v>115340.8</v>
      </c>
      <c r="J131" s="1">
        <v>46197.7</v>
      </c>
      <c r="K131" s="1">
        <v>69143.100000000006</v>
      </c>
      <c r="L131" s="1">
        <v>600</v>
      </c>
      <c r="M131" s="1">
        <v>600</v>
      </c>
      <c r="N131" s="1">
        <v>25085.7</v>
      </c>
      <c r="O131" s="1">
        <v>35948.699999999997</v>
      </c>
      <c r="P131" s="1">
        <v>61034.400000000001</v>
      </c>
      <c r="Q131" s="1">
        <v>13343.7</v>
      </c>
      <c r="R131" s="1">
        <v>5424.8</v>
      </c>
      <c r="S131" s="1">
        <v>18768.5</v>
      </c>
      <c r="T131" s="1">
        <v>30.81</v>
      </c>
      <c r="U131" s="1">
        <v>0.24</v>
      </c>
      <c r="V131" s="1">
        <v>5248.7</v>
      </c>
      <c r="W131" s="1">
        <v>18592.400000000001</v>
      </c>
      <c r="X131" s="1">
        <v>600.24</v>
      </c>
      <c r="Y131" s="1">
        <v>599</v>
      </c>
      <c r="Z131" s="1">
        <v>79626.8</v>
      </c>
      <c r="AA131" s="1">
        <v>30.96</v>
      </c>
      <c r="AB131" s="1">
        <v>2000</v>
      </c>
    </row>
    <row r="132" spans="1:28" x14ac:dyDescent="0.4">
      <c r="A132" s="1" t="s">
        <v>372</v>
      </c>
      <c r="B132" s="1">
        <v>2000</v>
      </c>
      <c r="C132" s="1">
        <v>0.4</v>
      </c>
      <c r="D132" s="1">
        <v>0.5</v>
      </c>
      <c r="E132" s="1">
        <v>500</v>
      </c>
      <c r="F132" s="1">
        <v>3</v>
      </c>
      <c r="G132" s="1">
        <v>1</v>
      </c>
      <c r="H132" s="1" t="s">
        <v>583</v>
      </c>
      <c r="I132" s="1">
        <v>146342.70000000001</v>
      </c>
      <c r="J132" s="1">
        <v>61182.8</v>
      </c>
      <c r="K132" s="1">
        <v>85159.9</v>
      </c>
      <c r="L132" s="1">
        <v>600</v>
      </c>
      <c r="M132" s="1">
        <v>600</v>
      </c>
      <c r="N132" s="1">
        <v>33186.1</v>
      </c>
      <c r="O132" s="1">
        <v>46288.800000000003</v>
      </c>
      <c r="P132" s="1">
        <v>79474.899999999994</v>
      </c>
      <c r="Q132" s="1">
        <v>13518.1</v>
      </c>
      <c r="R132" s="1">
        <v>5648.1</v>
      </c>
      <c r="S132" s="1">
        <v>19166.2</v>
      </c>
      <c r="T132" s="1">
        <v>32.6</v>
      </c>
      <c r="U132" s="1">
        <v>0.28000000000000003</v>
      </c>
      <c r="V132" s="1">
        <v>5395</v>
      </c>
      <c r="W132" s="1">
        <v>18913.099999999999</v>
      </c>
      <c r="X132" s="1">
        <v>600.28</v>
      </c>
      <c r="Y132" s="1">
        <v>600</v>
      </c>
      <c r="Z132" s="1">
        <v>98388</v>
      </c>
      <c r="AA132" s="1">
        <v>32.770000000000003</v>
      </c>
      <c r="AB132" s="1">
        <v>2000</v>
      </c>
    </row>
    <row r="133" spans="1:28" x14ac:dyDescent="0.4">
      <c r="A133" s="1" t="s">
        <v>373</v>
      </c>
      <c r="B133" s="1">
        <v>2000</v>
      </c>
      <c r="C133" s="1">
        <v>0.4</v>
      </c>
      <c r="D133" s="1">
        <v>0.5</v>
      </c>
      <c r="E133" s="1">
        <v>500</v>
      </c>
      <c r="F133" s="1">
        <v>3</v>
      </c>
      <c r="G133" s="1">
        <v>2</v>
      </c>
      <c r="H133" s="1" t="s">
        <v>583</v>
      </c>
      <c r="I133" s="1">
        <v>145711.4</v>
      </c>
      <c r="J133" s="1">
        <v>61224.5</v>
      </c>
      <c r="K133" s="1">
        <v>84486.9</v>
      </c>
      <c r="L133" s="1">
        <v>600</v>
      </c>
      <c r="M133" s="1">
        <v>600.01</v>
      </c>
      <c r="N133" s="1">
        <v>34306.5</v>
      </c>
      <c r="O133" s="1">
        <v>47124.9</v>
      </c>
      <c r="P133" s="1">
        <v>81431.399999999994</v>
      </c>
      <c r="Q133" s="1">
        <v>12961.8</v>
      </c>
      <c r="R133" s="1">
        <v>5023.1000000000004</v>
      </c>
      <c r="S133" s="1">
        <v>17984.900000000001</v>
      </c>
      <c r="T133" s="1">
        <v>31.77</v>
      </c>
      <c r="U133" s="1">
        <v>0.23</v>
      </c>
      <c r="V133" s="1">
        <v>4917.3</v>
      </c>
      <c r="W133" s="1">
        <v>17879.099999999999</v>
      </c>
      <c r="X133" s="1">
        <v>600.24</v>
      </c>
      <c r="Y133" s="1">
        <v>600</v>
      </c>
      <c r="Z133" s="1">
        <v>99310.5</v>
      </c>
      <c r="AA133" s="1">
        <v>31.84</v>
      </c>
      <c r="AB133" s="1">
        <v>2000</v>
      </c>
    </row>
    <row r="134" spans="1:28" x14ac:dyDescent="0.4">
      <c r="A134" s="1" t="s">
        <v>374</v>
      </c>
      <c r="B134" s="1">
        <v>2000</v>
      </c>
      <c r="C134" s="1">
        <v>0.4</v>
      </c>
      <c r="D134" s="1">
        <v>0.5</v>
      </c>
      <c r="E134" s="1">
        <v>500</v>
      </c>
      <c r="F134" s="1">
        <v>3</v>
      </c>
      <c r="G134" s="1">
        <v>3</v>
      </c>
      <c r="H134" s="1" t="s">
        <v>583</v>
      </c>
      <c r="I134" s="1">
        <v>138058.9</v>
      </c>
      <c r="J134" s="1">
        <v>55101.1</v>
      </c>
      <c r="K134" s="1">
        <v>82957.8</v>
      </c>
      <c r="L134" s="1">
        <v>600</v>
      </c>
      <c r="M134" s="1">
        <v>600</v>
      </c>
      <c r="N134" s="1">
        <v>29581.4</v>
      </c>
      <c r="O134" s="1">
        <v>46306.1</v>
      </c>
      <c r="P134" s="1">
        <v>75887.5</v>
      </c>
      <c r="Q134" s="1">
        <v>12813.6</v>
      </c>
      <c r="R134" s="1">
        <v>5085.7</v>
      </c>
      <c r="S134" s="1">
        <v>17899.3</v>
      </c>
      <c r="T134" s="1">
        <v>32.07</v>
      </c>
      <c r="U134" s="1">
        <v>0.19</v>
      </c>
      <c r="V134" s="1">
        <v>4893</v>
      </c>
      <c r="W134" s="1">
        <v>17706.599999999999</v>
      </c>
      <c r="X134" s="1">
        <v>600.20000000000005</v>
      </c>
      <c r="Y134" s="1">
        <v>600</v>
      </c>
      <c r="Z134" s="1">
        <v>93594.1</v>
      </c>
      <c r="AA134" s="1">
        <v>32.21</v>
      </c>
      <c r="AB134" s="1">
        <v>2000</v>
      </c>
    </row>
    <row r="135" spans="1:28" x14ac:dyDescent="0.4">
      <c r="A135" s="1" t="s">
        <v>375</v>
      </c>
      <c r="B135" s="1">
        <v>2000</v>
      </c>
      <c r="C135" s="1">
        <v>0.4</v>
      </c>
      <c r="D135" s="1">
        <v>0.5</v>
      </c>
      <c r="E135" s="1">
        <v>500</v>
      </c>
      <c r="F135" s="1">
        <v>3</v>
      </c>
      <c r="G135" s="1">
        <v>4</v>
      </c>
      <c r="H135" s="1" t="s">
        <v>583</v>
      </c>
      <c r="I135" s="1">
        <v>144089.60000000001</v>
      </c>
      <c r="J135" s="1">
        <v>60356.7</v>
      </c>
      <c r="K135" s="1">
        <v>83732.899999999994</v>
      </c>
      <c r="L135" s="1">
        <v>600</v>
      </c>
      <c r="M135" s="1">
        <v>600.01</v>
      </c>
      <c r="N135" s="1">
        <v>33048.5</v>
      </c>
      <c r="O135" s="1">
        <v>46202.8</v>
      </c>
      <c r="P135" s="1">
        <v>79251.3</v>
      </c>
      <c r="Q135" s="1">
        <v>13023.4</v>
      </c>
      <c r="R135" s="1">
        <v>5413.4</v>
      </c>
      <c r="S135" s="1">
        <v>18436.8</v>
      </c>
      <c r="T135" s="1">
        <v>32.200000000000003</v>
      </c>
      <c r="U135" s="1">
        <v>0.22</v>
      </c>
      <c r="V135" s="1">
        <v>5237.7</v>
      </c>
      <c r="W135" s="1">
        <v>18261.099999999999</v>
      </c>
      <c r="X135" s="1">
        <v>600.23</v>
      </c>
      <c r="Y135" s="1">
        <v>600</v>
      </c>
      <c r="Z135" s="1">
        <v>97512.4</v>
      </c>
      <c r="AA135" s="1">
        <v>32.33</v>
      </c>
      <c r="AB135" s="1">
        <v>2000</v>
      </c>
    </row>
    <row r="136" spans="1:28" x14ac:dyDescent="0.4">
      <c r="A136" s="1" t="s">
        <v>376</v>
      </c>
      <c r="B136" s="1">
        <v>2000</v>
      </c>
      <c r="C136" s="1">
        <v>0.4</v>
      </c>
      <c r="D136" s="1">
        <v>0.5</v>
      </c>
      <c r="E136" s="1">
        <v>500</v>
      </c>
      <c r="F136" s="1">
        <v>3</v>
      </c>
      <c r="G136" s="1">
        <v>5</v>
      </c>
      <c r="H136" s="1" t="s">
        <v>583</v>
      </c>
      <c r="I136" s="1">
        <v>135459.1</v>
      </c>
      <c r="J136" s="1">
        <v>52439.1</v>
      </c>
      <c r="K136" s="1">
        <v>83020</v>
      </c>
      <c r="L136" s="1">
        <v>600</v>
      </c>
      <c r="M136" s="1">
        <v>600.01</v>
      </c>
      <c r="N136" s="1">
        <v>29985.8</v>
      </c>
      <c r="O136" s="1">
        <v>46749.2</v>
      </c>
      <c r="P136" s="1">
        <v>76735</v>
      </c>
      <c r="Q136" s="1">
        <v>12572.1</v>
      </c>
      <c r="R136" s="1">
        <v>4837.7</v>
      </c>
      <c r="S136" s="1">
        <v>17409.8</v>
      </c>
      <c r="T136" s="1">
        <v>30.5</v>
      </c>
      <c r="U136" s="1">
        <v>0.19</v>
      </c>
      <c r="V136" s="1">
        <v>4586.8</v>
      </c>
      <c r="W136" s="1">
        <v>17158.900000000001</v>
      </c>
      <c r="X136" s="1">
        <v>600.19000000000005</v>
      </c>
      <c r="Y136" s="1">
        <v>600</v>
      </c>
      <c r="Z136" s="1">
        <v>93893.9</v>
      </c>
      <c r="AA136" s="1">
        <v>30.68</v>
      </c>
      <c r="AB136" s="1">
        <v>2000</v>
      </c>
    </row>
    <row r="137" spans="1:28" x14ac:dyDescent="0.4">
      <c r="A137" s="1" t="s">
        <v>60</v>
      </c>
      <c r="B137" s="1">
        <v>4000</v>
      </c>
      <c r="C137" s="1">
        <v>0.2</v>
      </c>
      <c r="D137" s="1">
        <v>0.5</v>
      </c>
      <c r="E137" s="1">
        <v>1000</v>
      </c>
      <c r="F137" s="1">
        <v>1</v>
      </c>
      <c r="G137" s="1">
        <v>1</v>
      </c>
      <c r="H137" s="1" t="s">
        <v>583</v>
      </c>
      <c r="I137" s="1">
        <v>176793.4</v>
      </c>
      <c r="J137" s="1">
        <v>69235.899999999994</v>
      </c>
      <c r="K137" s="1">
        <v>107557.5</v>
      </c>
      <c r="L137" s="1">
        <v>1200</v>
      </c>
      <c r="M137" s="1">
        <v>600</v>
      </c>
      <c r="N137" s="1">
        <v>40051.699999999997</v>
      </c>
      <c r="O137" s="1">
        <v>62887</v>
      </c>
      <c r="P137" s="1">
        <v>102938.7</v>
      </c>
      <c r="Q137" s="1">
        <v>32060.2</v>
      </c>
      <c r="R137" s="1">
        <v>5911</v>
      </c>
      <c r="S137" s="1">
        <v>37971.199999999997</v>
      </c>
      <c r="T137" s="1">
        <v>20.3</v>
      </c>
      <c r="U137" s="1">
        <v>0.13</v>
      </c>
      <c r="V137" s="1">
        <v>5762</v>
      </c>
      <c r="W137" s="1">
        <v>37822.199999999997</v>
      </c>
      <c r="X137" s="1">
        <v>600.13</v>
      </c>
      <c r="Y137" s="1">
        <v>1200</v>
      </c>
      <c r="Z137" s="1">
        <v>140760.9</v>
      </c>
      <c r="AA137" s="1">
        <v>20.38</v>
      </c>
      <c r="AB137" s="1">
        <v>4000</v>
      </c>
    </row>
    <row r="138" spans="1:28" x14ac:dyDescent="0.4">
      <c r="A138" s="1" t="s">
        <v>61</v>
      </c>
      <c r="B138" s="1">
        <v>4000</v>
      </c>
      <c r="C138" s="1">
        <v>0.2</v>
      </c>
      <c r="D138" s="1">
        <v>0.5</v>
      </c>
      <c r="E138" s="1">
        <v>1000</v>
      </c>
      <c r="F138" s="1">
        <v>1</v>
      </c>
      <c r="G138" s="1">
        <v>2</v>
      </c>
      <c r="H138" s="1" t="s">
        <v>583</v>
      </c>
      <c r="I138" s="1">
        <v>172246.7</v>
      </c>
      <c r="J138" s="1">
        <v>71438.100000000006</v>
      </c>
      <c r="K138" s="1">
        <v>100808.6</v>
      </c>
      <c r="L138" s="1">
        <v>1200</v>
      </c>
      <c r="M138" s="1">
        <v>600</v>
      </c>
      <c r="N138" s="1">
        <v>41365.699999999997</v>
      </c>
      <c r="O138" s="1">
        <v>58801.1</v>
      </c>
      <c r="P138" s="1">
        <v>100166.8</v>
      </c>
      <c r="Q138" s="1">
        <v>32567</v>
      </c>
      <c r="R138" s="1">
        <v>5787.8</v>
      </c>
      <c r="S138" s="1">
        <v>38354.800000000003</v>
      </c>
      <c r="T138" s="1">
        <v>19.579999999999998</v>
      </c>
      <c r="U138" s="1">
        <v>0.08</v>
      </c>
      <c r="V138" s="1">
        <v>5607.2</v>
      </c>
      <c r="W138" s="1">
        <v>38174.199999999997</v>
      </c>
      <c r="X138" s="1">
        <v>600.08000000000004</v>
      </c>
      <c r="Y138" s="1">
        <v>1200</v>
      </c>
      <c r="Z138" s="1">
        <v>138341</v>
      </c>
      <c r="AA138" s="1">
        <v>19.68</v>
      </c>
      <c r="AB138" s="1">
        <v>4000</v>
      </c>
    </row>
    <row r="139" spans="1:28" x14ac:dyDescent="0.4">
      <c r="A139" s="1" t="s">
        <v>62</v>
      </c>
      <c r="B139" s="1">
        <v>4000</v>
      </c>
      <c r="C139" s="1">
        <v>0.2</v>
      </c>
      <c r="D139" s="1">
        <v>0.5</v>
      </c>
      <c r="E139" s="1">
        <v>1000</v>
      </c>
      <c r="F139" s="1">
        <v>1</v>
      </c>
      <c r="G139" s="1">
        <v>3</v>
      </c>
      <c r="H139" s="1" t="s">
        <v>583</v>
      </c>
      <c r="I139" s="1">
        <v>172482.6</v>
      </c>
      <c r="J139" s="1">
        <v>70991</v>
      </c>
      <c r="K139" s="1">
        <v>101491.6</v>
      </c>
      <c r="L139" s="1">
        <v>1200</v>
      </c>
      <c r="M139" s="1">
        <v>600.01</v>
      </c>
      <c r="N139" s="1">
        <v>40912.1</v>
      </c>
      <c r="O139" s="1">
        <v>59694.7</v>
      </c>
      <c r="P139" s="1">
        <v>100606.8</v>
      </c>
      <c r="Q139" s="1">
        <v>31972.400000000001</v>
      </c>
      <c r="R139" s="1">
        <v>5491</v>
      </c>
      <c r="S139" s="1">
        <v>37463.4</v>
      </c>
      <c r="T139" s="1">
        <v>19.95</v>
      </c>
      <c r="U139" s="1">
        <v>0.08</v>
      </c>
      <c r="V139" s="1">
        <v>5226.5</v>
      </c>
      <c r="W139" s="1">
        <v>37198.9</v>
      </c>
      <c r="X139" s="1">
        <v>600.09</v>
      </c>
      <c r="Y139" s="1">
        <v>1200</v>
      </c>
      <c r="Z139" s="1">
        <v>137805.70000000001</v>
      </c>
      <c r="AA139" s="1">
        <v>20.100000000000001</v>
      </c>
      <c r="AB139" s="1">
        <v>4000</v>
      </c>
    </row>
    <row r="140" spans="1:28" x14ac:dyDescent="0.4">
      <c r="A140" s="1" t="s">
        <v>63</v>
      </c>
      <c r="B140" s="1">
        <v>4000</v>
      </c>
      <c r="C140" s="1">
        <v>0.2</v>
      </c>
      <c r="D140" s="1">
        <v>0.5</v>
      </c>
      <c r="E140" s="1">
        <v>1000</v>
      </c>
      <c r="F140" s="1">
        <v>1</v>
      </c>
      <c r="G140" s="1">
        <v>4</v>
      </c>
      <c r="H140" s="1" t="s">
        <v>583</v>
      </c>
      <c r="I140" s="1">
        <v>178110.7</v>
      </c>
      <c r="J140" s="1">
        <v>73274.7</v>
      </c>
      <c r="K140" s="1">
        <v>104836</v>
      </c>
      <c r="L140" s="1">
        <v>1200</v>
      </c>
      <c r="M140" s="1">
        <v>600</v>
      </c>
      <c r="N140" s="1">
        <v>41713.300000000003</v>
      </c>
      <c r="O140" s="1">
        <v>62106.1</v>
      </c>
      <c r="P140" s="1">
        <v>103819.4</v>
      </c>
      <c r="Q140" s="1">
        <v>33120.699999999997</v>
      </c>
      <c r="R140" s="1">
        <v>5995.4</v>
      </c>
      <c r="S140" s="1">
        <v>39116.1</v>
      </c>
      <c r="T140" s="1">
        <v>19.75</v>
      </c>
      <c r="U140" s="1">
        <v>7.0000000000000007E-2</v>
      </c>
      <c r="V140" s="1">
        <v>5738.9</v>
      </c>
      <c r="W140" s="1">
        <v>38859.599999999999</v>
      </c>
      <c r="X140" s="1">
        <v>600.08000000000004</v>
      </c>
      <c r="Y140" s="1">
        <v>1200</v>
      </c>
      <c r="Z140" s="1">
        <v>142679</v>
      </c>
      <c r="AA140" s="1">
        <v>19.89</v>
      </c>
      <c r="AB140" s="1">
        <v>4000</v>
      </c>
    </row>
    <row r="141" spans="1:28" x14ac:dyDescent="0.4">
      <c r="A141" s="1" t="s">
        <v>64</v>
      </c>
      <c r="B141" s="1">
        <v>4000</v>
      </c>
      <c r="C141" s="1">
        <v>0.2</v>
      </c>
      <c r="D141" s="1">
        <v>0.5</v>
      </c>
      <c r="E141" s="1">
        <v>1000</v>
      </c>
      <c r="F141" s="1">
        <v>1</v>
      </c>
      <c r="G141" s="1">
        <v>5</v>
      </c>
      <c r="H141" s="1" t="s">
        <v>583</v>
      </c>
      <c r="I141" s="1">
        <v>179070</v>
      </c>
      <c r="J141" s="1">
        <v>69970.8</v>
      </c>
      <c r="K141" s="1">
        <v>109099.2</v>
      </c>
      <c r="L141" s="1">
        <v>1200</v>
      </c>
      <c r="M141" s="1">
        <v>600.01</v>
      </c>
      <c r="N141" s="1">
        <v>42381.9</v>
      </c>
      <c r="O141" s="1">
        <v>64212.7</v>
      </c>
      <c r="P141" s="1">
        <v>106594.6</v>
      </c>
      <c r="Q141" s="1">
        <v>31918.9</v>
      </c>
      <c r="R141" s="1">
        <v>5744.5</v>
      </c>
      <c r="S141" s="1">
        <v>37663.4</v>
      </c>
      <c r="T141" s="1">
        <v>19.440000000000001</v>
      </c>
      <c r="U141" s="1">
        <v>0.08</v>
      </c>
      <c r="V141" s="1">
        <v>5522.9</v>
      </c>
      <c r="W141" s="1">
        <v>37441.800000000003</v>
      </c>
      <c r="X141" s="1">
        <v>600.08000000000004</v>
      </c>
      <c r="Y141" s="1">
        <v>1200</v>
      </c>
      <c r="Z141" s="1">
        <v>144036.4</v>
      </c>
      <c r="AA141" s="1">
        <v>19.559999999999999</v>
      </c>
      <c r="AB141" s="1">
        <v>4000</v>
      </c>
    </row>
    <row r="142" spans="1:28" x14ac:dyDescent="0.4">
      <c r="A142" s="1" t="s">
        <v>65</v>
      </c>
      <c r="B142" s="1">
        <v>4000</v>
      </c>
      <c r="C142" s="1">
        <v>0.2</v>
      </c>
      <c r="D142" s="1">
        <v>0.5</v>
      </c>
      <c r="E142" s="1">
        <v>1000</v>
      </c>
      <c r="F142" s="1">
        <v>2</v>
      </c>
      <c r="G142" s="1">
        <v>1</v>
      </c>
      <c r="H142" s="1" t="s">
        <v>583</v>
      </c>
      <c r="I142" s="1">
        <v>266347.90000000002</v>
      </c>
      <c r="J142" s="1">
        <v>100159.7</v>
      </c>
      <c r="K142" s="1">
        <v>166188.20000000001</v>
      </c>
      <c r="L142" s="1">
        <v>1200</v>
      </c>
      <c r="M142" s="1">
        <v>600.03</v>
      </c>
      <c r="N142" s="1">
        <v>64899.7</v>
      </c>
      <c r="O142" s="1">
        <v>104108.4</v>
      </c>
      <c r="P142" s="1">
        <v>169008.1</v>
      </c>
      <c r="Q142" s="1">
        <v>30536.9</v>
      </c>
      <c r="R142" s="1">
        <v>6297.5</v>
      </c>
      <c r="S142" s="1">
        <v>36834.400000000001</v>
      </c>
      <c r="T142" s="1">
        <v>22.72</v>
      </c>
      <c r="U142" s="1">
        <v>0.17</v>
      </c>
      <c r="V142" s="1">
        <v>5835.6</v>
      </c>
      <c r="W142" s="1">
        <v>36372.5</v>
      </c>
      <c r="X142" s="1">
        <v>600.20000000000005</v>
      </c>
      <c r="Y142" s="1">
        <v>1200</v>
      </c>
      <c r="Z142" s="1">
        <v>205380.6</v>
      </c>
      <c r="AA142" s="1">
        <v>22.89</v>
      </c>
      <c r="AB142" s="1">
        <v>4000</v>
      </c>
    </row>
    <row r="143" spans="1:28" x14ac:dyDescent="0.4">
      <c r="A143" s="1" t="s">
        <v>66</v>
      </c>
      <c r="B143" s="1">
        <v>4000</v>
      </c>
      <c r="C143" s="1">
        <v>0.2</v>
      </c>
      <c r="D143" s="1">
        <v>0.5</v>
      </c>
      <c r="E143" s="1">
        <v>1000</v>
      </c>
      <c r="F143" s="1">
        <v>2</v>
      </c>
      <c r="G143" s="1">
        <v>2</v>
      </c>
      <c r="H143" s="1" t="s">
        <v>583</v>
      </c>
      <c r="I143" s="1">
        <v>265499.59999999998</v>
      </c>
      <c r="J143" s="1">
        <v>100358.1</v>
      </c>
      <c r="K143" s="1">
        <v>165141.5</v>
      </c>
      <c r="L143" s="1">
        <v>1200</v>
      </c>
      <c r="M143" s="1">
        <v>600</v>
      </c>
      <c r="N143" s="1">
        <v>62229.2</v>
      </c>
      <c r="O143" s="1">
        <v>101566</v>
      </c>
      <c r="P143" s="1">
        <v>163795.20000000001</v>
      </c>
      <c r="Q143" s="1">
        <v>31224.1</v>
      </c>
      <c r="R143" s="1">
        <v>6271</v>
      </c>
      <c r="S143" s="1">
        <v>37495.1</v>
      </c>
      <c r="T143" s="1">
        <v>24.18</v>
      </c>
      <c r="U143" s="1">
        <v>0.23</v>
      </c>
      <c r="V143" s="1">
        <v>5923.9</v>
      </c>
      <c r="W143" s="1">
        <v>37148</v>
      </c>
      <c r="X143" s="1">
        <v>600.23</v>
      </c>
      <c r="Y143" s="1">
        <v>1200</v>
      </c>
      <c r="Z143" s="1">
        <v>200943.2</v>
      </c>
      <c r="AA143" s="1">
        <v>24.32</v>
      </c>
      <c r="AB143" s="1">
        <v>4000</v>
      </c>
    </row>
    <row r="144" spans="1:28" x14ac:dyDescent="0.4">
      <c r="A144" s="1" t="s">
        <v>67</v>
      </c>
      <c r="B144" s="1">
        <v>4000</v>
      </c>
      <c r="C144" s="1">
        <v>0.2</v>
      </c>
      <c r="D144" s="1">
        <v>0.5</v>
      </c>
      <c r="E144" s="1">
        <v>1000</v>
      </c>
      <c r="F144" s="1">
        <v>2</v>
      </c>
      <c r="G144" s="1">
        <v>3</v>
      </c>
      <c r="H144" s="1" t="s">
        <v>583</v>
      </c>
      <c r="I144" s="1">
        <v>256640.4</v>
      </c>
      <c r="J144" s="1">
        <v>100148.3</v>
      </c>
      <c r="K144" s="1">
        <v>156492.1</v>
      </c>
      <c r="L144" s="1">
        <v>1200</v>
      </c>
      <c r="M144" s="1">
        <v>600.01</v>
      </c>
      <c r="N144" s="1">
        <v>63557.5</v>
      </c>
      <c r="O144" s="1">
        <v>95719.5</v>
      </c>
      <c r="P144" s="1">
        <v>159277</v>
      </c>
      <c r="Q144" s="1">
        <v>31413.599999999999</v>
      </c>
      <c r="R144" s="1">
        <v>6464.4</v>
      </c>
      <c r="S144" s="1">
        <v>37878</v>
      </c>
      <c r="T144" s="1">
        <v>23.18</v>
      </c>
      <c r="U144" s="1">
        <v>0.18</v>
      </c>
      <c r="V144" s="1">
        <v>6050.6</v>
      </c>
      <c r="W144" s="1">
        <v>37464.199999999997</v>
      </c>
      <c r="X144" s="1">
        <v>600.19000000000005</v>
      </c>
      <c r="Y144" s="1">
        <v>1200</v>
      </c>
      <c r="Z144" s="1">
        <v>196741.2</v>
      </c>
      <c r="AA144" s="1">
        <v>23.34</v>
      </c>
      <c r="AB144" s="1">
        <v>4000</v>
      </c>
    </row>
    <row r="145" spans="1:28" x14ac:dyDescent="0.4">
      <c r="A145" s="1" t="s">
        <v>68</v>
      </c>
      <c r="B145" s="1">
        <v>4000</v>
      </c>
      <c r="C145" s="1">
        <v>0.2</v>
      </c>
      <c r="D145" s="1">
        <v>0.5</v>
      </c>
      <c r="E145" s="1">
        <v>1000</v>
      </c>
      <c r="F145" s="1">
        <v>2</v>
      </c>
      <c r="G145" s="1">
        <v>4</v>
      </c>
      <c r="H145" s="1" t="s">
        <v>583</v>
      </c>
      <c r="I145" s="1">
        <v>266529.09999999998</v>
      </c>
      <c r="J145" s="1">
        <v>102759</v>
      </c>
      <c r="K145" s="1">
        <v>163770.1</v>
      </c>
      <c r="L145" s="1">
        <v>1200</v>
      </c>
      <c r="M145" s="1">
        <v>600.02</v>
      </c>
      <c r="N145" s="1">
        <v>65364.1</v>
      </c>
      <c r="O145" s="1">
        <v>101722.1</v>
      </c>
      <c r="P145" s="1">
        <v>167086.20000000001</v>
      </c>
      <c r="Q145" s="1">
        <v>31275.599999999999</v>
      </c>
      <c r="R145" s="1">
        <v>6081.7</v>
      </c>
      <c r="S145" s="1">
        <v>37357.300000000003</v>
      </c>
      <c r="T145" s="1">
        <v>23.29</v>
      </c>
      <c r="U145" s="1">
        <v>0.14000000000000001</v>
      </c>
      <c r="V145" s="1">
        <v>5697.1</v>
      </c>
      <c r="W145" s="1">
        <v>36972.699999999997</v>
      </c>
      <c r="X145" s="1">
        <v>600.16</v>
      </c>
      <c r="Y145" s="1">
        <v>1200</v>
      </c>
      <c r="Z145" s="1">
        <v>204058.9</v>
      </c>
      <c r="AA145" s="1">
        <v>23.44</v>
      </c>
      <c r="AB145" s="1">
        <v>4000</v>
      </c>
    </row>
    <row r="146" spans="1:28" x14ac:dyDescent="0.4">
      <c r="A146" s="1" t="s">
        <v>69</v>
      </c>
      <c r="B146" s="1">
        <v>4000</v>
      </c>
      <c r="C146" s="1">
        <v>0.2</v>
      </c>
      <c r="D146" s="1">
        <v>0.5</v>
      </c>
      <c r="E146" s="1">
        <v>1000</v>
      </c>
      <c r="F146" s="1">
        <v>2</v>
      </c>
      <c r="G146" s="1">
        <v>5</v>
      </c>
      <c r="H146" s="1" t="s">
        <v>583</v>
      </c>
      <c r="I146" s="1">
        <v>269546.8</v>
      </c>
      <c r="J146" s="1">
        <v>106410.2</v>
      </c>
      <c r="K146" s="1">
        <v>163136.6</v>
      </c>
      <c r="L146" s="1">
        <v>1200</v>
      </c>
      <c r="M146" s="1">
        <v>600</v>
      </c>
      <c r="N146" s="1">
        <v>66983</v>
      </c>
      <c r="O146" s="1">
        <v>102646.39999999999</v>
      </c>
      <c r="P146" s="1">
        <v>169629.4</v>
      </c>
      <c r="Q146" s="1">
        <v>30928.799999999999</v>
      </c>
      <c r="R146" s="1">
        <v>6637.4</v>
      </c>
      <c r="S146" s="1">
        <v>37566.199999999997</v>
      </c>
      <c r="T146" s="1">
        <v>23.13</v>
      </c>
      <c r="U146" s="1">
        <v>0.18</v>
      </c>
      <c r="V146" s="1">
        <v>6111.4</v>
      </c>
      <c r="W146" s="1">
        <v>37040.199999999997</v>
      </c>
      <c r="X146" s="1">
        <v>600.17999999999995</v>
      </c>
      <c r="Y146" s="1">
        <v>1200</v>
      </c>
      <c r="Z146" s="1">
        <v>206669.6</v>
      </c>
      <c r="AA146" s="1">
        <v>23.33</v>
      </c>
      <c r="AB146" s="1">
        <v>4000</v>
      </c>
    </row>
    <row r="147" spans="1:28" x14ac:dyDescent="0.4">
      <c r="A147" s="1" t="s">
        <v>70</v>
      </c>
      <c r="B147" s="1">
        <v>4000</v>
      </c>
      <c r="C147" s="1">
        <v>0.2</v>
      </c>
      <c r="D147" s="1">
        <v>0.5</v>
      </c>
      <c r="E147" s="1">
        <v>1000</v>
      </c>
      <c r="F147" s="1">
        <v>3</v>
      </c>
      <c r="G147" s="1">
        <v>1</v>
      </c>
      <c r="H147" s="1" t="s">
        <v>583</v>
      </c>
      <c r="I147" s="1">
        <v>351445</v>
      </c>
      <c r="J147" s="1">
        <v>133205</v>
      </c>
      <c r="K147" s="1">
        <v>218240</v>
      </c>
      <c r="L147" s="1">
        <v>1200</v>
      </c>
      <c r="M147" s="1">
        <v>600.01</v>
      </c>
      <c r="N147" s="1">
        <v>88834.4</v>
      </c>
      <c r="O147" s="1">
        <v>143324.6</v>
      </c>
      <c r="P147" s="1">
        <v>232159</v>
      </c>
      <c r="Q147" s="1">
        <v>30726.1</v>
      </c>
      <c r="R147" s="1">
        <v>6674.4</v>
      </c>
      <c r="S147" s="1">
        <v>37400.5</v>
      </c>
      <c r="T147" s="1">
        <v>23.3</v>
      </c>
      <c r="U147" s="1">
        <v>0.25</v>
      </c>
      <c r="V147" s="1">
        <v>5821.1</v>
      </c>
      <c r="W147" s="1">
        <v>36547.199999999997</v>
      </c>
      <c r="X147" s="1">
        <v>600.26</v>
      </c>
      <c r="Y147" s="1">
        <v>1200</v>
      </c>
      <c r="Z147" s="1">
        <v>268706.2</v>
      </c>
      <c r="AA147" s="1">
        <v>23.54</v>
      </c>
      <c r="AB147" s="1">
        <v>4000</v>
      </c>
    </row>
    <row r="148" spans="1:28" x14ac:dyDescent="0.4">
      <c r="A148" s="1" t="s">
        <v>71</v>
      </c>
      <c r="B148" s="1">
        <v>4000</v>
      </c>
      <c r="C148" s="1">
        <v>0.2</v>
      </c>
      <c r="D148" s="1">
        <v>0.5</v>
      </c>
      <c r="E148" s="1">
        <v>1000</v>
      </c>
      <c r="F148" s="1">
        <v>3</v>
      </c>
      <c r="G148" s="1">
        <v>2</v>
      </c>
      <c r="H148" s="1" t="s">
        <v>583</v>
      </c>
      <c r="I148" s="1">
        <v>356679.5</v>
      </c>
      <c r="J148" s="1">
        <v>140383.9</v>
      </c>
      <c r="K148" s="1">
        <v>216295.6</v>
      </c>
      <c r="L148" s="1">
        <v>1200</v>
      </c>
      <c r="M148" s="1">
        <v>600.02</v>
      </c>
      <c r="N148" s="1">
        <v>91021.4</v>
      </c>
      <c r="O148" s="1">
        <v>138000.4</v>
      </c>
      <c r="P148" s="1">
        <v>229021.8</v>
      </c>
      <c r="Q148" s="1">
        <v>31408.7</v>
      </c>
      <c r="R148" s="1">
        <v>7021.5</v>
      </c>
      <c r="S148" s="1">
        <v>38430.199999999997</v>
      </c>
      <c r="T148" s="1">
        <v>25.02</v>
      </c>
      <c r="U148" s="1">
        <v>0.25</v>
      </c>
      <c r="V148" s="1">
        <v>6337.9</v>
      </c>
      <c r="W148" s="1">
        <v>37746.6</v>
      </c>
      <c r="X148" s="1">
        <v>600.27</v>
      </c>
      <c r="Y148" s="1">
        <v>1200</v>
      </c>
      <c r="Z148" s="1">
        <v>266768.40000000002</v>
      </c>
      <c r="AA148" s="1">
        <v>25.21</v>
      </c>
      <c r="AB148" s="1">
        <v>4000</v>
      </c>
    </row>
    <row r="149" spans="1:28" x14ac:dyDescent="0.4">
      <c r="A149" s="1" t="s">
        <v>72</v>
      </c>
      <c r="B149" s="1">
        <v>4000</v>
      </c>
      <c r="C149" s="1">
        <v>0.2</v>
      </c>
      <c r="D149" s="1">
        <v>0.5</v>
      </c>
      <c r="E149" s="1">
        <v>1000</v>
      </c>
      <c r="F149" s="1">
        <v>3</v>
      </c>
      <c r="G149" s="1">
        <v>3</v>
      </c>
      <c r="H149" s="1" t="s">
        <v>583</v>
      </c>
      <c r="I149" s="1">
        <v>346020.1</v>
      </c>
      <c r="J149" s="1">
        <v>134050.5</v>
      </c>
      <c r="K149" s="1">
        <v>211969.6</v>
      </c>
      <c r="L149" s="1">
        <v>1200</v>
      </c>
      <c r="M149" s="1">
        <v>600.01</v>
      </c>
      <c r="N149" s="1">
        <v>87972.4</v>
      </c>
      <c r="O149" s="1">
        <v>135515.6</v>
      </c>
      <c r="P149" s="1">
        <v>223488</v>
      </c>
      <c r="Q149" s="1">
        <v>30654.400000000001</v>
      </c>
      <c r="R149" s="1">
        <v>6522.8</v>
      </c>
      <c r="S149" s="1">
        <v>37177.199999999997</v>
      </c>
      <c r="T149" s="1">
        <v>24.67</v>
      </c>
      <c r="U149" s="1">
        <v>0.26</v>
      </c>
      <c r="V149" s="1">
        <v>5880.6</v>
      </c>
      <c r="W149" s="1">
        <v>36535</v>
      </c>
      <c r="X149" s="1">
        <v>600.27</v>
      </c>
      <c r="Y149" s="1">
        <v>1200</v>
      </c>
      <c r="Z149" s="1">
        <v>260023</v>
      </c>
      <c r="AA149" s="1">
        <v>24.85</v>
      </c>
      <c r="AB149" s="1">
        <v>4000</v>
      </c>
    </row>
    <row r="150" spans="1:28" x14ac:dyDescent="0.4">
      <c r="A150" s="1" t="s">
        <v>73</v>
      </c>
      <c r="B150" s="1">
        <v>4000</v>
      </c>
      <c r="C150" s="1">
        <v>0.2</v>
      </c>
      <c r="D150" s="1">
        <v>0.5</v>
      </c>
      <c r="E150" s="1">
        <v>1000</v>
      </c>
      <c r="F150" s="1">
        <v>3</v>
      </c>
      <c r="G150" s="1">
        <v>4</v>
      </c>
      <c r="H150" s="1" t="s">
        <v>583</v>
      </c>
      <c r="I150" s="1">
        <v>357913.8</v>
      </c>
      <c r="J150" s="1">
        <v>140722</v>
      </c>
      <c r="K150" s="1">
        <v>217191.8</v>
      </c>
      <c r="L150" s="1">
        <v>1200</v>
      </c>
      <c r="M150" s="1">
        <v>600</v>
      </c>
      <c r="N150" s="1">
        <v>92176.2</v>
      </c>
      <c r="O150" s="1">
        <v>141623.9</v>
      </c>
      <c r="P150" s="1">
        <v>233800.1</v>
      </c>
      <c r="Q150" s="1">
        <v>30669.9</v>
      </c>
      <c r="R150" s="1">
        <v>6600.3</v>
      </c>
      <c r="S150" s="1">
        <v>37270.199999999997</v>
      </c>
      <c r="T150" s="1">
        <v>24.26</v>
      </c>
      <c r="U150" s="1">
        <v>0.25</v>
      </c>
      <c r="V150" s="1">
        <v>6104.9</v>
      </c>
      <c r="W150" s="1">
        <v>36774.800000000003</v>
      </c>
      <c r="X150" s="1">
        <v>600.25</v>
      </c>
      <c r="Y150" s="1">
        <v>1200</v>
      </c>
      <c r="Z150" s="1">
        <v>270574.90000000002</v>
      </c>
      <c r="AA150" s="1">
        <v>24.4</v>
      </c>
      <c r="AB150" s="1">
        <v>4000</v>
      </c>
    </row>
    <row r="151" spans="1:28" x14ac:dyDescent="0.4">
      <c r="A151" s="1" t="s">
        <v>74</v>
      </c>
      <c r="B151" s="1">
        <v>4000</v>
      </c>
      <c r="C151" s="1">
        <v>0.2</v>
      </c>
      <c r="D151" s="1">
        <v>0.5</v>
      </c>
      <c r="E151" s="1">
        <v>1000</v>
      </c>
      <c r="F151" s="1">
        <v>3</v>
      </c>
      <c r="G151" s="1">
        <v>5</v>
      </c>
      <c r="H151" s="1" t="s">
        <v>583</v>
      </c>
      <c r="I151" s="1">
        <v>358543.9</v>
      </c>
      <c r="J151" s="1">
        <v>136947.6</v>
      </c>
      <c r="K151" s="1">
        <v>221596.3</v>
      </c>
      <c r="L151" s="1">
        <v>1200</v>
      </c>
      <c r="M151" s="1">
        <v>600.01</v>
      </c>
      <c r="N151" s="1">
        <v>90479.7</v>
      </c>
      <c r="O151" s="1">
        <v>144706.1</v>
      </c>
      <c r="P151" s="1">
        <v>235185.8</v>
      </c>
      <c r="Q151" s="1">
        <v>30592.3</v>
      </c>
      <c r="R151" s="1">
        <v>6587.1</v>
      </c>
      <c r="S151" s="1">
        <v>37179.4</v>
      </c>
      <c r="T151" s="1">
        <v>24.04</v>
      </c>
      <c r="U151" s="1">
        <v>0.19</v>
      </c>
      <c r="V151" s="1">
        <v>6075.8</v>
      </c>
      <c r="W151" s="1">
        <v>36668.1</v>
      </c>
      <c r="X151" s="1">
        <v>600.19000000000005</v>
      </c>
      <c r="Y151" s="1">
        <v>1200</v>
      </c>
      <c r="Z151" s="1">
        <v>271853.90000000002</v>
      </c>
      <c r="AA151" s="1">
        <v>24.18</v>
      </c>
      <c r="AB151" s="1">
        <v>4000</v>
      </c>
    </row>
    <row r="152" spans="1:28" x14ac:dyDescent="0.4">
      <c r="A152" s="1" t="s">
        <v>377</v>
      </c>
      <c r="B152" s="1">
        <v>4000</v>
      </c>
      <c r="C152" s="1">
        <v>0.2</v>
      </c>
      <c r="D152" s="1">
        <v>0.5</v>
      </c>
      <c r="E152" s="1">
        <v>2000</v>
      </c>
      <c r="F152" s="1">
        <v>1</v>
      </c>
      <c r="G152" s="1">
        <v>1</v>
      </c>
      <c r="H152" s="1" t="s">
        <v>583</v>
      </c>
      <c r="I152" s="1">
        <v>342496.1</v>
      </c>
      <c r="J152" s="1">
        <v>140132.4</v>
      </c>
      <c r="K152" s="1">
        <v>202363.7</v>
      </c>
      <c r="L152" s="1">
        <v>1200</v>
      </c>
      <c r="M152" s="1">
        <v>600.01</v>
      </c>
      <c r="N152" s="1">
        <v>89550.2</v>
      </c>
      <c r="O152" s="1">
        <v>131227.5</v>
      </c>
      <c r="P152" s="1">
        <v>220777.7</v>
      </c>
      <c r="Q152" s="1">
        <v>34554.1</v>
      </c>
      <c r="R152" s="1">
        <v>7858.6</v>
      </c>
      <c r="S152" s="1">
        <v>42412.7</v>
      </c>
      <c r="T152" s="1">
        <v>23.16</v>
      </c>
      <c r="U152" s="1">
        <v>0.12</v>
      </c>
      <c r="V152" s="1">
        <v>7614.4</v>
      </c>
      <c r="W152" s="1">
        <v>42168.5</v>
      </c>
      <c r="X152" s="1">
        <v>600.13</v>
      </c>
      <c r="Y152" s="1">
        <v>1200</v>
      </c>
      <c r="Z152" s="1">
        <v>262946.2</v>
      </c>
      <c r="AA152" s="1">
        <v>23.23</v>
      </c>
      <c r="AB152" s="1">
        <v>4000</v>
      </c>
    </row>
    <row r="153" spans="1:28" x14ac:dyDescent="0.4">
      <c r="A153" s="1" t="s">
        <v>378</v>
      </c>
      <c r="B153" s="1">
        <v>4000</v>
      </c>
      <c r="C153" s="1">
        <v>0.2</v>
      </c>
      <c r="D153" s="1">
        <v>0.5</v>
      </c>
      <c r="E153" s="1">
        <v>2000</v>
      </c>
      <c r="F153" s="1">
        <v>1</v>
      </c>
      <c r="G153" s="1">
        <v>2</v>
      </c>
      <c r="H153" s="1" t="s">
        <v>583</v>
      </c>
      <c r="I153" s="1">
        <v>340872.4</v>
      </c>
      <c r="J153" s="1">
        <v>134753.1</v>
      </c>
      <c r="K153" s="1">
        <v>206119.3</v>
      </c>
      <c r="L153" s="1">
        <v>1200</v>
      </c>
      <c r="M153" s="1">
        <v>600.01</v>
      </c>
      <c r="N153" s="1">
        <v>88547.8</v>
      </c>
      <c r="O153" s="1">
        <v>133309.79999999999</v>
      </c>
      <c r="P153" s="1">
        <v>221857.6</v>
      </c>
      <c r="Q153" s="1">
        <v>33912.800000000003</v>
      </c>
      <c r="R153" s="1">
        <v>7919.9</v>
      </c>
      <c r="S153" s="1">
        <v>41832.699999999997</v>
      </c>
      <c r="T153" s="1">
        <v>22.64</v>
      </c>
      <c r="U153" s="1">
        <v>0.13</v>
      </c>
      <c r="V153" s="1">
        <v>7732.2</v>
      </c>
      <c r="W153" s="1">
        <v>41645</v>
      </c>
      <c r="X153" s="1">
        <v>600.14</v>
      </c>
      <c r="Y153" s="1">
        <v>1200</v>
      </c>
      <c r="Z153" s="1">
        <v>263502.59999999998</v>
      </c>
      <c r="AA153" s="1">
        <v>22.7</v>
      </c>
      <c r="AB153" s="1">
        <v>4000</v>
      </c>
    </row>
    <row r="154" spans="1:28" x14ac:dyDescent="0.4">
      <c r="A154" s="1" t="s">
        <v>379</v>
      </c>
      <c r="B154" s="1">
        <v>4000</v>
      </c>
      <c r="C154" s="1">
        <v>0.2</v>
      </c>
      <c r="D154" s="1">
        <v>0.5</v>
      </c>
      <c r="E154" s="1">
        <v>2000</v>
      </c>
      <c r="F154" s="1">
        <v>1</v>
      </c>
      <c r="G154" s="1">
        <v>3</v>
      </c>
      <c r="H154" s="1" t="s">
        <v>583</v>
      </c>
      <c r="I154" s="1">
        <v>348317.4</v>
      </c>
      <c r="J154" s="1">
        <v>138158.9</v>
      </c>
      <c r="K154" s="1">
        <v>210158.5</v>
      </c>
      <c r="L154" s="1">
        <v>1200</v>
      </c>
      <c r="M154" s="1">
        <v>600.04</v>
      </c>
      <c r="N154" s="1">
        <v>91764.6</v>
      </c>
      <c r="O154" s="1">
        <v>136712.4</v>
      </c>
      <c r="P154" s="1">
        <v>228477</v>
      </c>
      <c r="Q154" s="1">
        <v>34258</v>
      </c>
      <c r="R154" s="1">
        <v>8059.3</v>
      </c>
      <c r="S154" s="1">
        <v>42317.3</v>
      </c>
      <c r="T154" s="1">
        <v>22.26</v>
      </c>
      <c r="U154" s="1">
        <v>0.13</v>
      </c>
      <c r="V154" s="1">
        <v>7774.8</v>
      </c>
      <c r="W154" s="1">
        <v>42032.800000000003</v>
      </c>
      <c r="X154" s="1">
        <v>600.16999999999996</v>
      </c>
      <c r="Y154" s="1">
        <v>1200</v>
      </c>
      <c r="Z154" s="1">
        <v>270509.8</v>
      </c>
      <c r="AA154" s="1">
        <v>22.34</v>
      </c>
      <c r="AB154" s="1">
        <v>4000</v>
      </c>
    </row>
    <row r="155" spans="1:28" x14ac:dyDescent="0.4">
      <c r="A155" s="1" t="s">
        <v>380</v>
      </c>
      <c r="B155" s="1">
        <v>4000</v>
      </c>
      <c r="C155" s="1">
        <v>0.2</v>
      </c>
      <c r="D155" s="1">
        <v>0.5</v>
      </c>
      <c r="E155" s="1">
        <v>2000</v>
      </c>
      <c r="F155" s="1">
        <v>1</v>
      </c>
      <c r="G155" s="1">
        <v>4</v>
      </c>
      <c r="H155" s="1" t="s">
        <v>583</v>
      </c>
      <c r="I155" s="1">
        <v>346752.7</v>
      </c>
      <c r="J155" s="1">
        <v>138591.1</v>
      </c>
      <c r="K155" s="1">
        <v>208161.6</v>
      </c>
      <c r="L155" s="1">
        <v>1200</v>
      </c>
      <c r="M155" s="1">
        <v>600.02</v>
      </c>
      <c r="N155" s="1">
        <v>90568.9</v>
      </c>
      <c r="O155" s="1">
        <v>134868.70000000001</v>
      </c>
      <c r="P155" s="1">
        <v>225437.6</v>
      </c>
      <c r="Q155" s="1">
        <v>34199.1</v>
      </c>
      <c r="R155" s="1">
        <v>8239.2999999999993</v>
      </c>
      <c r="S155" s="1">
        <v>42438.400000000001</v>
      </c>
      <c r="T155" s="1">
        <v>22.75</v>
      </c>
      <c r="U155" s="1">
        <v>0.16</v>
      </c>
      <c r="V155" s="1">
        <v>7983</v>
      </c>
      <c r="W155" s="1">
        <v>42182.1</v>
      </c>
      <c r="X155" s="1">
        <v>600.17999999999995</v>
      </c>
      <c r="Y155" s="1">
        <v>1200</v>
      </c>
      <c r="Z155" s="1">
        <v>267619.7</v>
      </c>
      <c r="AA155" s="1">
        <v>22.82</v>
      </c>
      <c r="AB155" s="1">
        <v>4000</v>
      </c>
    </row>
    <row r="156" spans="1:28" x14ac:dyDescent="0.4">
      <c r="A156" s="1" t="s">
        <v>381</v>
      </c>
      <c r="B156" s="1">
        <v>4000</v>
      </c>
      <c r="C156" s="1">
        <v>0.2</v>
      </c>
      <c r="D156" s="1">
        <v>0.5</v>
      </c>
      <c r="E156" s="1">
        <v>2000</v>
      </c>
      <c r="F156" s="1">
        <v>1</v>
      </c>
      <c r="G156" s="1">
        <v>5</v>
      </c>
      <c r="H156" s="1" t="s">
        <v>583</v>
      </c>
      <c r="I156" s="1">
        <v>348631.2</v>
      </c>
      <c r="J156" s="1">
        <v>144856.70000000001</v>
      </c>
      <c r="K156" s="1">
        <v>203774.5</v>
      </c>
      <c r="L156" s="1">
        <v>1200</v>
      </c>
      <c r="M156" s="1">
        <v>600.02</v>
      </c>
      <c r="N156" s="1">
        <v>95143.1</v>
      </c>
      <c r="O156" s="1">
        <v>132290.5</v>
      </c>
      <c r="P156" s="1">
        <v>227433.60000000001</v>
      </c>
      <c r="Q156" s="1">
        <v>33636.5</v>
      </c>
      <c r="R156" s="1">
        <v>8020.4</v>
      </c>
      <c r="S156" s="1">
        <v>41656.9</v>
      </c>
      <c r="T156" s="1">
        <v>22.82</v>
      </c>
      <c r="U156" s="1">
        <v>0.14000000000000001</v>
      </c>
      <c r="V156" s="1">
        <v>7789.3</v>
      </c>
      <c r="W156" s="1">
        <v>41425.800000000003</v>
      </c>
      <c r="X156" s="1">
        <v>600.15</v>
      </c>
      <c r="Y156" s="1">
        <v>1200</v>
      </c>
      <c r="Z156" s="1">
        <v>268859.40000000002</v>
      </c>
      <c r="AA156" s="1">
        <v>22.88</v>
      </c>
      <c r="AB156" s="1">
        <v>4000</v>
      </c>
    </row>
    <row r="157" spans="1:28" x14ac:dyDescent="0.4">
      <c r="A157" s="1" t="s">
        <v>382</v>
      </c>
      <c r="B157" s="1">
        <v>4000</v>
      </c>
      <c r="C157" s="1">
        <v>0.2</v>
      </c>
      <c r="D157" s="1">
        <v>0.5</v>
      </c>
      <c r="E157" s="1">
        <v>2000</v>
      </c>
      <c r="F157" s="1">
        <v>2</v>
      </c>
      <c r="G157" s="1">
        <v>1</v>
      </c>
      <c r="H157" s="1" t="s">
        <v>583</v>
      </c>
      <c r="I157" s="1">
        <v>526871.69999999995</v>
      </c>
      <c r="J157" s="1">
        <v>203138.9</v>
      </c>
      <c r="K157" s="1">
        <v>323732.8</v>
      </c>
      <c r="L157" s="1">
        <v>1200</v>
      </c>
      <c r="M157" s="1">
        <v>600.02</v>
      </c>
      <c r="N157" s="1">
        <v>140945.4</v>
      </c>
      <c r="O157" s="1">
        <v>216321.9</v>
      </c>
      <c r="P157" s="1">
        <v>357267.3</v>
      </c>
      <c r="Q157" s="1">
        <v>32385.9</v>
      </c>
      <c r="R157" s="1">
        <v>8139.1</v>
      </c>
      <c r="S157" s="1">
        <v>40525</v>
      </c>
      <c r="T157" s="1">
        <v>24.5</v>
      </c>
      <c r="U157" s="1">
        <v>0.22</v>
      </c>
      <c r="V157" s="1">
        <v>7505</v>
      </c>
      <c r="W157" s="1">
        <v>39890.9</v>
      </c>
      <c r="X157" s="1">
        <v>600.23</v>
      </c>
      <c r="Y157" s="1">
        <v>1200</v>
      </c>
      <c r="Z157" s="1">
        <v>397158.2</v>
      </c>
      <c r="AA157" s="1">
        <v>24.62</v>
      </c>
      <c r="AB157" s="1">
        <v>4000</v>
      </c>
    </row>
    <row r="158" spans="1:28" x14ac:dyDescent="0.4">
      <c r="A158" s="1" t="s">
        <v>383</v>
      </c>
      <c r="B158" s="1">
        <v>4000</v>
      </c>
      <c r="C158" s="1">
        <v>0.2</v>
      </c>
      <c r="D158" s="1">
        <v>0.5</v>
      </c>
      <c r="E158" s="1">
        <v>2000</v>
      </c>
      <c r="F158" s="1">
        <v>2</v>
      </c>
      <c r="G158" s="1">
        <v>2</v>
      </c>
      <c r="H158" s="1" t="s">
        <v>583</v>
      </c>
      <c r="I158" s="1">
        <v>538181.4</v>
      </c>
      <c r="J158" s="1">
        <v>206412.2</v>
      </c>
      <c r="K158" s="1">
        <v>331769.2</v>
      </c>
      <c r="L158" s="1">
        <v>1200</v>
      </c>
      <c r="M158" s="1">
        <v>600.01</v>
      </c>
      <c r="N158" s="1">
        <v>141030.6</v>
      </c>
      <c r="O158" s="1">
        <v>224134</v>
      </c>
      <c r="P158" s="1">
        <v>365164.6</v>
      </c>
      <c r="Q158" s="1">
        <v>32535.5</v>
      </c>
      <c r="R158" s="1">
        <v>8225.7999999999993</v>
      </c>
      <c r="S158" s="1">
        <v>40761.300000000003</v>
      </c>
      <c r="T158" s="1">
        <v>24.57</v>
      </c>
      <c r="U158" s="1">
        <v>0.23</v>
      </c>
      <c r="V158" s="1">
        <v>7350.7</v>
      </c>
      <c r="W158" s="1">
        <v>39886.199999999997</v>
      </c>
      <c r="X158" s="1">
        <v>600.24</v>
      </c>
      <c r="Y158" s="1">
        <v>1200</v>
      </c>
      <c r="Z158" s="1">
        <v>405050.8</v>
      </c>
      <c r="AA158" s="1">
        <v>24.74</v>
      </c>
      <c r="AB158" s="1">
        <v>4000</v>
      </c>
    </row>
    <row r="159" spans="1:28" x14ac:dyDescent="0.4">
      <c r="A159" s="1" t="s">
        <v>384</v>
      </c>
      <c r="B159" s="1">
        <v>4000</v>
      </c>
      <c r="C159" s="1">
        <v>0.2</v>
      </c>
      <c r="D159" s="1">
        <v>0.5</v>
      </c>
      <c r="E159" s="1">
        <v>2000</v>
      </c>
      <c r="F159" s="1">
        <v>2</v>
      </c>
      <c r="G159" s="1">
        <v>3</v>
      </c>
      <c r="H159" s="1" t="s">
        <v>583</v>
      </c>
      <c r="I159" s="1">
        <v>560311.9</v>
      </c>
      <c r="J159" s="1">
        <v>215357.5</v>
      </c>
      <c r="K159" s="1">
        <v>344954.4</v>
      </c>
      <c r="L159" s="1">
        <v>1200</v>
      </c>
      <c r="M159" s="1">
        <v>600.03</v>
      </c>
      <c r="N159" s="1">
        <v>148757</v>
      </c>
      <c r="O159" s="1">
        <v>235053.7</v>
      </c>
      <c r="P159" s="1">
        <v>383810.7</v>
      </c>
      <c r="Q159" s="1">
        <v>31919.5</v>
      </c>
      <c r="R159" s="1">
        <v>7893.7</v>
      </c>
      <c r="S159" s="1">
        <v>39813.199999999997</v>
      </c>
      <c r="T159" s="1">
        <v>24.39</v>
      </c>
      <c r="U159" s="1">
        <v>0.23</v>
      </c>
      <c r="V159" s="1">
        <v>7425.4</v>
      </c>
      <c r="W159" s="1">
        <v>39344.9</v>
      </c>
      <c r="X159" s="1">
        <v>600.26</v>
      </c>
      <c r="Y159" s="1">
        <v>1200</v>
      </c>
      <c r="Z159" s="1">
        <v>423155.6</v>
      </c>
      <c r="AA159" s="1">
        <v>24.48</v>
      </c>
      <c r="AB159" s="1">
        <v>4000</v>
      </c>
    </row>
    <row r="160" spans="1:28" x14ac:dyDescent="0.4">
      <c r="A160" s="1" t="s">
        <v>385</v>
      </c>
      <c r="B160" s="1">
        <v>4000</v>
      </c>
      <c r="C160" s="1">
        <v>0.2</v>
      </c>
      <c r="D160" s="1">
        <v>0.5</v>
      </c>
      <c r="E160" s="1">
        <v>2000</v>
      </c>
      <c r="F160" s="1">
        <v>2</v>
      </c>
      <c r="G160" s="1">
        <v>4</v>
      </c>
      <c r="H160" s="1" t="s">
        <v>583</v>
      </c>
      <c r="I160" s="1">
        <v>538133</v>
      </c>
      <c r="J160" s="1">
        <v>202847.3</v>
      </c>
      <c r="K160" s="1">
        <v>335285.7</v>
      </c>
      <c r="L160" s="1">
        <v>1200</v>
      </c>
      <c r="M160" s="1">
        <v>600.02</v>
      </c>
      <c r="N160" s="1">
        <v>139361.79999999999</v>
      </c>
      <c r="O160" s="1">
        <v>224646.6</v>
      </c>
      <c r="P160" s="1">
        <v>364008.4</v>
      </c>
      <c r="Q160" s="1">
        <v>32443.7</v>
      </c>
      <c r="R160" s="1">
        <v>7994.6</v>
      </c>
      <c r="S160" s="1">
        <v>40438.300000000003</v>
      </c>
      <c r="T160" s="1">
        <v>24.84</v>
      </c>
      <c r="U160" s="1">
        <v>0.2</v>
      </c>
      <c r="V160" s="1">
        <v>7592.7</v>
      </c>
      <c r="W160" s="1">
        <v>40036.400000000001</v>
      </c>
      <c r="X160" s="1">
        <v>600.22</v>
      </c>
      <c r="Y160" s="1">
        <v>1200</v>
      </c>
      <c r="Z160" s="1">
        <v>404044.79999999999</v>
      </c>
      <c r="AA160" s="1">
        <v>24.92</v>
      </c>
      <c r="AB160" s="1">
        <v>4000</v>
      </c>
    </row>
    <row r="161" spans="1:28" x14ac:dyDescent="0.4">
      <c r="A161" s="1" t="s">
        <v>386</v>
      </c>
      <c r="B161" s="1">
        <v>4000</v>
      </c>
      <c r="C161" s="1">
        <v>0.2</v>
      </c>
      <c r="D161" s="1">
        <v>0.5</v>
      </c>
      <c r="E161" s="1">
        <v>2000</v>
      </c>
      <c r="F161" s="1">
        <v>2</v>
      </c>
      <c r="G161" s="1">
        <v>5</v>
      </c>
      <c r="H161" s="1" t="s">
        <v>583</v>
      </c>
      <c r="I161" s="1">
        <v>529127.69999999995</v>
      </c>
      <c r="J161" s="1">
        <v>200945.6</v>
      </c>
      <c r="K161" s="1">
        <v>328182.09999999998</v>
      </c>
      <c r="L161" s="1">
        <v>1200</v>
      </c>
      <c r="M161" s="1">
        <v>600.01</v>
      </c>
      <c r="N161" s="1">
        <v>137697.29999999999</v>
      </c>
      <c r="O161" s="1">
        <v>220762.6</v>
      </c>
      <c r="P161" s="1">
        <v>358459.9</v>
      </c>
      <c r="Q161" s="1">
        <v>32348.1</v>
      </c>
      <c r="R161" s="1">
        <v>7251.1</v>
      </c>
      <c r="S161" s="1">
        <v>39599.199999999997</v>
      </c>
      <c r="T161" s="1">
        <v>24.77</v>
      </c>
      <c r="U161" s="1">
        <v>0.2</v>
      </c>
      <c r="V161" s="1">
        <v>6745.7</v>
      </c>
      <c r="W161" s="1">
        <v>39093.800000000003</v>
      </c>
      <c r="X161" s="1">
        <v>600.21</v>
      </c>
      <c r="Y161" s="1">
        <v>1200</v>
      </c>
      <c r="Z161" s="1">
        <v>397553.7</v>
      </c>
      <c r="AA161" s="1">
        <v>24.87</v>
      </c>
      <c r="AB161" s="1">
        <v>4000</v>
      </c>
    </row>
    <row r="162" spans="1:28" x14ac:dyDescent="0.4">
      <c r="A162" s="1" t="s">
        <v>387</v>
      </c>
      <c r="B162" s="1">
        <v>4000</v>
      </c>
      <c r="C162" s="1">
        <v>0.2</v>
      </c>
      <c r="D162" s="1">
        <v>0.5</v>
      </c>
      <c r="E162" s="1">
        <v>2000</v>
      </c>
      <c r="F162" s="1">
        <v>3</v>
      </c>
      <c r="G162" s="1">
        <v>1</v>
      </c>
      <c r="H162" s="1" t="s">
        <v>583</v>
      </c>
      <c r="I162" s="1">
        <v>683234.6</v>
      </c>
      <c r="J162" s="1">
        <v>257568.3</v>
      </c>
      <c r="K162" s="1">
        <v>425666.3</v>
      </c>
      <c r="L162" s="1">
        <v>1200</v>
      </c>
      <c r="M162" s="1">
        <v>600.02</v>
      </c>
      <c r="N162" s="1">
        <v>180597.4</v>
      </c>
      <c r="O162" s="1">
        <v>294857.09999999998</v>
      </c>
      <c r="P162" s="1">
        <v>475454.5</v>
      </c>
      <c r="Q162" s="1">
        <v>31700.6</v>
      </c>
      <c r="R162" s="1">
        <v>7801.2</v>
      </c>
      <c r="S162" s="1">
        <v>39501.800000000003</v>
      </c>
      <c r="T162" s="1">
        <v>24.63</v>
      </c>
      <c r="U162" s="1">
        <v>0.24</v>
      </c>
      <c r="V162" s="1">
        <v>7152.3</v>
      </c>
      <c r="W162" s="1">
        <v>38852.9</v>
      </c>
      <c r="X162" s="1">
        <v>600.25</v>
      </c>
      <c r="Y162" s="1">
        <v>1200</v>
      </c>
      <c r="Z162" s="1">
        <v>514307.4</v>
      </c>
      <c r="AA162" s="1">
        <v>24.72</v>
      </c>
      <c r="AB162" s="1">
        <v>4000</v>
      </c>
    </row>
    <row r="163" spans="1:28" x14ac:dyDescent="0.4">
      <c r="A163" s="1" t="s">
        <v>388</v>
      </c>
      <c r="B163" s="1">
        <v>4000</v>
      </c>
      <c r="C163" s="1">
        <v>0.2</v>
      </c>
      <c r="D163" s="1">
        <v>0.5</v>
      </c>
      <c r="E163" s="1">
        <v>2000</v>
      </c>
      <c r="F163" s="1">
        <v>3</v>
      </c>
      <c r="G163" s="1">
        <v>2</v>
      </c>
      <c r="H163" s="1" t="s">
        <v>583</v>
      </c>
      <c r="I163" s="1">
        <v>688321.6</v>
      </c>
      <c r="J163" s="1">
        <v>265318</v>
      </c>
      <c r="K163" s="1">
        <v>423003.6</v>
      </c>
      <c r="L163" s="1">
        <v>1200</v>
      </c>
      <c r="M163" s="1">
        <v>600.04</v>
      </c>
      <c r="N163" s="1">
        <v>185027.1</v>
      </c>
      <c r="O163" s="1">
        <v>293351.7</v>
      </c>
      <c r="P163" s="1">
        <v>478378.8</v>
      </c>
      <c r="Q163" s="1">
        <v>31789.4</v>
      </c>
      <c r="R163" s="1">
        <v>7847.1</v>
      </c>
      <c r="S163" s="1">
        <v>39636.5</v>
      </c>
      <c r="T163" s="1">
        <v>24.74</v>
      </c>
      <c r="U163" s="1">
        <v>0.25</v>
      </c>
      <c r="V163" s="1">
        <v>7074.9</v>
      </c>
      <c r="W163" s="1">
        <v>38864.300000000003</v>
      </c>
      <c r="X163" s="1">
        <v>600.29</v>
      </c>
      <c r="Y163" s="1">
        <v>1200</v>
      </c>
      <c r="Z163" s="1">
        <v>517243.1</v>
      </c>
      <c r="AA163" s="1">
        <v>24.85</v>
      </c>
      <c r="AB163" s="1">
        <v>4000</v>
      </c>
    </row>
    <row r="164" spans="1:28" x14ac:dyDescent="0.4">
      <c r="A164" s="1" t="s">
        <v>389</v>
      </c>
      <c r="B164" s="1">
        <v>4000</v>
      </c>
      <c r="C164" s="1">
        <v>0.2</v>
      </c>
      <c r="D164" s="1">
        <v>0.5</v>
      </c>
      <c r="E164" s="1">
        <v>2000</v>
      </c>
      <c r="F164" s="1">
        <v>3</v>
      </c>
      <c r="G164" s="1">
        <v>3</v>
      </c>
      <c r="H164" s="1" t="s">
        <v>583</v>
      </c>
      <c r="I164" s="1">
        <v>720187.7</v>
      </c>
      <c r="J164" s="1">
        <v>279158.7</v>
      </c>
      <c r="K164" s="1">
        <v>441029</v>
      </c>
      <c r="L164" s="1">
        <v>1200</v>
      </c>
      <c r="M164" s="1">
        <v>600.04</v>
      </c>
      <c r="N164" s="1">
        <v>196280.7</v>
      </c>
      <c r="O164" s="1">
        <v>309770.2</v>
      </c>
      <c r="P164" s="1">
        <v>506050.9</v>
      </c>
      <c r="Q164" s="1">
        <v>31638</v>
      </c>
      <c r="R164" s="1">
        <v>7823.1</v>
      </c>
      <c r="S164" s="1">
        <v>39461.1</v>
      </c>
      <c r="T164" s="1">
        <v>24.25</v>
      </c>
      <c r="U164" s="1">
        <v>0.27</v>
      </c>
      <c r="V164" s="1">
        <v>7065.2</v>
      </c>
      <c r="W164" s="1">
        <v>38703.199999999997</v>
      </c>
      <c r="X164" s="1">
        <v>600.30999999999995</v>
      </c>
      <c r="Y164" s="1">
        <v>1200</v>
      </c>
      <c r="Z164" s="1">
        <v>544754.1</v>
      </c>
      <c r="AA164" s="1">
        <v>24.36</v>
      </c>
      <c r="AB164" s="1">
        <v>4000</v>
      </c>
    </row>
    <row r="165" spans="1:28" x14ac:dyDescent="0.4">
      <c r="A165" s="1" t="s">
        <v>390</v>
      </c>
      <c r="B165" s="1">
        <v>4000</v>
      </c>
      <c r="C165" s="1">
        <v>0.2</v>
      </c>
      <c r="D165" s="1">
        <v>0.5</v>
      </c>
      <c r="E165" s="1">
        <v>2000</v>
      </c>
      <c r="F165" s="1">
        <v>3</v>
      </c>
      <c r="G165" s="1">
        <v>4</v>
      </c>
      <c r="H165" s="1" t="s">
        <v>583</v>
      </c>
      <c r="I165" s="1">
        <v>704298.5</v>
      </c>
      <c r="J165" s="1">
        <v>263203.3</v>
      </c>
      <c r="K165" s="1">
        <v>441095.2</v>
      </c>
      <c r="L165" s="1">
        <v>1200</v>
      </c>
      <c r="M165" s="1">
        <v>600.04</v>
      </c>
      <c r="N165" s="1">
        <v>186529.5</v>
      </c>
      <c r="O165" s="1">
        <v>306025.09999999998</v>
      </c>
      <c r="P165" s="1">
        <v>492554.6</v>
      </c>
      <c r="Q165" s="1">
        <v>31450.400000000001</v>
      </c>
      <c r="R165" s="1">
        <v>7661</v>
      </c>
      <c r="S165" s="1">
        <v>39111.4</v>
      </c>
      <c r="T165" s="1">
        <v>24.51</v>
      </c>
      <c r="U165" s="1">
        <v>0.32</v>
      </c>
      <c r="V165" s="1">
        <v>6795.6</v>
      </c>
      <c r="W165" s="1">
        <v>38246</v>
      </c>
      <c r="X165" s="1">
        <v>600.36</v>
      </c>
      <c r="Y165" s="1">
        <v>1200</v>
      </c>
      <c r="Z165" s="1">
        <v>530800.6</v>
      </c>
      <c r="AA165" s="1">
        <v>24.63</v>
      </c>
      <c r="AB165" s="1">
        <v>4000</v>
      </c>
    </row>
    <row r="166" spans="1:28" x14ac:dyDescent="0.4">
      <c r="A166" s="1" t="s">
        <v>391</v>
      </c>
      <c r="B166" s="1">
        <v>4000</v>
      </c>
      <c r="C166" s="1">
        <v>0.2</v>
      </c>
      <c r="D166" s="1">
        <v>0.5</v>
      </c>
      <c r="E166" s="1">
        <v>2000</v>
      </c>
      <c r="F166" s="1">
        <v>3</v>
      </c>
      <c r="G166" s="1">
        <v>5</v>
      </c>
      <c r="H166" s="1" t="s">
        <v>583</v>
      </c>
      <c r="I166" s="1">
        <v>698389.6</v>
      </c>
      <c r="J166" s="1">
        <v>267524.5</v>
      </c>
      <c r="K166" s="1">
        <v>430865.1</v>
      </c>
      <c r="L166" s="1">
        <v>1200</v>
      </c>
      <c r="M166" s="1">
        <v>600.03</v>
      </c>
      <c r="N166" s="1">
        <v>187051.1</v>
      </c>
      <c r="O166" s="1">
        <v>297104.40000000002</v>
      </c>
      <c r="P166" s="1">
        <v>484155.5</v>
      </c>
      <c r="Q166" s="1">
        <v>32412.7</v>
      </c>
      <c r="R166" s="1">
        <v>8071.5</v>
      </c>
      <c r="S166" s="1">
        <v>40484.199999999997</v>
      </c>
      <c r="T166" s="1">
        <v>24.88</v>
      </c>
      <c r="U166" s="1">
        <v>0.21</v>
      </c>
      <c r="V166" s="1">
        <v>7126.6</v>
      </c>
      <c r="W166" s="1">
        <v>39539.300000000003</v>
      </c>
      <c r="X166" s="1">
        <v>600.24</v>
      </c>
      <c r="Y166" s="1">
        <v>1200</v>
      </c>
      <c r="Z166" s="1">
        <v>523694.8</v>
      </c>
      <c r="AA166" s="1">
        <v>25.01</v>
      </c>
      <c r="AB166" s="1">
        <v>4000</v>
      </c>
    </row>
    <row r="167" spans="1:28" x14ac:dyDescent="0.4">
      <c r="A167" s="1" t="s">
        <v>392</v>
      </c>
      <c r="B167" s="1">
        <v>4000</v>
      </c>
      <c r="C167" s="1">
        <v>0.2</v>
      </c>
      <c r="D167" s="1">
        <v>0.5</v>
      </c>
      <c r="E167" s="1">
        <v>500</v>
      </c>
      <c r="F167" s="1">
        <v>1</v>
      </c>
      <c r="G167" s="1">
        <v>1</v>
      </c>
      <c r="H167" s="1" t="s">
        <v>583</v>
      </c>
      <c r="I167" s="1">
        <v>91390.7</v>
      </c>
      <c r="J167" s="1">
        <v>36834.5</v>
      </c>
      <c r="K167" s="1">
        <v>54556.2</v>
      </c>
      <c r="L167" s="1">
        <v>1200</v>
      </c>
      <c r="M167" s="1">
        <v>600</v>
      </c>
      <c r="N167" s="1">
        <v>18396.900000000001</v>
      </c>
      <c r="O167" s="1">
        <v>29050.1</v>
      </c>
      <c r="P167" s="1">
        <v>47447</v>
      </c>
      <c r="Q167" s="1">
        <v>28419.4</v>
      </c>
      <c r="R167" s="1">
        <v>3457.9</v>
      </c>
      <c r="S167" s="1">
        <v>31877.3</v>
      </c>
      <c r="T167" s="1">
        <v>13.2</v>
      </c>
      <c r="U167" s="1">
        <v>0.08</v>
      </c>
      <c r="V167" s="1">
        <v>3215.6</v>
      </c>
      <c r="W167" s="1">
        <v>31635</v>
      </c>
      <c r="X167" s="1">
        <v>600.08000000000004</v>
      </c>
      <c r="Y167" s="1">
        <v>1200</v>
      </c>
      <c r="Z167" s="1">
        <v>79082</v>
      </c>
      <c r="AA167" s="1">
        <v>13.47</v>
      </c>
      <c r="AB167" s="1">
        <v>4000</v>
      </c>
    </row>
    <row r="168" spans="1:28" x14ac:dyDescent="0.4">
      <c r="A168" s="1" t="s">
        <v>393</v>
      </c>
      <c r="B168" s="1">
        <v>4000</v>
      </c>
      <c r="C168" s="1">
        <v>0.2</v>
      </c>
      <c r="D168" s="1">
        <v>0.5</v>
      </c>
      <c r="E168" s="1">
        <v>500</v>
      </c>
      <c r="F168" s="1">
        <v>1</v>
      </c>
      <c r="G168" s="1">
        <v>2</v>
      </c>
      <c r="H168" s="1" t="s">
        <v>583</v>
      </c>
      <c r="I168" s="1">
        <v>92818.2</v>
      </c>
      <c r="J168" s="1">
        <v>35033.199999999997</v>
      </c>
      <c r="K168" s="1">
        <v>57785</v>
      </c>
      <c r="L168" s="1">
        <v>1200</v>
      </c>
      <c r="M168" s="1">
        <v>600</v>
      </c>
      <c r="N168" s="1">
        <v>17785.099999999999</v>
      </c>
      <c r="O168" s="1">
        <v>30593.1</v>
      </c>
      <c r="P168" s="1">
        <v>48378.2</v>
      </c>
      <c r="Q168" s="1">
        <v>27977.9</v>
      </c>
      <c r="R168" s="1">
        <v>3833.2</v>
      </c>
      <c r="S168" s="1">
        <v>31811.1</v>
      </c>
      <c r="T168" s="1">
        <v>13.61</v>
      </c>
      <c r="U168" s="1">
        <v>0.08</v>
      </c>
      <c r="V168" s="1">
        <v>3547.1</v>
      </c>
      <c r="W168" s="1">
        <v>31525</v>
      </c>
      <c r="X168" s="1">
        <v>600.08000000000004</v>
      </c>
      <c r="Y168" s="1">
        <v>1200</v>
      </c>
      <c r="Z168" s="1">
        <v>79903.199999999997</v>
      </c>
      <c r="AA168" s="1">
        <v>13.91</v>
      </c>
      <c r="AB168" s="1">
        <v>4000</v>
      </c>
    </row>
    <row r="169" spans="1:28" x14ac:dyDescent="0.4">
      <c r="A169" s="1" t="s">
        <v>394</v>
      </c>
      <c r="B169" s="1">
        <v>4000</v>
      </c>
      <c r="C169" s="1">
        <v>0.2</v>
      </c>
      <c r="D169" s="1">
        <v>0.5</v>
      </c>
      <c r="E169" s="1">
        <v>500</v>
      </c>
      <c r="F169" s="1">
        <v>1</v>
      </c>
      <c r="G169" s="1">
        <v>3</v>
      </c>
      <c r="H169" s="1" t="s">
        <v>583</v>
      </c>
      <c r="I169" s="1">
        <v>89874.2</v>
      </c>
      <c r="J169" s="1">
        <v>35811.9</v>
      </c>
      <c r="K169" s="1">
        <v>54062.3</v>
      </c>
      <c r="L169" s="1">
        <v>1200</v>
      </c>
      <c r="M169" s="1">
        <v>600.01</v>
      </c>
      <c r="N169" s="1">
        <v>18767.2</v>
      </c>
      <c r="O169" s="1">
        <v>28728.3</v>
      </c>
      <c r="P169" s="1">
        <v>47495.5</v>
      </c>
      <c r="Q169" s="1">
        <v>27434</v>
      </c>
      <c r="R169" s="1">
        <v>3657</v>
      </c>
      <c r="S169" s="1">
        <v>31091</v>
      </c>
      <c r="T169" s="1">
        <v>12.56</v>
      </c>
      <c r="U169" s="1">
        <v>0.06</v>
      </c>
      <c r="V169" s="1">
        <v>3416.8</v>
      </c>
      <c r="W169" s="1">
        <v>30850.799999999999</v>
      </c>
      <c r="X169" s="1">
        <v>600.07000000000005</v>
      </c>
      <c r="Y169" s="1">
        <v>1200</v>
      </c>
      <c r="Z169" s="1">
        <v>78346.3</v>
      </c>
      <c r="AA169" s="1">
        <v>12.83</v>
      </c>
      <c r="AB169" s="1">
        <v>4000</v>
      </c>
    </row>
    <row r="170" spans="1:28" x14ac:dyDescent="0.4">
      <c r="A170" s="1" t="s">
        <v>395</v>
      </c>
      <c r="B170" s="1">
        <v>4000</v>
      </c>
      <c r="C170" s="1">
        <v>0.2</v>
      </c>
      <c r="D170" s="1">
        <v>0.5</v>
      </c>
      <c r="E170" s="1">
        <v>500</v>
      </c>
      <c r="F170" s="1">
        <v>1</v>
      </c>
      <c r="G170" s="1">
        <v>4</v>
      </c>
      <c r="H170" s="1" t="s">
        <v>583</v>
      </c>
      <c r="I170" s="1">
        <v>88886.3</v>
      </c>
      <c r="J170" s="1">
        <v>34534.5</v>
      </c>
      <c r="K170" s="1">
        <v>54351.8</v>
      </c>
      <c r="L170" s="1">
        <v>1200</v>
      </c>
      <c r="M170" s="1">
        <v>600</v>
      </c>
      <c r="N170" s="1">
        <v>17112.3</v>
      </c>
      <c r="O170" s="1">
        <v>28705.5</v>
      </c>
      <c r="P170" s="1">
        <v>45817.8</v>
      </c>
      <c r="Q170" s="1">
        <v>28819.7</v>
      </c>
      <c r="R170" s="1">
        <v>3799.9</v>
      </c>
      <c r="S170" s="1">
        <v>32619.599999999999</v>
      </c>
      <c r="T170" s="1">
        <v>11.76</v>
      </c>
      <c r="U170" s="1">
        <v>0.06</v>
      </c>
      <c r="V170" s="1">
        <v>3620.1</v>
      </c>
      <c r="W170" s="1">
        <v>32439.8</v>
      </c>
      <c r="X170" s="1">
        <v>600.05999999999995</v>
      </c>
      <c r="Y170" s="1">
        <v>1200</v>
      </c>
      <c r="Z170" s="1">
        <v>78257.600000000006</v>
      </c>
      <c r="AA170" s="1">
        <v>11.96</v>
      </c>
      <c r="AB170" s="1">
        <v>4000</v>
      </c>
    </row>
    <row r="171" spans="1:28" x14ac:dyDescent="0.4">
      <c r="A171" s="1" t="s">
        <v>396</v>
      </c>
      <c r="B171" s="1">
        <v>4000</v>
      </c>
      <c r="C171" s="1">
        <v>0.2</v>
      </c>
      <c r="D171" s="1">
        <v>0.5</v>
      </c>
      <c r="E171" s="1">
        <v>500</v>
      </c>
      <c r="F171" s="1">
        <v>1</v>
      </c>
      <c r="G171" s="1">
        <v>5</v>
      </c>
      <c r="H171" s="1" t="s">
        <v>583</v>
      </c>
      <c r="I171" s="1">
        <v>87291.1</v>
      </c>
      <c r="J171" s="1">
        <v>33873</v>
      </c>
      <c r="K171" s="1">
        <v>53418.1</v>
      </c>
      <c r="L171" s="1">
        <v>1200</v>
      </c>
      <c r="M171" s="1">
        <v>600.01</v>
      </c>
      <c r="N171" s="1">
        <v>16672.7</v>
      </c>
      <c r="O171" s="1">
        <v>27826.799999999999</v>
      </c>
      <c r="P171" s="1">
        <v>44499.5</v>
      </c>
      <c r="Q171" s="1">
        <v>28647.4</v>
      </c>
      <c r="R171" s="1">
        <v>3491.8</v>
      </c>
      <c r="S171" s="1">
        <v>32139.200000000001</v>
      </c>
      <c r="T171" s="1">
        <v>12.2</v>
      </c>
      <c r="U171" s="1">
        <v>7.0000000000000007E-2</v>
      </c>
      <c r="V171" s="1">
        <v>3322.3</v>
      </c>
      <c r="W171" s="1">
        <v>31969.7</v>
      </c>
      <c r="X171" s="1">
        <v>600.08000000000004</v>
      </c>
      <c r="Y171" s="1">
        <v>1200</v>
      </c>
      <c r="Z171" s="1">
        <v>76469.2</v>
      </c>
      <c r="AA171" s="1">
        <v>12.4</v>
      </c>
      <c r="AB171" s="1">
        <v>4000</v>
      </c>
    </row>
    <row r="172" spans="1:28" x14ac:dyDescent="0.4">
      <c r="A172" s="1" t="s">
        <v>397</v>
      </c>
      <c r="B172" s="1">
        <v>4000</v>
      </c>
      <c r="C172" s="1">
        <v>0.2</v>
      </c>
      <c r="D172" s="1">
        <v>0.5</v>
      </c>
      <c r="E172" s="1">
        <v>500</v>
      </c>
      <c r="F172" s="1">
        <v>2</v>
      </c>
      <c r="G172" s="1">
        <v>1</v>
      </c>
      <c r="H172" s="1" t="s">
        <v>583</v>
      </c>
      <c r="I172" s="1">
        <v>136347</v>
      </c>
      <c r="J172" s="1">
        <v>52262.2</v>
      </c>
      <c r="K172" s="1">
        <v>84084.800000000003</v>
      </c>
      <c r="L172" s="1">
        <v>1200</v>
      </c>
      <c r="M172" s="1">
        <v>600</v>
      </c>
      <c r="N172" s="1">
        <v>30886.6</v>
      </c>
      <c r="O172" s="1">
        <v>45447</v>
      </c>
      <c r="P172" s="1">
        <v>76333.600000000006</v>
      </c>
      <c r="Q172" s="1">
        <v>28781.200000000001</v>
      </c>
      <c r="R172" s="1">
        <v>4495.1000000000004</v>
      </c>
      <c r="S172" s="1">
        <v>33276.300000000003</v>
      </c>
      <c r="T172" s="1">
        <v>19.61</v>
      </c>
      <c r="U172" s="1">
        <v>0.09</v>
      </c>
      <c r="V172" s="1">
        <v>4200.1000000000004</v>
      </c>
      <c r="W172" s="1">
        <v>32981.300000000003</v>
      </c>
      <c r="X172" s="1">
        <v>600.1</v>
      </c>
      <c r="Y172" s="1">
        <v>1200</v>
      </c>
      <c r="Z172" s="1">
        <v>109314.9</v>
      </c>
      <c r="AA172" s="1">
        <v>19.829999999999998</v>
      </c>
      <c r="AB172" s="1">
        <v>4000</v>
      </c>
    </row>
    <row r="173" spans="1:28" x14ac:dyDescent="0.4">
      <c r="A173" s="1" t="s">
        <v>398</v>
      </c>
      <c r="B173" s="1">
        <v>4000</v>
      </c>
      <c r="C173" s="1">
        <v>0.2</v>
      </c>
      <c r="D173" s="1">
        <v>0.5</v>
      </c>
      <c r="E173" s="1">
        <v>500</v>
      </c>
      <c r="F173" s="1">
        <v>2</v>
      </c>
      <c r="G173" s="1">
        <v>2</v>
      </c>
      <c r="H173" s="1" t="s">
        <v>583</v>
      </c>
      <c r="I173" s="1">
        <v>133994.6</v>
      </c>
      <c r="J173" s="1">
        <v>51705.2</v>
      </c>
      <c r="K173" s="1">
        <v>82289.399999999994</v>
      </c>
      <c r="L173" s="1">
        <v>1200</v>
      </c>
      <c r="M173" s="1">
        <v>600</v>
      </c>
      <c r="N173" s="1">
        <v>29660.799999999999</v>
      </c>
      <c r="O173" s="1">
        <v>46516.1</v>
      </c>
      <c r="P173" s="1">
        <v>76176.899999999994</v>
      </c>
      <c r="Q173" s="1">
        <v>28191.599999999999</v>
      </c>
      <c r="R173" s="1">
        <v>4693.8</v>
      </c>
      <c r="S173" s="1">
        <v>32885.4</v>
      </c>
      <c r="T173" s="1">
        <v>18.61</v>
      </c>
      <c r="U173" s="1">
        <v>0.11</v>
      </c>
      <c r="V173" s="1">
        <v>4315.6000000000004</v>
      </c>
      <c r="W173" s="1">
        <v>32507.200000000001</v>
      </c>
      <c r="X173" s="1">
        <v>600.11</v>
      </c>
      <c r="Y173" s="1">
        <v>1200</v>
      </c>
      <c r="Z173" s="1">
        <v>108684.1</v>
      </c>
      <c r="AA173" s="1">
        <v>18.89</v>
      </c>
      <c r="AB173" s="1">
        <v>4000</v>
      </c>
    </row>
    <row r="174" spans="1:28" x14ac:dyDescent="0.4">
      <c r="A174" s="1" t="s">
        <v>399</v>
      </c>
      <c r="B174" s="1">
        <v>4000</v>
      </c>
      <c r="C174" s="1">
        <v>0.2</v>
      </c>
      <c r="D174" s="1">
        <v>0.5</v>
      </c>
      <c r="E174" s="1">
        <v>500</v>
      </c>
      <c r="F174" s="1">
        <v>2</v>
      </c>
      <c r="G174" s="1">
        <v>3</v>
      </c>
      <c r="H174" s="1" t="s">
        <v>583</v>
      </c>
      <c r="I174" s="1">
        <v>136946.70000000001</v>
      </c>
      <c r="J174" s="1">
        <v>51685.9</v>
      </c>
      <c r="K174" s="1">
        <v>85260.800000000003</v>
      </c>
      <c r="L174" s="1">
        <v>1200</v>
      </c>
      <c r="M174" s="1">
        <v>600.01</v>
      </c>
      <c r="N174" s="1">
        <v>29323</v>
      </c>
      <c r="O174" s="1">
        <v>46784</v>
      </c>
      <c r="P174" s="1">
        <v>76107</v>
      </c>
      <c r="Q174" s="1">
        <v>29511.5</v>
      </c>
      <c r="R174" s="1">
        <v>4808.8999999999996</v>
      </c>
      <c r="S174" s="1">
        <v>34320.400000000001</v>
      </c>
      <c r="T174" s="1">
        <v>19.36</v>
      </c>
      <c r="U174" s="1">
        <v>0.13</v>
      </c>
      <c r="V174" s="1">
        <v>4385.1000000000004</v>
      </c>
      <c r="W174" s="1">
        <v>33896.6</v>
      </c>
      <c r="X174" s="1">
        <v>600.15</v>
      </c>
      <c r="Y174" s="1">
        <v>1200</v>
      </c>
      <c r="Z174" s="1">
        <v>110003.6</v>
      </c>
      <c r="AA174" s="1">
        <v>19.670000000000002</v>
      </c>
      <c r="AB174" s="1">
        <v>4000</v>
      </c>
    </row>
    <row r="175" spans="1:28" x14ac:dyDescent="0.4">
      <c r="A175" s="1" t="s">
        <v>400</v>
      </c>
      <c r="B175" s="1">
        <v>4000</v>
      </c>
      <c r="C175" s="1">
        <v>0.2</v>
      </c>
      <c r="D175" s="1">
        <v>0.5</v>
      </c>
      <c r="E175" s="1">
        <v>500</v>
      </c>
      <c r="F175" s="1">
        <v>2</v>
      </c>
      <c r="G175" s="1">
        <v>4</v>
      </c>
      <c r="H175" s="1" t="s">
        <v>583</v>
      </c>
      <c r="I175" s="1">
        <v>130276.2</v>
      </c>
      <c r="J175" s="1">
        <v>49319</v>
      </c>
      <c r="K175" s="1">
        <v>80957.2</v>
      </c>
      <c r="L175" s="1">
        <v>1200</v>
      </c>
      <c r="M175" s="1">
        <v>600</v>
      </c>
      <c r="N175" s="1">
        <v>27753.599999999999</v>
      </c>
      <c r="O175" s="1">
        <v>44874.3</v>
      </c>
      <c r="P175" s="1">
        <v>72627.899999999994</v>
      </c>
      <c r="Q175" s="1">
        <v>28485.8</v>
      </c>
      <c r="R175" s="1">
        <v>4434.8999999999996</v>
      </c>
      <c r="S175" s="1">
        <v>32920.699999999997</v>
      </c>
      <c r="T175" s="1">
        <v>18.98</v>
      </c>
      <c r="U175" s="1">
        <v>0.1</v>
      </c>
      <c r="V175" s="1">
        <v>4072.3</v>
      </c>
      <c r="W175" s="1">
        <v>32558.1</v>
      </c>
      <c r="X175" s="1">
        <v>600.1</v>
      </c>
      <c r="Y175" s="1">
        <v>1200</v>
      </c>
      <c r="Z175" s="1">
        <v>105186</v>
      </c>
      <c r="AA175" s="1">
        <v>19.260000000000002</v>
      </c>
      <c r="AB175" s="1">
        <v>4000</v>
      </c>
    </row>
    <row r="176" spans="1:28" x14ac:dyDescent="0.4">
      <c r="A176" s="1" t="s">
        <v>401</v>
      </c>
      <c r="B176" s="1">
        <v>4000</v>
      </c>
      <c r="C176" s="1">
        <v>0.2</v>
      </c>
      <c r="D176" s="1">
        <v>0.5</v>
      </c>
      <c r="E176" s="1">
        <v>500</v>
      </c>
      <c r="F176" s="1">
        <v>2</v>
      </c>
      <c r="G176" s="1">
        <v>5</v>
      </c>
      <c r="H176" s="1" t="s">
        <v>583</v>
      </c>
      <c r="I176" s="1">
        <v>126993.7</v>
      </c>
      <c r="J176" s="1">
        <v>49785.9</v>
      </c>
      <c r="K176" s="1">
        <v>77207.8</v>
      </c>
      <c r="L176" s="1">
        <v>1200</v>
      </c>
      <c r="M176" s="1">
        <v>600.02</v>
      </c>
      <c r="N176" s="1">
        <v>28228</v>
      </c>
      <c r="O176" s="1">
        <v>42621.7</v>
      </c>
      <c r="P176" s="1">
        <v>70849.7</v>
      </c>
      <c r="Q176" s="1">
        <v>28658.9</v>
      </c>
      <c r="R176" s="1">
        <v>4344.1000000000004</v>
      </c>
      <c r="S176" s="1">
        <v>33003</v>
      </c>
      <c r="T176" s="1">
        <v>18.22</v>
      </c>
      <c r="U176" s="1">
        <v>0.12</v>
      </c>
      <c r="V176" s="1">
        <v>4014.6</v>
      </c>
      <c r="W176" s="1">
        <v>32673.5</v>
      </c>
      <c r="X176" s="1">
        <v>600.14</v>
      </c>
      <c r="Y176" s="1">
        <v>1200</v>
      </c>
      <c r="Z176" s="1">
        <v>103523.2</v>
      </c>
      <c r="AA176" s="1">
        <v>18.48</v>
      </c>
      <c r="AB176" s="1">
        <v>4000</v>
      </c>
    </row>
    <row r="177" spans="1:28" x14ac:dyDescent="0.4">
      <c r="A177" s="1" t="s">
        <v>402</v>
      </c>
      <c r="B177" s="1">
        <v>4000</v>
      </c>
      <c r="C177" s="1">
        <v>0.2</v>
      </c>
      <c r="D177" s="1">
        <v>0.5</v>
      </c>
      <c r="E177" s="1">
        <v>500</v>
      </c>
      <c r="F177" s="1">
        <v>3</v>
      </c>
      <c r="G177" s="1">
        <v>1</v>
      </c>
      <c r="H177" s="1" t="s">
        <v>583</v>
      </c>
      <c r="I177" s="1">
        <v>178021</v>
      </c>
      <c r="J177" s="1">
        <v>68456.800000000003</v>
      </c>
      <c r="K177" s="1">
        <v>109564.2</v>
      </c>
      <c r="L177" s="1">
        <v>1200</v>
      </c>
      <c r="M177" s="1">
        <v>600.01</v>
      </c>
      <c r="N177" s="1">
        <v>40637.599999999999</v>
      </c>
      <c r="O177" s="1">
        <v>64337.9</v>
      </c>
      <c r="P177" s="1">
        <v>104975.5</v>
      </c>
      <c r="Q177" s="1">
        <v>29001.3</v>
      </c>
      <c r="R177" s="1">
        <v>5238.7</v>
      </c>
      <c r="S177" s="1">
        <v>34240</v>
      </c>
      <c r="T177" s="1">
        <v>21.8</v>
      </c>
      <c r="U177" s="1">
        <v>0.13</v>
      </c>
      <c r="V177" s="1">
        <v>4670.2</v>
      </c>
      <c r="W177" s="1">
        <v>33671.5</v>
      </c>
      <c r="X177" s="1">
        <v>600.14</v>
      </c>
      <c r="Y177" s="1">
        <v>1200</v>
      </c>
      <c r="Z177" s="1">
        <v>138647</v>
      </c>
      <c r="AA177" s="1">
        <v>22.12</v>
      </c>
      <c r="AB177" s="1">
        <v>4000</v>
      </c>
    </row>
    <row r="178" spans="1:28" x14ac:dyDescent="0.4">
      <c r="A178" s="1" t="s">
        <v>403</v>
      </c>
      <c r="B178" s="1">
        <v>4000</v>
      </c>
      <c r="C178" s="1">
        <v>0.2</v>
      </c>
      <c r="D178" s="1">
        <v>0.5</v>
      </c>
      <c r="E178" s="1">
        <v>500</v>
      </c>
      <c r="F178" s="1">
        <v>3</v>
      </c>
      <c r="G178" s="1">
        <v>2</v>
      </c>
      <c r="H178" s="1" t="s">
        <v>583</v>
      </c>
      <c r="I178" s="1">
        <v>165633.4</v>
      </c>
      <c r="J178" s="1">
        <v>62948.800000000003</v>
      </c>
      <c r="K178" s="1">
        <v>102684.6</v>
      </c>
      <c r="L178" s="1">
        <v>1200</v>
      </c>
      <c r="M178" s="1">
        <v>600</v>
      </c>
      <c r="N178" s="1">
        <v>36871.199999999997</v>
      </c>
      <c r="O178" s="1">
        <v>59060.5</v>
      </c>
      <c r="P178" s="1">
        <v>95931.7</v>
      </c>
      <c r="Q178" s="1">
        <v>29630.799999999999</v>
      </c>
      <c r="R178" s="1">
        <v>5113.5</v>
      </c>
      <c r="S178" s="1">
        <v>34744.300000000003</v>
      </c>
      <c r="T178" s="1">
        <v>21.11</v>
      </c>
      <c r="U178" s="1">
        <v>0.16</v>
      </c>
      <c r="V178" s="1">
        <v>4662.5</v>
      </c>
      <c r="W178" s="1">
        <v>34293.300000000003</v>
      </c>
      <c r="X178" s="1">
        <v>600.16</v>
      </c>
      <c r="Y178" s="1">
        <v>1200</v>
      </c>
      <c r="Z178" s="1">
        <v>130225</v>
      </c>
      <c r="AA178" s="1">
        <v>21.38</v>
      </c>
      <c r="AB178" s="1">
        <v>4000</v>
      </c>
    </row>
    <row r="179" spans="1:28" x14ac:dyDescent="0.4">
      <c r="A179" s="1" t="s">
        <v>404</v>
      </c>
      <c r="B179" s="1">
        <v>4000</v>
      </c>
      <c r="C179" s="1">
        <v>0.2</v>
      </c>
      <c r="D179" s="1">
        <v>0.5</v>
      </c>
      <c r="E179" s="1">
        <v>500</v>
      </c>
      <c r="F179" s="1">
        <v>3</v>
      </c>
      <c r="G179" s="1">
        <v>3</v>
      </c>
      <c r="H179" s="1" t="s">
        <v>583</v>
      </c>
      <c r="I179" s="1">
        <v>174713</v>
      </c>
      <c r="J179" s="1">
        <v>65933.399999999994</v>
      </c>
      <c r="K179" s="1">
        <v>108779.6</v>
      </c>
      <c r="L179" s="1">
        <v>1200</v>
      </c>
      <c r="M179" s="1">
        <v>600.01</v>
      </c>
      <c r="N179" s="1">
        <v>39102.699999999997</v>
      </c>
      <c r="O179" s="1">
        <v>63443.4</v>
      </c>
      <c r="P179" s="1">
        <v>102546.1</v>
      </c>
      <c r="Q179" s="1">
        <v>29396.400000000001</v>
      </c>
      <c r="R179" s="1">
        <v>5483.1</v>
      </c>
      <c r="S179" s="1">
        <v>34879.5</v>
      </c>
      <c r="T179" s="1">
        <v>21.34</v>
      </c>
      <c r="U179" s="1">
        <v>0.14000000000000001</v>
      </c>
      <c r="V179" s="1">
        <v>5025.3999999999996</v>
      </c>
      <c r="W179" s="1">
        <v>34421.800000000003</v>
      </c>
      <c r="X179" s="1">
        <v>600.15</v>
      </c>
      <c r="Y179" s="1">
        <v>1200</v>
      </c>
      <c r="Z179" s="1">
        <v>136967.9</v>
      </c>
      <c r="AA179" s="1">
        <v>21.6</v>
      </c>
      <c r="AB179" s="1">
        <v>4000</v>
      </c>
    </row>
    <row r="180" spans="1:28" x14ac:dyDescent="0.4">
      <c r="A180" s="1" t="s">
        <v>405</v>
      </c>
      <c r="B180" s="1">
        <v>4000</v>
      </c>
      <c r="C180" s="1">
        <v>0.2</v>
      </c>
      <c r="D180" s="1">
        <v>0.5</v>
      </c>
      <c r="E180" s="1">
        <v>500</v>
      </c>
      <c r="F180" s="1">
        <v>3</v>
      </c>
      <c r="G180" s="1">
        <v>4</v>
      </c>
      <c r="H180" s="1" t="s">
        <v>583</v>
      </c>
      <c r="I180" s="1">
        <v>168294.1</v>
      </c>
      <c r="J180" s="1">
        <v>65620.5</v>
      </c>
      <c r="K180" s="1">
        <v>102673.60000000001</v>
      </c>
      <c r="L180" s="1">
        <v>1200</v>
      </c>
      <c r="M180" s="1">
        <v>600.01</v>
      </c>
      <c r="N180" s="1">
        <v>38818.199999999997</v>
      </c>
      <c r="O180" s="1">
        <v>58522.8</v>
      </c>
      <c r="P180" s="1">
        <v>97341</v>
      </c>
      <c r="Q180" s="1">
        <v>29222.3</v>
      </c>
      <c r="R180" s="1">
        <v>5246.3</v>
      </c>
      <c r="S180" s="1">
        <v>34468.6</v>
      </c>
      <c r="T180" s="1">
        <v>21.68</v>
      </c>
      <c r="U180" s="1">
        <v>0.15</v>
      </c>
      <c r="V180" s="1">
        <v>4913.8</v>
      </c>
      <c r="W180" s="1">
        <v>34136.1</v>
      </c>
      <c r="X180" s="1">
        <v>600.15</v>
      </c>
      <c r="Y180" s="1">
        <v>1200</v>
      </c>
      <c r="Z180" s="1">
        <v>131477.1</v>
      </c>
      <c r="AA180" s="1">
        <v>21.88</v>
      </c>
      <c r="AB180" s="1">
        <v>4000</v>
      </c>
    </row>
    <row r="181" spans="1:28" x14ac:dyDescent="0.4">
      <c r="A181" s="1" t="s">
        <v>406</v>
      </c>
      <c r="B181" s="1">
        <v>4000</v>
      </c>
      <c r="C181" s="1">
        <v>0.2</v>
      </c>
      <c r="D181" s="1">
        <v>0.5</v>
      </c>
      <c r="E181" s="1">
        <v>500</v>
      </c>
      <c r="F181" s="1">
        <v>3</v>
      </c>
      <c r="G181" s="1">
        <v>5</v>
      </c>
      <c r="H181" s="1" t="s">
        <v>583</v>
      </c>
      <c r="I181" s="1">
        <v>172598.8</v>
      </c>
      <c r="J181" s="1">
        <v>67794.8</v>
      </c>
      <c r="K181" s="1">
        <v>104804</v>
      </c>
      <c r="L181" s="1">
        <v>1200</v>
      </c>
      <c r="M181" s="1">
        <v>600.01</v>
      </c>
      <c r="N181" s="1">
        <v>39259.800000000003</v>
      </c>
      <c r="O181" s="1">
        <v>61473.2</v>
      </c>
      <c r="P181" s="1">
        <v>100733</v>
      </c>
      <c r="Q181" s="1">
        <v>29344.7</v>
      </c>
      <c r="R181" s="1">
        <v>5089.2</v>
      </c>
      <c r="S181" s="1">
        <v>34433.9</v>
      </c>
      <c r="T181" s="1">
        <v>21.69</v>
      </c>
      <c r="U181" s="1">
        <v>0.15</v>
      </c>
      <c r="V181" s="1">
        <v>4696.5</v>
      </c>
      <c r="W181" s="1">
        <v>34041.199999999997</v>
      </c>
      <c r="X181" s="1">
        <v>600.16</v>
      </c>
      <c r="Y181" s="1">
        <v>1200</v>
      </c>
      <c r="Z181" s="1">
        <v>134774.20000000001</v>
      </c>
      <c r="AA181" s="1">
        <v>21.91</v>
      </c>
      <c r="AB181" s="1">
        <v>4000</v>
      </c>
    </row>
    <row r="182" spans="1:28" x14ac:dyDescent="0.4">
      <c r="A182" s="1" t="s">
        <v>75</v>
      </c>
      <c r="B182" s="1">
        <v>4000</v>
      </c>
      <c r="C182" s="1">
        <v>0.3</v>
      </c>
      <c r="D182" s="1">
        <v>0.5</v>
      </c>
      <c r="E182" s="1">
        <v>1000</v>
      </c>
      <c r="F182" s="1">
        <v>1</v>
      </c>
      <c r="G182" s="1">
        <v>1</v>
      </c>
      <c r="H182" s="1" t="s">
        <v>583</v>
      </c>
      <c r="I182" s="1">
        <v>175093.6</v>
      </c>
      <c r="J182" s="1">
        <v>68226.600000000006</v>
      </c>
      <c r="K182" s="1">
        <v>106867</v>
      </c>
      <c r="L182" s="1">
        <v>1200</v>
      </c>
      <c r="M182" s="1">
        <v>600.01</v>
      </c>
      <c r="N182" s="1">
        <v>38432.800000000003</v>
      </c>
      <c r="O182" s="1">
        <v>59275.199999999997</v>
      </c>
      <c r="P182" s="1">
        <v>97708</v>
      </c>
      <c r="Q182" s="1">
        <v>31318.400000000001</v>
      </c>
      <c r="R182" s="1">
        <v>9133.2999999999993</v>
      </c>
      <c r="S182" s="1">
        <v>40451.699999999997</v>
      </c>
      <c r="T182" s="1">
        <v>21.09</v>
      </c>
      <c r="U182" s="1">
        <v>0.31</v>
      </c>
      <c r="V182" s="1">
        <v>8811.1</v>
      </c>
      <c r="W182" s="1">
        <v>40129.5</v>
      </c>
      <c r="X182" s="1">
        <v>600.30999999999995</v>
      </c>
      <c r="Y182" s="1">
        <v>1200</v>
      </c>
      <c r="Z182" s="1">
        <v>137837.5</v>
      </c>
      <c r="AA182" s="1">
        <v>21.28</v>
      </c>
      <c r="AB182" s="1">
        <v>4000</v>
      </c>
    </row>
    <row r="183" spans="1:28" x14ac:dyDescent="0.4">
      <c r="A183" s="1" t="s">
        <v>76</v>
      </c>
      <c r="B183" s="1">
        <v>4000</v>
      </c>
      <c r="C183" s="1">
        <v>0.3</v>
      </c>
      <c r="D183" s="1">
        <v>0.5</v>
      </c>
      <c r="E183" s="1">
        <v>1000</v>
      </c>
      <c r="F183" s="1">
        <v>1</v>
      </c>
      <c r="G183" s="1">
        <v>2</v>
      </c>
      <c r="H183" s="1" t="s">
        <v>583</v>
      </c>
      <c r="I183" s="1">
        <v>175656.9</v>
      </c>
      <c r="J183" s="1">
        <v>73099.600000000006</v>
      </c>
      <c r="K183" s="1">
        <v>102557.3</v>
      </c>
      <c r="L183" s="1">
        <v>1200</v>
      </c>
      <c r="M183" s="1">
        <v>600.02</v>
      </c>
      <c r="N183" s="1">
        <v>39354.9</v>
      </c>
      <c r="O183" s="1">
        <v>57560.7</v>
      </c>
      <c r="P183" s="1">
        <v>96915.6</v>
      </c>
      <c r="Q183" s="1">
        <v>32184.799999999999</v>
      </c>
      <c r="R183" s="1">
        <v>9203.2000000000007</v>
      </c>
      <c r="S183" s="1">
        <v>41388</v>
      </c>
      <c r="T183" s="1">
        <v>21.26</v>
      </c>
      <c r="U183" s="1">
        <v>0.3</v>
      </c>
      <c r="V183" s="1">
        <v>8990.7999999999993</v>
      </c>
      <c r="W183" s="1">
        <v>41175.599999999999</v>
      </c>
      <c r="X183" s="1">
        <v>600.30999999999995</v>
      </c>
      <c r="Y183" s="1">
        <v>1200</v>
      </c>
      <c r="Z183" s="1">
        <v>138091.20000000001</v>
      </c>
      <c r="AA183" s="1">
        <v>21.39</v>
      </c>
      <c r="AB183" s="1">
        <v>4000</v>
      </c>
    </row>
    <row r="184" spans="1:28" x14ac:dyDescent="0.4">
      <c r="A184" s="1" t="s">
        <v>77</v>
      </c>
      <c r="B184" s="1">
        <v>4000</v>
      </c>
      <c r="C184" s="1">
        <v>0.3</v>
      </c>
      <c r="D184" s="1">
        <v>0.5</v>
      </c>
      <c r="E184" s="1">
        <v>1000</v>
      </c>
      <c r="F184" s="1">
        <v>1</v>
      </c>
      <c r="G184" s="1">
        <v>3</v>
      </c>
      <c r="H184" s="1" t="s">
        <v>583</v>
      </c>
      <c r="I184" s="1">
        <v>169951.8</v>
      </c>
      <c r="J184" s="1">
        <v>69742.100000000006</v>
      </c>
      <c r="K184" s="1">
        <v>100209.7</v>
      </c>
      <c r="L184" s="1">
        <v>1200</v>
      </c>
      <c r="M184" s="1">
        <v>600.01</v>
      </c>
      <c r="N184" s="1">
        <v>39412.199999999997</v>
      </c>
      <c r="O184" s="1">
        <v>55533.3</v>
      </c>
      <c r="P184" s="1">
        <v>94945.5</v>
      </c>
      <c r="Q184" s="1">
        <v>31954.9</v>
      </c>
      <c r="R184" s="1">
        <v>9095.7000000000007</v>
      </c>
      <c r="S184" s="1">
        <v>41050.6</v>
      </c>
      <c r="T184" s="1">
        <v>19.98</v>
      </c>
      <c r="U184" s="1">
        <v>0.26</v>
      </c>
      <c r="V184" s="1">
        <v>8828.2000000000007</v>
      </c>
      <c r="W184" s="1">
        <v>40783.1</v>
      </c>
      <c r="X184" s="1">
        <v>600.26</v>
      </c>
      <c r="Y184" s="1">
        <v>1200</v>
      </c>
      <c r="Z184" s="1">
        <v>135728.6</v>
      </c>
      <c r="AA184" s="1">
        <v>20.14</v>
      </c>
      <c r="AB184" s="1">
        <v>4000</v>
      </c>
    </row>
    <row r="185" spans="1:28" x14ac:dyDescent="0.4">
      <c r="A185" s="1" t="s">
        <v>78</v>
      </c>
      <c r="B185" s="1">
        <v>4000</v>
      </c>
      <c r="C185" s="1">
        <v>0.3</v>
      </c>
      <c r="D185" s="1">
        <v>0.5</v>
      </c>
      <c r="E185" s="1">
        <v>1000</v>
      </c>
      <c r="F185" s="1">
        <v>1</v>
      </c>
      <c r="G185" s="1">
        <v>4</v>
      </c>
      <c r="H185" s="1" t="s">
        <v>583</v>
      </c>
      <c r="I185" s="1">
        <v>171916.6</v>
      </c>
      <c r="J185" s="1">
        <v>69635.3</v>
      </c>
      <c r="K185" s="1">
        <v>102281.3</v>
      </c>
      <c r="L185" s="1">
        <v>1200</v>
      </c>
      <c r="M185" s="1">
        <v>600.02</v>
      </c>
      <c r="N185" s="1">
        <v>38864.699999999997</v>
      </c>
      <c r="O185" s="1">
        <v>56054.3</v>
      </c>
      <c r="P185" s="1">
        <v>94919</v>
      </c>
      <c r="Q185" s="1">
        <v>32074.400000000001</v>
      </c>
      <c r="R185" s="1">
        <v>9132.2000000000007</v>
      </c>
      <c r="S185" s="1">
        <v>41206.6</v>
      </c>
      <c r="T185" s="1">
        <v>20.82</v>
      </c>
      <c r="U185" s="1">
        <v>0.31</v>
      </c>
      <c r="V185" s="1">
        <v>8891.7000000000007</v>
      </c>
      <c r="W185" s="1">
        <v>40966.1</v>
      </c>
      <c r="X185" s="1">
        <v>600.33000000000004</v>
      </c>
      <c r="Y185" s="1">
        <v>1200</v>
      </c>
      <c r="Z185" s="1">
        <v>135885.1</v>
      </c>
      <c r="AA185" s="1">
        <v>20.96</v>
      </c>
      <c r="AB185" s="1">
        <v>4000</v>
      </c>
    </row>
    <row r="186" spans="1:28" x14ac:dyDescent="0.4">
      <c r="A186" s="1" t="s">
        <v>79</v>
      </c>
      <c r="B186" s="1">
        <v>4000</v>
      </c>
      <c r="C186" s="1">
        <v>0.3</v>
      </c>
      <c r="D186" s="1">
        <v>0.5</v>
      </c>
      <c r="E186" s="1">
        <v>1000</v>
      </c>
      <c r="F186" s="1">
        <v>1</v>
      </c>
      <c r="G186" s="1">
        <v>5</v>
      </c>
      <c r="H186" s="1" t="s">
        <v>583</v>
      </c>
      <c r="I186" s="1">
        <v>176761.2</v>
      </c>
      <c r="J186" s="1">
        <v>70693.100000000006</v>
      </c>
      <c r="K186" s="1">
        <v>106068.1</v>
      </c>
      <c r="L186" s="1">
        <v>1200</v>
      </c>
      <c r="M186" s="1">
        <v>600</v>
      </c>
      <c r="N186" s="1">
        <v>40138.9</v>
      </c>
      <c r="O186" s="1">
        <v>59172.1</v>
      </c>
      <c r="P186" s="1">
        <v>99311</v>
      </c>
      <c r="Q186" s="1">
        <v>31583.9</v>
      </c>
      <c r="R186" s="1">
        <v>8969</v>
      </c>
      <c r="S186" s="1">
        <v>40552.9</v>
      </c>
      <c r="T186" s="1">
        <v>20.87</v>
      </c>
      <c r="U186" s="1">
        <v>0.32</v>
      </c>
      <c r="V186" s="1">
        <v>8638.1</v>
      </c>
      <c r="W186" s="1">
        <v>40222</v>
      </c>
      <c r="X186" s="1">
        <v>600.32000000000005</v>
      </c>
      <c r="Y186" s="1">
        <v>1199</v>
      </c>
      <c r="Z186" s="1">
        <v>139533</v>
      </c>
      <c r="AA186" s="1">
        <v>21.06</v>
      </c>
      <c r="AB186" s="1">
        <v>4000</v>
      </c>
    </row>
    <row r="187" spans="1:28" x14ac:dyDescent="0.4">
      <c r="A187" s="1" t="s">
        <v>80</v>
      </c>
      <c r="B187" s="1">
        <v>4000</v>
      </c>
      <c r="C187" s="1">
        <v>0.3</v>
      </c>
      <c r="D187" s="1">
        <v>0.5</v>
      </c>
      <c r="E187" s="1">
        <v>1000</v>
      </c>
      <c r="F187" s="1">
        <v>2</v>
      </c>
      <c r="G187" s="1">
        <v>1</v>
      </c>
      <c r="H187" s="1" t="s">
        <v>583</v>
      </c>
      <c r="I187" s="1">
        <v>267278.59999999998</v>
      </c>
      <c r="J187" s="1">
        <v>104903.3</v>
      </c>
      <c r="K187" s="1">
        <v>162375.29999999999</v>
      </c>
      <c r="L187" s="1">
        <v>1200</v>
      </c>
      <c r="M187" s="1">
        <v>600.02</v>
      </c>
      <c r="N187" s="1">
        <v>62685.8</v>
      </c>
      <c r="O187" s="1">
        <v>95773</v>
      </c>
      <c r="P187" s="1">
        <v>158458.79999999999</v>
      </c>
      <c r="Q187" s="1">
        <v>32111.4</v>
      </c>
      <c r="R187" s="1">
        <v>9857.6</v>
      </c>
      <c r="S187" s="1">
        <v>41969</v>
      </c>
      <c r="T187" s="1">
        <v>25.01</v>
      </c>
      <c r="U187" s="1">
        <v>0.45</v>
      </c>
      <c r="V187" s="1">
        <v>9273.2999999999993</v>
      </c>
      <c r="W187" s="1">
        <v>41384.699999999997</v>
      </c>
      <c r="X187" s="1">
        <v>600.48</v>
      </c>
      <c r="Y187" s="1">
        <v>1199</v>
      </c>
      <c r="Z187" s="1">
        <v>199843.5</v>
      </c>
      <c r="AA187" s="1">
        <v>25.23</v>
      </c>
      <c r="AB187" s="1">
        <v>4000</v>
      </c>
    </row>
    <row r="188" spans="1:28" x14ac:dyDescent="0.4">
      <c r="A188" s="1" t="s">
        <v>81</v>
      </c>
      <c r="B188" s="1">
        <v>4000</v>
      </c>
      <c r="C188" s="1">
        <v>0.3</v>
      </c>
      <c r="D188" s="1">
        <v>0.5</v>
      </c>
      <c r="E188" s="1">
        <v>1000</v>
      </c>
      <c r="F188" s="1">
        <v>2</v>
      </c>
      <c r="G188" s="1">
        <v>2</v>
      </c>
      <c r="H188" s="1" t="s">
        <v>583</v>
      </c>
      <c r="I188" s="1">
        <v>266574.40000000002</v>
      </c>
      <c r="J188" s="1">
        <v>109573.5</v>
      </c>
      <c r="K188" s="1">
        <v>157000.9</v>
      </c>
      <c r="L188" s="1">
        <v>1200</v>
      </c>
      <c r="M188" s="1">
        <v>600</v>
      </c>
      <c r="N188" s="1">
        <v>64827.7</v>
      </c>
      <c r="O188" s="1">
        <v>91098.7</v>
      </c>
      <c r="P188" s="1">
        <v>155926.39999999999</v>
      </c>
      <c r="Q188" s="1">
        <v>31790.400000000001</v>
      </c>
      <c r="R188" s="1">
        <v>10068.200000000001</v>
      </c>
      <c r="S188" s="1">
        <v>41858.6</v>
      </c>
      <c r="T188" s="1">
        <v>25.8</v>
      </c>
      <c r="U188" s="1">
        <v>0.48</v>
      </c>
      <c r="V188" s="1">
        <v>9396.6</v>
      </c>
      <c r="W188" s="1">
        <v>41187</v>
      </c>
      <c r="X188" s="1">
        <v>600.48</v>
      </c>
      <c r="Y188" s="1">
        <v>1200</v>
      </c>
      <c r="Z188" s="1">
        <v>197113.4</v>
      </c>
      <c r="AA188" s="1">
        <v>26.06</v>
      </c>
      <c r="AB188" s="1">
        <v>4000</v>
      </c>
    </row>
    <row r="189" spans="1:28" x14ac:dyDescent="0.4">
      <c r="A189" s="1" t="s">
        <v>82</v>
      </c>
      <c r="B189" s="1">
        <v>4000</v>
      </c>
      <c r="C189" s="1">
        <v>0.3</v>
      </c>
      <c r="D189" s="1">
        <v>0.5</v>
      </c>
      <c r="E189" s="1">
        <v>1000</v>
      </c>
      <c r="F189" s="1">
        <v>2</v>
      </c>
      <c r="G189" s="1">
        <v>3</v>
      </c>
      <c r="H189" s="1" t="s">
        <v>583</v>
      </c>
      <c r="I189" s="1">
        <v>270461.40000000002</v>
      </c>
      <c r="J189" s="1">
        <v>108640.8</v>
      </c>
      <c r="K189" s="1">
        <v>161820.6</v>
      </c>
      <c r="L189" s="1">
        <v>1200</v>
      </c>
      <c r="M189" s="1">
        <v>600.03</v>
      </c>
      <c r="N189" s="1">
        <v>65089.9</v>
      </c>
      <c r="O189" s="1">
        <v>94724.800000000003</v>
      </c>
      <c r="P189" s="1">
        <v>159814.70000000001</v>
      </c>
      <c r="Q189" s="1">
        <v>31690.9</v>
      </c>
      <c r="R189" s="1">
        <v>9523.7000000000007</v>
      </c>
      <c r="S189" s="1">
        <v>41214.6</v>
      </c>
      <c r="T189" s="1">
        <v>25.67</v>
      </c>
      <c r="U189" s="1">
        <v>0.36</v>
      </c>
      <c r="V189" s="1">
        <v>8970.2000000000007</v>
      </c>
      <c r="W189" s="1">
        <v>40661.1</v>
      </c>
      <c r="X189" s="1">
        <v>600.38</v>
      </c>
      <c r="Y189" s="1">
        <v>1200</v>
      </c>
      <c r="Z189" s="1">
        <v>200475.8</v>
      </c>
      <c r="AA189" s="1">
        <v>25.88</v>
      </c>
      <c r="AB189" s="1">
        <v>4000</v>
      </c>
    </row>
    <row r="190" spans="1:28" x14ac:dyDescent="0.4">
      <c r="A190" s="1" t="s">
        <v>83</v>
      </c>
      <c r="B190" s="1">
        <v>4000</v>
      </c>
      <c r="C190" s="1">
        <v>0.3</v>
      </c>
      <c r="D190" s="1">
        <v>0.5</v>
      </c>
      <c r="E190" s="1">
        <v>1000</v>
      </c>
      <c r="F190" s="1">
        <v>2</v>
      </c>
      <c r="G190" s="1">
        <v>4</v>
      </c>
      <c r="H190" s="1" t="s">
        <v>583</v>
      </c>
      <c r="I190" s="1">
        <v>276520.5</v>
      </c>
      <c r="J190" s="1">
        <v>108151.8</v>
      </c>
      <c r="K190" s="1">
        <v>168368.7</v>
      </c>
      <c r="L190" s="1">
        <v>1200</v>
      </c>
      <c r="M190" s="1">
        <v>600.03</v>
      </c>
      <c r="N190" s="1">
        <v>65902.600000000006</v>
      </c>
      <c r="O190" s="1">
        <v>98187.8</v>
      </c>
      <c r="P190" s="1">
        <v>164090.4</v>
      </c>
      <c r="Q190" s="1">
        <v>32182.7</v>
      </c>
      <c r="R190" s="1">
        <v>9881.7999999999993</v>
      </c>
      <c r="S190" s="1">
        <v>42064.5</v>
      </c>
      <c r="T190" s="1">
        <v>25.45</v>
      </c>
      <c r="U190" s="1">
        <v>0.39</v>
      </c>
      <c r="V190" s="1">
        <v>9084.5</v>
      </c>
      <c r="W190" s="1">
        <v>41267.199999999997</v>
      </c>
      <c r="X190" s="1">
        <v>600.42999999999995</v>
      </c>
      <c r="Y190" s="1">
        <v>1200</v>
      </c>
      <c r="Z190" s="1">
        <v>205357.6</v>
      </c>
      <c r="AA190" s="1">
        <v>25.74</v>
      </c>
      <c r="AB190" s="1">
        <v>4000</v>
      </c>
    </row>
    <row r="191" spans="1:28" x14ac:dyDescent="0.4">
      <c r="A191" s="1" t="s">
        <v>84</v>
      </c>
      <c r="B191" s="1">
        <v>4000</v>
      </c>
      <c r="C191" s="1">
        <v>0.3</v>
      </c>
      <c r="D191" s="1">
        <v>0.5</v>
      </c>
      <c r="E191" s="1">
        <v>1000</v>
      </c>
      <c r="F191" s="1">
        <v>2</v>
      </c>
      <c r="G191" s="1">
        <v>5</v>
      </c>
      <c r="H191" s="1" t="s">
        <v>583</v>
      </c>
      <c r="I191" s="1">
        <v>269398.09999999998</v>
      </c>
      <c r="J191" s="1">
        <v>105268.2</v>
      </c>
      <c r="K191" s="1">
        <v>164129.9</v>
      </c>
      <c r="L191" s="1">
        <v>1200</v>
      </c>
      <c r="M191" s="1">
        <v>600</v>
      </c>
      <c r="N191" s="1">
        <v>62928</v>
      </c>
      <c r="O191" s="1">
        <v>95847</v>
      </c>
      <c r="P191" s="1">
        <v>158775</v>
      </c>
      <c r="Q191" s="1">
        <v>31679.1</v>
      </c>
      <c r="R191" s="1">
        <v>9728.1</v>
      </c>
      <c r="S191" s="1">
        <v>41407.199999999997</v>
      </c>
      <c r="T191" s="1">
        <v>25.69</v>
      </c>
      <c r="U191" s="1">
        <v>0.42</v>
      </c>
      <c r="V191" s="1">
        <v>8994.7000000000007</v>
      </c>
      <c r="W191" s="1">
        <v>40673.800000000003</v>
      </c>
      <c r="X191" s="1">
        <v>600.41999999999996</v>
      </c>
      <c r="Y191" s="1">
        <v>1200</v>
      </c>
      <c r="Z191" s="1">
        <v>199448.8</v>
      </c>
      <c r="AA191" s="1">
        <v>25.97</v>
      </c>
      <c r="AB191" s="1">
        <v>4000</v>
      </c>
    </row>
    <row r="192" spans="1:28" x14ac:dyDescent="0.4">
      <c r="A192" s="1" t="s">
        <v>85</v>
      </c>
      <c r="B192" s="1">
        <v>4000</v>
      </c>
      <c r="C192" s="1">
        <v>0.3</v>
      </c>
      <c r="D192" s="1">
        <v>0.5</v>
      </c>
      <c r="E192" s="1">
        <v>1000</v>
      </c>
      <c r="F192" s="1">
        <v>3</v>
      </c>
      <c r="G192" s="1">
        <v>1</v>
      </c>
      <c r="H192" s="1" t="s">
        <v>583</v>
      </c>
      <c r="I192" s="1">
        <v>356848.3</v>
      </c>
      <c r="J192" s="1">
        <v>144262.29999999999</v>
      </c>
      <c r="K192" s="1">
        <v>212586</v>
      </c>
      <c r="L192" s="1">
        <v>1200</v>
      </c>
      <c r="M192" s="1">
        <v>600.01</v>
      </c>
      <c r="N192" s="1">
        <v>88437.8</v>
      </c>
      <c r="O192" s="1">
        <v>128751</v>
      </c>
      <c r="P192" s="1">
        <v>217188.8</v>
      </c>
      <c r="Q192" s="1">
        <v>30536.2</v>
      </c>
      <c r="R192" s="1">
        <v>9000.2999999999993</v>
      </c>
      <c r="S192" s="1">
        <v>39536.5</v>
      </c>
      <c r="T192" s="1">
        <v>28.06</v>
      </c>
      <c r="U192" s="1">
        <v>0.56000000000000005</v>
      </c>
      <c r="V192" s="1">
        <v>8225.1</v>
      </c>
      <c r="W192" s="1">
        <v>38761.300000000003</v>
      </c>
      <c r="X192" s="1">
        <v>600.57000000000005</v>
      </c>
      <c r="Y192" s="1">
        <v>1199</v>
      </c>
      <c r="Z192" s="1">
        <v>255950.1</v>
      </c>
      <c r="AA192" s="1">
        <v>28.27</v>
      </c>
      <c r="AB192" s="1">
        <v>4000</v>
      </c>
    </row>
    <row r="193" spans="1:28" x14ac:dyDescent="0.4">
      <c r="A193" s="1" t="s">
        <v>86</v>
      </c>
      <c r="B193" s="1">
        <v>4000</v>
      </c>
      <c r="C193" s="1">
        <v>0.3</v>
      </c>
      <c r="D193" s="1">
        <v>0.5</v>
      </c>
      <c r="E193" s="1">
        <v>1000</v>
      </c>
      <c r="F193" s="1">
        <v>3</v>
      </c>
      <c r="G193" s="1">
        <v>2</v>
      </c>
      <c r="H193" s="1" t="s">
        <v>583</v>
      </c>
      <c r="I193" s="1">
        <v>328960.90000000002</v>
      </c>
      <c r="J193" s="1">
        <v>126352.7</v>
      </c>
      <c r="K193" s="1">
        <v>202608.2</v>
      </c>
      <c r="L193" s="1">
        <v>1200</v>
      </c>
      <c r="M193" s="1">
        <v>600.02</v>
      </c>
      <c r="N193" s="1">
        <v>78727.5</v>
      </c>
      <c r="O193" s="1">
        <v>120917.1</v>
      </c>
      <c r="P193" s="1">
        <v>199644.6</v>
      </c>
      <c r="Q193" s="1">
        <v>31601.1</v>
      </c>
      <c r="R193" s="1">
        <v>9567.7000000000007</v>
      </c>
      <c r="S193" s="1">
        <v>41168.800000000003</v>
      </c>
      <c r="T193" s="1">
        <v>26.8</v>
      </c>
      <c r="U193" s="1">
        <v>0.52</v>
      </c>
      <c r="V193" s="1">
        <v>8799.1</v>
      </c>
      <c r="W193" s="1">
        <v>40400.199999999997</v>
      </c>
      <c r="X193" s="1">
        <v>600.54</v>
      </c>
      <c r="Y193" s="1">
        <v>1200</v>
      </c>
      <c r="Z193" s="1">
        <v>240044.79999999999</v>
      </c>
      <c r="AA193" s="1">
        <v>27.03</v>
      </c>
      <c r="AB193" s="1">
        <v>4000</v>
      </c>
    </row>
    <row r="194" spans="1:28" x14ac:dyDescent="0.4">
      <c r="A194" s="1" t="s">
        <v>87</v>
      </c>
      <c r="B194" s="1">
        <v>4000</v>
      </c>
      <c r="C194" s="1">
        <v>0.3</v>
      </c>
      <c r="D194" s="1">
        <v>0.5</v>
      </c>
      <c r="E194" s="1">
        <v>1000</v>
      </c>
      <c r="F194" s="1">
        <v>3</v>
      </c>
      <c r="G194" s="1">
        <v>3</v>
      </c>
      <c r="H194" s="1" t="s">
        <v>583</v>
      </c>
      <c r="I194" s="1">
        <v>355550</v>
      </c>
      <c r="J194" s="1">
        <v>132273.1</v>
      </c>
      <c r="K194" s="1">
        <v>223276.9</v>
      </c>
      <c r="L194" s="1">
        <v>1200</v>
      </c>
      <c r="M194" s="1">
        <v>600.01</v>
      </c>
      <c r="N194" s="1">
        <v>82357.8</v>
      </c>
      <c r="O194" s="1">
        <v>133851.9</v>
      </c>
      <c r="P194" s="1">
        <v>216209.7</v>
      </c>
      <c r="Q194" s="1">
        <v>31191.8</v>
      </c>
      <c r="R194" s="1">
        <v>9498.9</v>
      </c>
      <c r="S194" s="1">
        <v>40690.699999999997</v>
      </c>
      <c r="T194" s="1">
        <v>27.75</v>
      </c>
      <c r="U194" s="1">
        <v>0.55000000000000004</v>
      </c>
      <c r="V194" s="1">
        <v>8603</v>
      </c>
      <c r="W194" s="1">
        <v>39794.800000000003</v>
      </c>
      <c r="X194" s="1">
        <v>600.55999999999995</v>
      </c>
      <c r="Y194" s="1">
        <v>1200</v>
      </c>
      <c r="Z194" s="1">
        <v>256004.5</v>
      </c>
      <c r="AA194" s="1">
        <v>28</v>
      </c>
      <c r="AB194" s="1">
        <v>4000</v>
      </c>
    </row>
    <row r="195" spans="1:28" x14ac:dyDescent="0.4">
      <c r="A195" s="1" t="s">
        <v>88</v>
      </c>
      <c r="B195" s="1">
        <v>4000</v>
      </c>
      <c r="C195" s="1">
        <v>0.3</v>
      </c>
      <c r="D195" s="1">
        <v>0.5</v>
      </c>
      <c r="E195" s="1">
        <v>1000</v>
      </c>
      <c r="F195" s="1">
        <v>3</v>
      </c>
      <c r="G195" s="1">
        <v>4</v>
      </c>
      <c r="H195" s="1" t="s">
        <v>583</v>
      </c>
      <c r="I195" s="1">
        <v>350010.5</v>
      </c>
      <c r="J195" s="1">
        <v>134680.70000000001</v>
      </c>
      <c r="K195" s="1">
        <v>215329.8</v>
      </c>
      <c r="L195" s="1">
        <v>1200</v>
      </c>
      <c r="M195" s="1">
        <v>600.01</v>
      </c>
      <c r="N195" s="1">
        <v>84308.5</v>
      </c>
      <c r="O195" s="1">
        <v>130183</v>
      </c>
      <c r="P195" s="1">
        <v>214491.5</v>
      </c>
      <c r="Q195" s="1">
        <v>30996.5</v>
      </c>
      <c r="R195" s="1">
        <v>9188.7000000000007</v>
      </c>
      <c r="S195" s="1">
        <v>40185.199999999997</v>
      </c>
      <c r="T195" s="1">
        <v>27.24</v>
      </c>
      <c r="U195" s="1">
        <v>0.49</v>
      </c>
      <c r="V195" s="1">
        <v>8500.2999999999993</v>
      </c>
      <c r="W195" s="1">
        <v>39496.800000000003</v>
      </c>
      <c r="X195" s="1">
        <v>600.5</v>
      </c>
      <c r="Y195" s="1">
        <v>1200</v>
      </c>
      <c r="Z195" s="1">
        <v>253988.3</v>
      </c>
      <c r="AA195" s="1">
        <v>27.43</v>
      </c>
      <c r="AB195" s="1">
        <v>4000</v>
      </c>
    </row>
    <row r="196" spans="1:28" x14ac:dyDescent="0.4">
      <c r="A196" s="1" t="s">
        <v>89</v>
      </c>
      <c r="B196" s="1">
        <v>4000</v>
      </c>
      <c r="C196" s="1">
        <v>0.3</v>
      </c>
      <c r="D196" s="1">
        <v>0.5</v>
      </c>
      <c r="E196" s="1">
        <v>1000</v>
      </c>
      <c r="F196" s="1">
        <v>3</v>
      </c>
      <c r="G196" s="1">
        <v>5</v>
      </c>
      <c r="H196" s="1" t="s">
        <v>583</v>
      </c>
      <c r="I196" s="1">
        <v>358853.9</v>
      </c>
      <c r="J196" s="1">
        <v>135489.60000000001</v>
      </c>
      <c r="K196" s="1">
        <v>223364.3</v>
      </c>
      <c r="L196" s="1">
        <v>1200</v>
      </c>
      <c r="M196" s="1">
        <v>600.03</v>
      </c>
      <c r="N196" s="1">
        <v>83279.399999999994</v>
      </c>
      <c r="O196" s="1">
        <v>135208.70000000001</v>
      </c>
      <c r="P196" s="1">
        <v>218488.1</v>
      </c>
      <c r="Q196" s="1">
        <v>31333.8</v>
      </c>
      <c r="R196" s="1">
        <v>9709.7000000000007</v>
      </c>
      <c r="S196" s="1">
        <v>41043.5</v>
      </c>
      <c r="T196" s="1">
        <v>27.68</v>
      </c>
      <c r="U196" s="1">
        <v>0.59</v>
      </c>
      <c r="V196" s="1">
        <v>8837.1</v>
      </c>
      <c r="W196" s="1">
        <v>40170.9</v>
      </c>
      <c r="X196" s="1">
        <v>600.61</v>
      </c>
      <c r="Y196" s="1">
        <v>1200</v>
      </c>
      <c r="Z196" s="1">
        <v>258659</v>
      </c>
      <c r="AA196" s="1">
        <v>27.92</v>
      </c>
      <c r="AB196" s="1">
        <v>4000</v>
      </c>
    </row>
    <row r="197" spans="1:28" x14ac:dyDescent="0.4">
      <c r="A197" s="1" t="s">
        <v>407</v>
      </c>
      <c r="B197" s="1">
        <v>4000</v>
      </c>
      <c r="C197" s="1">
        <v>0.3</v>
      </c>
      <c r="D197" s="1">
        <v>0.5</v>
      </c>
      <c r="E197" s="1">
        <v>2000</v>
      </c>
      <c r="F197" s="1">
        <v>1</v>
      </c>
      <c r="G197" s="1">
        <v>1</v>
      </c>
      <c r="H197" s="1" t="s">
        <v>583</v>
      </c>
      <c r="I197" s="1">
        <v>348568.8</v>
      </c>
      <c r="J197" s="1">
        <v>140450.6</v>
      </c>
      <c r="K197" s="1">
        <v>208118.2</v>
      </c>
      <c r="L197" s="1">
        <v>1200</v>
      </c>
      <c r="M197" s="1">
        <v>600.01</v>
      </c>
      <c r="N197" s="1">
        <v>87872.6</v>
      </c>
      <c r="O197" s="1">
        <v>126732.7</v>
      </c>
      <c r="P197" s="1">
        <v>214605.3</v>
      </c>
      <c r="Q197" s="1">
        <v>34362.400000000001</v>
      </c>
      <c r="R197" s="1">
        <v>12227.4</v>
      </c>
      <c r="S197" s="1">
        <v>46589.8</v>
      </c>
      <c r="T197" s="1">
        <v>25.07</v>
      </c>
      <c r="U197" s="1">
        <v>0.3</v>
      </c>
      <c r="V197" s="1">
        <v>12066.7</v>
      </c>
      <c r="W197" s="1">
        <v>46429.1</v>
      </c>
      <c r="X197" s="1">
        <v>600.30999999999995</v>
      </c>
      <c r="Y197" s="1">
        <v>1200</v>
      </c>
      <c r="Z197" s="1">
        <v>261034.4</v>
      </c>
      <c r="AA197" s="1">
        <v>25.11</v>
      </c>
      <c r="AB197" s="1">
        <v>4000</v>
      </c>
    </row>
    <row r="198" spans="1:28" x14ac:dyDescent="0.4">
      <c r="A198" s="1" t="s">
        <v>408</v>
      </c>
      <c r="B198" s="1">
        <v>4000</v>
      </c>
      <c r="C198" s="1">
        <v>0.3</v>
      </c>
      <c r="D198" s="1">
        <v>0.5</v>
      </c>
      <c r="E198" s="1">
        <v>2000</v>
      </c>
      <c r="F198" s="1">
        <v>1</v>
      </c>
      <c r="G198" s="1">
        <v>2</v>
      </c>
      <c r="H198" s="1" t="s">
        <v>583</v>
      </c>
      <c r="I198" s="1">
        <v>356227.2</v>
      </c>
      <c r="J198" s="1">
        <v>144468.4</v>
      </c>
      <c r="K198" s="1">
        <v>211758.8</v>
      </c>
      <c r="L198" s="1">
        <v>1200</v>
      </c>
      <c r="M198" s="1">
        <v>600.01</v>
      </c>
      <c r="N198" s="1">
        <v>89001.1</v>
      </c>
      <c r="O198" s="1">
        <v>129246.5</v>
      </c>
      <c r="P198" s="1">
        <v>218247.6</v>
      </c>
      <c r="Q198" s="1">
        <v>34011.199999999997</v>
      </c>
      <c r="R198" s="1">
        <v>12266.2</v>
      </c>
      <c r="S198" s="1">
        <v>46277.4</v>
      </c>
      <c r="T198" s="1">
        <v>25.74</v>
      </c>
      <c r="U198" s="1">
        <v>0.38</v>
      </c>
      <c r="V198" s="1">
        <v>11886.6</v>
      </c>
      <c r="W198" s="1">
        <v>45897.8</v>
      </c>
      <c r="X198" s="1">
        <v>600.39</v>
      </c>
      <c r="Y198" s="1">
        <v>1200</v>
      </c>
      <c r="Z198" s="1">
        <v>264145.40000000002</v>
      </c>
      <c r="AA198" s="1">
        <v>25.85</v>
      </c>
      <c r="AB198" s="1">
        <v>4000</v>
      </c>
    </row>
    <row r="199" spans="1:28" x14ac:dyDescent="0.4">
      <c r="A199" s="1" t="s">
        <v>409</v>
      </c>
      <c r="B199" s="1">
        <v>4000</v>
      </c>
      <c r="C199" s="1">
        <v>0.3</v>
      </c>
      <c r="D199" s="1">
        <v>0.5</v>
      </c>
      <c r="E199" s="1">
        <v>2000</v>
      </c>
      <c r="F199" s="1">
        <v>1</v>
      </c>
      <c r="G199" s="1">
        <v>3</v>
      </c>
      <c r="H199" s="1" t="s">
        <v>583</v>
      </c>
      <c r="I199" s="1">
        <v>352439.3</v>
      </c>
      <c r="J199" s="1">
        <v>140867.20000000001</v>
      </c>
      <c r="K199" s="1">
        <v>211572.1</v>
      </c>
      <c r="L199" s="1">
        <v>1200</v>
      </c>
      <c r="M199" s="1">
        <v>600.01</v>
      </c>
      <c r="N199" s="1">
        <v>85804.800000000003</v>
      </c>
      <c r="O199" s="1">
        <v>128769.5</v>
      </c>
      <c r="P199" s="1">
        <v>214574.3</v>
      </c>
      <c r="Q199" s="1">
        <v>34414.699999999997</v>
      </c>
      <c r="R199" s="1">
        <v>12014</v>
      </c>
      <c r="S199" s="1">
        <v>46428.7</v>
      </c>
      <c r="T199" s="1">
        <v>25.94</v>
      </c>
      <c r="U199" s="1">
        <v>0.33</v>
      </c>
      <c r="V199" s="1">
        <v>11860.4</v>
      </c>
      <c r="W199" s="1">
        <v>46275.1</v>
      </c>
      <c r="X199" s="1">
        <v>600.34</v>
      </c>
      <c r="Y199" s="1">
        <v>1200</v>
      </c>
      <c r="Z199" s="1">
        <v>260849.4</v>
      </c>
      <c r="AA199" s="1">
        <v>25.99</v>
      </c>
      <c r="AB199" s="1">
        <v>4000</v>
      </c>
    </row>
    <row r="200" spans="1:28" x14ac:dyDescent="0.4">
      <c r="A200" s="1" t="s">
        <v>410</v>
      </c>
      <c r="B200" s="1">
        <v>4000</v>
      </c>
      <c r="C200" s="1">
        <v>0.3</v>
      </c>
      <c r="D200" s="1">
        <v>0.5</v>
      </c>
      <c r="E200" s="1">
        <v>2000</v>
      </c>
      <c r="F200" s="1">
        <v>1</v>
      </c>
      <c r="G200" s="1">
        <v>4</v>
      </c>
      <c r="H200" s="1" t="s">
        <v>583</v>
      </c>
      <c r="I200" s="1">
        <v>362583.2</v>
      </c>
      <c r="J200" s="1">
        <v>147633</v>
      </c>
      <c r="K200" s="1">
        <v>214950.2</v>
      </c>
      <c r="L200" s="1">
        <v>1200</v>
      </c>
      <c r="M200" s="1">
        <v>600.02</v>
      </c>
      <c r="N200" s="1">
        <v>89850.2</v>
      </c>
      <c r="O200" s="1">
        <v>131632.6</v>
      </c>
      <c r="P200" s="1">
        <v>221482.8</v>
      </c>
      <c r="Q200" s="1">
        <v>33506.199999999997</v>
      </c>
      <c r="R200" s="1">
        <v>11754</v>
      </c>
      <c r="S200" s="1">
        <v>45260.2</v>
      </c>
      <c r="T200" s="1">
        <v>26.43</v>
      </c>
      <c r="U200" s="1">
        <v>0.34</v>
      </c>
      <c r="V200" s="1">
        <v>11507</v>
      </c>
      <c r="W200" s="1">
        <v>45013.2</v>
      </c>
      <c r="X200" s="1">
        <v>600.36</v>
      </c>
      <c r="Y200" s="1">
        <v>1200</v>
      </c>
      <c r="Z200" s="1">
        <v>266496</v>
      </c>
      <c r="AA200" s="1">
        <v>26.5</v>
      </c>
      <c r="AB200" s="1">
        <v>4000</v>
      </c>
    </row>
    <row r="201" spans="1:28" x14ac:dyDescent="0.4">
      <c r="A201" s="1" t="s">
        <v>411</v>
      </c>
      <c r="B201" s="1">
        <v>4000</v>
      </c>
      <c r="C201" s="1">
        <v>0.3</v>
      </c>
      <c r="D201" s="1">
        <v>0.5</v>
      </c>
      <c r="E201" s="1">
        <v>2000</v>
      </c>
      <c r="F201" s="1">
        <v>1</v>
      </c>
      <c r="G201" s="1">
        <v>5</v>
      </c>
      <c r="H201" s="1" t="s">
        <v>583</v>
      </c>
      <c r="I201" s="1">
        <v>357055</v>
      </c>
      <c r="J201" s="1">
        <v>142400.4</v>
      </c>
      <c r="K201" s="1">
        <v>214654.6</v>
      </c>
      <c r="L201" s="1">
        <v>1200</v>
      </c>
      <c r="M201" s="1">
        <v>600.01</v>
      </c>
      <c r="N201" s="1">
        <v>88452.7</v>
      </c>
      <c r="O201" s="1">
        <v>134561</v>
      </c>
      <c r="P201" s="1">
        <v>223013.7</v>
      </c>
      <c r="Q201" s="1">
        <v>33701.699999999997</v>
      </c>
      <c r="R201" s="1">
        <v>12263.4</v>
      </c>
      <c r="S201" s="1">
        <v>45965.1</v>
      </c>
      <c r="T201" s="1">
        <v>24.67</v>
      </c>
      <c r="U201" s="1">
        <v>0.41</v>
      </c>
      <c r="V201" s="1">
        <v>11957.9</v>
      </c>
      <c r="W201" s="1">
        <v>45659.6</v>
      </c>
      <c r="X201" s="1">
        <v>600.41999999999996</v>
      </c>
      <c r="Y201" s="1">
        <v>1199</v>
      </c>
      <c r="Z201" s="1">
        <v>268673.3</v>
      </c>
      <c r="AA201" s="1">
        <v>24.75</v>
      </c>
      <c r="AB201" s="1">
        <v>4000</v>
      </c>
    </row>
    <row r="202" spans="1:28" x14ac:dyDescent="0.4">
      <c r="A202" s="1" t="s">
        <v>412</v>
      </c>
      <c r="B202" s="1">
        <v>4000</v>
      </c>
      <c r="C202" s="1">
        <v>0.3</v>
      </c>
      <c r="D202" s="1">
        <v>0.5</v>
      </c>
      <c r="E202" s="1">
        <v>2000</v>
      </c>
      <c r="F202" s="1">
        <v>2</v>
      </c>
      <c r="G202" s="1">
        <v>1</v>
      </c>
      <c r="H202" s="1" t="s">
        <v>583</v>
      </c>
      <c r="I202" s="1">
        <v>525680.9</v>
      </c>
      <c r="J202" s="1">
        <v>196095.8</v>
      </c>
      <c r="K202" s="1">
        <v>329585.09999999998</v>
      </c>
      <c r="L202" s="1">
        <v>1200</v>
      </c>
      <c r="M202" s="1">
        <v>600.01</v>
      </c>
      <c r="N202" s="1">
        <v>130126.5</v>
      </c>
      <c r="O202" s="1">
        <v>210961.5</v>
      </c>
      <c r="P202" s="1">
        <v>341088</v>
      </c>
      <c r="Q202" s="1">
        <v>31830.1</v>
      </c>
      <c r="R202" s="1">
        <v>11091.1</v>
      </c>
      <c r="S202" s="1">
        <v>42921.2</v>
      </c>
      <c r="T202" s="1">
        <v>26.95</v>
      </c>
      <c r="U202" s="1">
        <v>0.5</v>
      </c>
      <c r="V202" s="1">
        <v>10324.200000000001</v>
      </c>
      <c r="W202" s="1">
        <v>42154.3</v>
      </c>
      <c r="X202" s="1">
        <v>600.51</v>
      </c>
      <c r="Y202" s="1">
        <v>1200</v>
      </c>
      <c r="Z202" s="1">
        <v>383242.3</v>
      </c>
      <c r="AA202" s="1">
        <v>27.1</v>
      </c>
      <c r="AB202" s="1">
        <v>4000</v>
      </c>
    </row>
    <row r="203" spans="1:28" x14ac:dyDescent="0.4">
      <c r="A203" s="1" t="s">
        <v>413</v>
      </c>
      <c r="B203" s="1">
        <v>4000</v>
      </c>
      <c r="C203" s="1">
        <v>0.3</v>
      </c>
      <c r="D203" s="1">
        <v>0.5</v>
      </c>
      <c r="E203" s="1">
        <v>2000</v>
      </c>
      <c r="F203" s="1">
        <v>2</v>
      </c>
      <c r="G203" s="1">
        <v>2</v>
      </c>
      <c r="H203" s="1" t="s">
        <v>583</v>
      </c>
      <c r="I203" s="1">
        <v>542626.4</v>
      </c>
      <c r="J203" s="1">
        <v>209886.9</v>
      </c>
      <c r="K203" s="1">
        <v>332739.5</v>
      </c>
      <c r="L203" s="1">
        <v>1200</v>
      </c>
      <c r="M203" s="1">
        <v>600.02</v>
      </c>
      <c r="N203" s="1">
        <v>136085</v>
      </c>
      <c r="O203" s="1">
        <v>211338.6</v>
      </c>
      <c r="P203" s="1">
        <v>347423.6</v>
      </c>
      <c r="Q203" s="1">
        <v>32694.3</v>
      </c>
      <c r="R203" s="1">
        <v>11563</v>
      </c>
      <c r="S203" s="1">
        <v>44257.3</v>
      </c>
      <c r="T203" s="1">
        <v>27.82</v>
      </c>
      <c r="U203" s="1">
        <v>0.44</v>
      </c>
      <c r="V203" s="1">
        <v>10829.7</v>
      </c>
      <c r="W203" s="1">
        <v>43524</v>
      </c>
      <c r="X203" s="1">
        <v>600.45000000000005</v>
      </c>
      <c r="Y203" s="1">
        <v>1200</v>
      </c>
      <c r="Z203" s="1">
        <v>390947.6</v>
      </c>
      <c r="AA203" s="1">
        <v>27.95</v>
      </c>
      <c r="AB203" s="1">
        <v>4000</v>
      </c>
    </row>
    <row r="204" spans="1:28" x14ac:dyDescent="0.4">
      <c r="A204" s="1" t="s">
        <v>414</v>
      </c>
      <c r="B204" s="1">
        <v>4000</v>
      </c>
      <c r="C204" s="1">
        <v>0.3</v>
      </c>
      <c r="D204" s="1">
        <v>0.5</v>
      </c>
      <c r="E204" s="1">
        <v>2000</v>
      </c>
      <c r="F204" s="1">
        <v>2</v>
      </c>
      <c r="G204" s="1">
        <v>3</v>
      </c>
      <c r="H204" s="1" t="s">
        <v>583</v>
      </c>
      <c r="I204" s="1">
        <v>535601.9</v>
      </c>
      <c r="J204" s="1">
        <v>206774.8</v>
      </c>
      <c r="K204" s="1">
        <v>328827.09999999998</v>
      </c>
      <c r="L204" s="1">
        <v>1200</v>
      </c>
      <c r="M204" s="1">
        <v>600.02</v>
      </c>
      <c r="N204" s="1">
        <v>135294</v>
      </c>
      <c r="O204" s="1">
        <v>205911</v>
      </c>
      <c r="P204" s="1">
        <v>341205</v>
      </c>
      <c r="Q204" s="1">
        <v>33004.300000000003</v>
      </c>
      <c r="R204" s="1">
        <v>11991.1</v>
      </c>
      <c r="S204" s="1">
        <v>44995.4</v>
      </c>
      <c r="T204" s="1">
        <v>27.89</v>
      </c>
      <c r="U204" s="1">
        <v>0.49</v>
      </c>
      <c r="V204" s="1">
        <v>11131.2</v>
      </c>
      <c r="W204" s="1">
        <v>44135.5</v>
      </c>
      <c r="X204" s="1">
        <v>600.51</v>
      </c>
      <c r="Y204" s="1">
        <v>1200</v>
      </c>
      <c r="Z204" s="1">
        <v>385340.5</v>
      </c>
      <c r="AA204" s="1">
        <v>28.05</v>
      </c>
      <c r="AB204" s="1">
        <v>4000</v>
      </c>
    </row>
    <row r="205" spans="1:28" x14ac:dyDescent="0.4">
      <c r="A205" s="1" t="s">
        <v>415</v>
      </c>
      <c r="B205" s="1">
        <v>4000</v>
      </c>
      <c r="C205" s="1">
        <v>0.3</v>
      </c>
      <c r="D205" s="1">
        <v>0.5</v>
      </c>
      <c r="E205" s="1">
        <v>2000</v>
      </c>
      <c r="F205" s="1">
        <v>2</v>
      </c>
      <c r="G205" s="1">
        <v>4</v>
      </c>
      <c r="H205" s="1" t="s">
        <v>583</v>
      </c>
      <c r="I205" s="1">
        <v>546869.19999999995</v>
      </c>
      <c r="J205" s="1">
        <v>217164.2</v>
      </c>
      <c r="K205" s="1">
        <v>329705</v>
      </c>
      <c r="L205" s="1">
        <v>1200</v>
      </c>
      <c r="M205" s="1">
        <v>600.04999999999995</v>
      </c>
      <c r="N205" s="1">
        <v>140068.4</v>
      </c>
      <c r="O205" s="1">
        <v>207035.7</v>
      </c>
      <c r="P205" s="1">
        <v>347104.1</v>
      </c>
      <c r="Q205" s="1">
        <v>32571.200000000001</v>
      </c>
      <c r="R205" s="1">
        <v>11160.7</v>
      </c>
      <c r="S205" s="1">
        <v>43731.9</v>
      </c>
      <c r="T205" s="1">
        <v>28.53</v>
      </c>
      <c r="U205" s="1">
        <v>0.46</v>
      </c>
      <c r="V205" s="1">
        <v>10462.6</v>
      </c>
      <c r="W205" s="1">
        <v>43033.8</v>
      </c>
      <c r="X205" s="1">
        <v>600.51</v>
      </c>
      <c r="Y205" s="1">
        <v>1199</v>
      </c>
      <c r="Z205" s="1">
        <v>390137.9</v>
      </c>
      <c r="AA205" s="1">
        <v>28.66</v>
      </c>
      <c r="AB205" s="1">
        <v>4000</v>
      </c>
    </row>
    <row r="206" spans="1:28" x14ac:dyDescent="0.4">
      <c r="A206" s="1" t="s">
        <v>416</v>
      </c>
      <c r="B206" s="1">
        <v>4000</v>
      </c>
      <c r="C206" s="1">
        <v>0.3</v>
      </c>
      <c r="D206" s="1">
        <v>0.5</v>
      </c>
      <c r="E206" s="1">
        <v>2000</v>
      </c>
      <c r="F206" s="1">
        <v>2</v>
      </c>
      <c r="G206" s="1">
        <v>5</v>
      </c>
      <c r="H206" s="1" t="s">
        <v>583</v>
      </c>
      <c r="I206" s="1">
        <v>529483.30000000005</v>
      </c>
      <c r="J206" s="1">
        <v>205231.3</v>
      </c>
      <c r="K206" s="1">
        <v>324252</v>
      </c>
      <c r="L206" s="1">
        <v>1200</v>
      </c>
      <c r="M206" s="1">
        <v>600.03</v>
      </c>
      <c r="N206" s="1">
        <v>133094.39999999999</v>
      </c>
      <c r="O206" s="1">
        <v>206098.3</v>
      </c>
      <c r="P206" s="1">
        <v>339192.7</v>
      </c>
      <c r="Q206" s="1">
        <v>33030.699999999997</v>
      </c>
      <c r="R206" s="1">
        <v>12884</v>
      </c>
      <c r="S206" s="1">
        <v>45914.7</v>
      </c>
      <c r="T206" s="1">
        <v>27.27</v>
      </c>
      <c r="U206" s="1">
        <v>0.56999999999999995</v>
      </c>
      <c r="V206" s="1">
        <v>12079.5</v>
      </c>
      <c r="W206" s="1">
        <v>45110.2</v>
      </c>
      <c r="X206" s="1">
        <v>600.61</v>
      </c>
      <c r="Y206" s="1">
        <v>1200</v>
      </c>
      <c r="Z206" s="1">
        <v>384302.9</v>
      </c>
      <c r="AA206" s="1">
        <v>27.42</v>
      </c>
      <c r="AB206" s="1">
        <v>4000</v>
      </c>
    </row>
    <row r="207" spans="1:28" x14ac:dyDescent="0.4">
      <c r="A207" s="1" t="s">
        <v>417</v>
      </c>
      <c r="B207" s="1">
        <v>4000</v>
      </c>
      <c r="C207" s="1">
        <v>0.3</v>
      </c>
      <c r="D207" s="1">
        <v>0.5</v>
      </c>
      <c r="E207" s="1">
        <v>2000</v>
      </c>
      <c r="F207" s="1">
        <v>3</v>
      </c>
      <c r="G207" s="1">
        <v>1</v>
      </c>
      <c r="H207" s="1" t="s">
        <v>583</v>
      </c>
      <c r="I207" s="1">
        <v>681195.9</v>
      </c>
      <c r="J207" s="1">
        <v>262008.1</v>
      </c>
      <c r="K207" s="1">
        <v>419187.8</v>
      </c>
      <c r="L207" s="1">
        <v>1200</v>
      </c>
      <c r="M207" s="1">
        <v>600</v>
      </c>
      <c r="N207" s="1">
        <v>171625.3</v>
      </c>
      <c r="O207" s="1">
        <v>271280</v>
      </c>
      <c r="P207" s="1">
        <v>442905.3</v>
      </c>
      <c r="Q207" s="1">
        <v>32381.200000000001</v>
      </c>
      <c r="R207" s="1">
        <v>10191.799999999999</v>
      </c>
      <c r="S207" s="1">
        <v>42573</v>
      </c>
      <c r="T207" s="1">
        <v>28.73</v>
      </c>
      <c r="U207" s="1">
        <v>0.55000000000000004</v>
      </c>
      <c r="V207" s="1">
        <v>9237</v>
      </c>
      <c r="W207" s="1">
        <v>41618.199999999997</v>
      </c>
      <c r="X207" s="1">
        <v>600.54999999999995</v>
      </c>
      <c r="Y207" s="1">
        <v>1200</v>
      </c>
      <c r="Z207" s="1">
        <v>484523.5</v>
      </c>
      <c r="AA207" s="1">
        <v>28.87</v>
      </c>
      <c r="AB207" s="1">
        <v>4000</v>
      </c>
    </row>
    <row r="208" spans="1:28" x14ac:dyDescent="0.4">
      <c r="A208" s="1" t="s">
        <v>418</v>
      </c>
      <c r="B208" s="1">
        <v>4000</v>
      </c>
      <c r="C208" s="1">
        <v>0.3</v>
      </c>
      <c r="D208" s="1">
        <v>0.5</v>
      </c>
      <c r="E208" s="1">
        <v>2000</v>
      </c>
      <c r="F208" s="1">
        <v>3</v>
      </c>
      <c r="G208" s="1">
        <v>2</v>
      </c>
      <c r="H208" s="1" t="s">
        <v>583</v>
      </c>
      <c r="I208" s="1">
        <v>688634.5</v>
      </c>
      <c r="J208" s="1">
        <v>263569.40000000002</v>
      </c>
      <c r="K208" s="1">
        <v>425065.1</v>
      </c>
      <c r="L208" s="1">
        <v>1200</v>
      </c>
      <c r="M208" s="1">
        <v>600.07000000000005</v>
      </c>
      <c r="N208" s="1">
        <v>172278.5</v>
      </c>
      <c r="O208" s="1">
        <v>273707.8</v>
      </c>
      <c r="P208" s="1">
        <v>445986.3</v>
      </c>
      <c r="Q208" s="1">
        <v>32315.599999999999</v>
      </c>
      <c r="R208" s="1">
        <v>10881.3</v>
      </c>
      <c r="S208" s="1">
        <v>43196.9</v>
      </c>
      <c r="T208" s="1">
        <v>28.96</v>
      </c>
      <c r="U208" s="1">
        <v>0.53</v>
      </c>
      <c r="V208" s="1">
        <v>10007.700000000001</v>
      </c>
      <c r="W208" s="1">
        <v>42323.3</v>
      </c>
      <c r="X208" s="1">
        <v>600.59</v>
      </c>
      <c r="Y208" s="1">
        <v>1200</v>
      </c>
      <c r="Z208" s="1">
        <v>488309.6</v>
      </c>
      <c r="AA208" s="1">
        <v>29.09</v>
      </c>
      <c r="AB208" s="1">
        <v>4000</v>
      </c>
    </row>
    <row r="209" spans="1:28" x14ac:dyDescent="0.4">
      <c r="A209" s="1" t="s">
        <v>419</v>
      </c>
      <c r="B209" s="1">
        <v>4000</v>
      </c>
      <c r="C209" s="1">
        <v>0.3</v>
      </c>
      <c r="D209" s="1">
        <v>0.5</v>
      </c>
      <c r="E209" s="1">
        <v>2000</v>
      </c>
      <c r="F209" s="1">
        <v>3</v>
      </c>
      <c r="G209" s="1">
        <v>3</v>
      </c>
      <c r="H209" s="1" t="s">
        <v>583</v>
      </c>
      <c r="I209" s="1">
        <v>673599.6</v>
      </c>
      <c r="J209" s="1">
        <v>251402.1</v>
      </c>
      <c r="K209" s="1">
        <v>422197.5</v>
      </c>
      <c r="L209" s="1">
        <v>1200</v>
      </c>
      <c r="M209" s="1">
        <v>600.02</v>
      </c>
      <c r="N209" s="1">
        <v>166280.5</v>
      </c>
      <c r="O209" s="1">
        <v>272451.7</v>
      </c>
      <c r="P209" s="1">
        <v>438732.2</v>
      </c>
      <c r="Q209" s="1">
        <v>31516.1</v>
      </c>
      <c r="R209" s="1">
        <v>11228.3</v>
      </c>
      <c r="S209" s="1">
        <v>42744.4</v>
      </c>
      <c r="T209" s="1">
        <v>28.52</v>
      </c>
      <c r="U209" s="1">
        <v>0.55000000000000004</v>
      </c>
      <c r="V209" s="1">
        <v>10228.1</v>
      </c>
      <c r="W209" s="1">
        <v>41744.199999999997</v>
      </c>
      <c r="X209" s="1">
        <v>600.57000000000005</v>
      </c>
      <c r="Y209" s="1">
        <v>1200</v>
      </c>
      <c r="Z209" s="1">
        <v>480476.4</v>
      </c>
      <c r="AA209" s="1">
        <v>28.67</v>
      </c>
      <c r="AB209" s="1">
        <v>4000</v>
      </c>
    </row>
    <row r="210" spans="1:28" x14ac:dyDescent="0.4">
      <c r="A210" s="1" t="s">
        <v>420</v>
      </c>
      <c r="B210" s="1">
        <v>4000</v>
      </c>
      <c r="C210" s="1">
        <v>0.3</v>
      </c>
      <c r="D210" s="1">
        <v>0.5</v>
      </c>
      <c r="E210" s="1">
        <v>2000</v>
      </c>
      <c r="F210" s="1">
        <v>3</v>
      </c>
      <c r="G210" s="1">
        <v>4</v>
      </c>
      <c r="H210" s="1" t="s">
        <v>583</v>
      </c>
      <c r="I210" s="1">
        <v>674112.8</v>
      </c>
      <c r="J210" s="1">
        <v>259348.7</v>
      </c>
      <c r="K210" s="1">
        <v>414764.1</v>
      </c>
      <c r="L210" s="1">
        <v>1200</v>
      </c>
      <c r="M210" s="1">
        <v>600.03</v>
      </c>
      <c r="N210" s="1">
        <v>172914.6</v>
      </c>
      <c r="O210" s="1">
        <v>269278.5</v>
      </c>
      <c r="P210" s="1">
        <v>442193.1</v>
      </c>
      <c r="Q210" s="1">
        <v>31164.3</v>
      </c>
      <c r="R210" s="1">
        <v>10311.299999999999</v>
      </c>
      <c r="S210" s="1">
        <v>41475.599999999999</v>
      </c>
      <c r="T210" s="1">
        <v>28.25</v>
      </c>
      <c r="U210" s="1">
        <v>0.49</v>
      </c>
      <c r="V210" s="1">
        <v>9452.7000000000007</v>
      </c>
      <c r="W210" s="1">
        <v>40617</v>
      </c>
      <c r="X210" s="1">
        <v>600.52</v>
      </c>
      <c r="Y210" s="1">
        <v>1200</v>
      </c>
      <c r="Z210" s="1">
        <v>482810.1</v>
      </c>
      <c r="AA210" s="1">
        <v>28.38</v>
      </c>
      <c r="AB210" s="1">
        <v>4000</v>
      </c>
    </row>
    <row r="211" spans="1:28" x14ac:dyDescent="0.4">
      <c r="A211" s="1" t="s">
        <v>421</v>
      </c>
      <c r="B211" s="1">
        <v>4000</v>
      </c>
      <c r="C211" s="1">
        <v>0.3</v>
      </c>
      <c r="D211" s="1">
        <v>0.5</v>
      </c>
      <c r="E211" s="1">
        <v>2000</v>
      </c>
      <c r="F211" s="1">
        <v>3</v>
      </c>
      <c r="G211" s="1">
        <v>5</v>
      </c>
      <c r="H211" s="1" t="s">
        <v>583</v>
      </c>
      <c r="I211" s="1">
        <v>700049.7</v>
      </c>
      <c r="J211" s="1">
        <v>267738.7</v>
      </c>
      <c r="K211" s="1">
        <v>432311</v>
      </c>
      <c r="L211" s="1">
        <v>1200</v>
      </c>
      <c r="M211" s="1">
        <v>600</v>
      </c>
      <c r="N211" s="1">
        <v>174487.4</v>
      </c>
      <c r="O211" s="1">
        <v>275853.2</v>
      </c>
      <c r="P211" s="1">
        <v>450340.6</v>
      </c>
      <c r="Q211" s="1">
        <v>32008.7</v>
      </c>
      <c r="R211" s="1">
        <v>10542.4</v>
      </c>
      <c r="S211" s="1">
        <v>42551.1</v>
      </c>
      <c r="T211" s="1">
        <v>29.59</v>
      </c>
      <c r="U211" s="1">
        <v>0.52</v>
      </c>
      <c r="V211" s="1">
        <v>9391.4</v>
      </c>
      <c r="W211" s="1">
        <v>41400.1</v>
      </c>
      <c r="X211" s="1">
        <v>600.52</v>
      </c>
      <c r="Y211" s="1">
        <v>1200</v>
      </c>
      <c r="Z211" s="1">
        <v>491740.7</v>
      </c>
      <c r="AA211" s="1">
        <v>29.76</v>
      </c>
      <c r="AB211" s="1">
        <v>4000</v>
      </c>
    </row>
    <row r="212" spans="1:28" x14ac:dyDescent="0.4">
      <c r="A212" s="1" t="s">
        <v>422</v>
      </c>
      <c r="B212" s="1">
        <v>4000</v>
      </c>
      <c r="C212" s="1">
        <v>0.3</v>
      </c>
      <c r="D212" s="1">
        <v>0.5</v>
      </c>
      <c r="E212" s="1">
        <v>500</v>
      </c>
      <c r="F212" s="1">
        <v>1</v>
      </c>
      <c r="G212" s="1">
        <v>1</v>
      </c>
      <c r="H212" s="1" t="s">
        <v>583</v>
      </c>
      <c r="I212" s="1">
        <v>86158.9</v>
      </c>
      <c r="J212" s="1">
        <v>35109.800000000003</v>
      </c>
      <c r="K212" s="1">
        <v>51049.1</v>
      </c>
      <c r="L212" s="1">
        <v>1200</v>
      </c>
      <c r="M212" s="1">
        <v>600.02</v>
      </c>
      <c r="N212" s="1">
        <v>17060.2</v>
      </c>
      <c r="O212" s="1">
        <v>25689.5</v>
      </c>
      <c r="P212" s="1">
        <v>42749.7</v>
      </c>
      <c r="Q212" s="1">
        <v>28374</v>
      </c>
      <c r="R212" s="1">
        <v>5779.5</v>
      </c>
      <c r="S212" s="1">
        <v>34153.5</v>
      </c>
      <c r="T212" s="1">
        <v>10.74</v>
      </c>
      <c r="U212" s="1">
        <v>0.2</v>
      </c>
      <c r="V212" s="1">
        <v>5557.8</v>
      </c>
      <c r="W212" s="1">
        <v>33931.800000000003</v>
      </c>
      <c r="X212" s="1">
        <v>600.22</v>
      </c>
      <c r="Y212" s="1">
        <v>1200</v>
      </c>
      <c r="Z212" s="1">
        <v>76681.5</v>
      </c>
      <c r="AA212" s="1">
        <v>11</v>
      </c>
      <c r="AB212" s="1">
        <v>4000</v>
      </c>
    </row>
    <row r="213" spans="1:28" x14ac:dyDescent="0.4">
      <c r="A213" s="1" t="s">
        <v>423</v>
      </c>
      <c r="B213" s="1">
        <v>4000</v>
      </c>
      <c r="C213" s="1">
        <v>0.3</v>
      </c>
      <c r="D213" s="1">
        <v>0.5</v>
      </c>
      <c r="E213" s="1">
        <v>500</v>
      </c>
      <c r="F213" s="1">
        <v>1</v>
      </c>
      <c r="G213" s="1">
        <v>2</v>
      </c>
      <c r="H213" s="1" t="s">
        <v>583</v>
      </c>
      <c r="I213" s="1">
        <v>87235.199999999997</v>
      </c>
      <c r="J213" s="1">
        <v>35765.300000000003</v>
      </c>
      <c r="K213" s="1">
        <v>51469.9</v>
      </c>
      <c r="L213" s="1">
        <v>1200</v>
      </c>
      <c r="M213" s="1">
        <v>600</v>
      </c>
      <c r="N213" s="1">
        <v>17231.599999999999</v>
      </c>
      <c r="O213" s="1">
        <v>26065.9</v>
      </c>
      <c r="P213" s="1">
        <v>43297.5</v>
      </c>
      <c r="Q213" s="1">
        <v>28428.1</v>
      </c>
      <c r="R213" s="1">
        <v>6411</v>
      </c>
      <c r="S213" s="1">
        <v>34839.1</v>
      </c>
      <c r="T213" s="1">
        <v>10.43</v>
      </c>
      <c r="U213" s="1">
        <v>0.2</v>
      </c>
      <c r="V213" s="1">
        <v>6145.5</v>
      </c>
      <c r="W213" s="1">
        <v>34573.599999999999</v>
      </c>
      <c r="X213" s="1">
        <v>600.21</v>
      </c>
      <c r="Y213" s="1">
        <v>1200</v>
      </c>
      <c r="Z213" s="1">
        <v>77871.100000000006</v>
      </c>
      <c r="AA213" s="1">
        <v>10.73</v>
      </c>
      <c r="AB213" s="1">
        <v>4000</v>
      </c>
    </row>
    <row r="214" spans="1:28" x14ac:dyDescent="0.4">
      <c r="A214" s="1" t="s">
        <v>424</v>
      </c>
      <c r="B214" s="1">
        <v>4000</v>
      </c>
      <c r="C214" s="1">
        <v>0.3</v>
      </c>
      <c r="D214" s="1">
        <v>0.5</v>
      </c>
      <c r="E214" s="1">
        <v>500</v>
      </c>
      <c r="F214" s="1">
        <v>1</v>
      </c>
      <c r="G214" s="1">
        <v>3</v>
      </c>
      <c r="H214" s="1" t="s">
        <v>583</v>
      </c>
      <c r="I214" s="1">
        <v>87209.7</v>
      </c>
      <c r="J214" s="1">
        <v>35411.300000000003</v>
      </c>
      <c r="K214" s="1">
        <v>51798.400000000001</v>
      </c>
      <c r="L214" s="1">
        <v>1200</v>
      </c>
      <c r="M214" s="1">
        <v>600.01</v>
      </c>
      <c r="N214" s="1">
        <v>16661.7</v>
      </c>
      <c r="O214" s="1">
        <v>25831.8</v>
      </c>
      <c r="P214" s="1">
        <v>42493.5</v>
      </c>
      <c r="Q214" s="1">
        <v>28456.5</v>
      </c>
      <c r="R214" s="1">
        <v>6197.4</v>
      </c>
      <c r="S214" s="1">
        <v>34653.9</v>
      </c>
      <c r="T214" s="1">
        <v>11.54</v>
      </c>
      <c r="U214" s="1">
        <v>0.21</v>
      </c>
      <c r="V214" s="1">
        <v>5943.9</v>
      </c>
      <c r="W214" s="1">
        <v>34400.400000000001</v>
      </c>
      <c r="X214" s="1">
        <v>600.22</v>
      </c>
      <c r="Y214" s="1">
        <v>1200</v>
      </c>
      <c r="Z214" s="1">
        <v>76893.899999999994</v>
      </c>
      <c r="AA214" s="1">
        <v>11.83</v>
      </c>
      <c r="AB214" s="1">
        <v>4000</v>
      </c>
    </row>
    <row r="215" spans="1:28" x14ac:dyDescent="0.4">
      <c r="A215" s="1" t="s">
        <v>425</v>
      </c>
      <c r="B215" s="1">
        <v>4000</v>
      </c>
      <c r="C215" s="1">
        <v>0.3</v>
      </c>
      <c r="D215" s="1">
        <v>0.5</v>
      </c>
      <c r="E215" s="1">
        <v>500</v>
      </c>
      <c r="F215" s="1">
        <v>1</v>
      </c>
      <c r="G215" s="1">
        <v>4</v>
      </c>
      <c r="H215" s="1" t="s">
        <v>583</v>
      </c>
      <c r="I215" s="1">
        <v>89293</v>
      </c>
      <c r="J215" s="1">
        <v>36025.699999999997</v>
      </c>
      <c r="K215" s="1">
        <v>53267.3</v>
      </c>
      <c r="L215" s="1">
        <v>1200</v>
      </c>
      <c r="M215" s="1">
        <v>600.01</v>
      </c>
      <c r="N215" s="1">
        <v>18036.7</v>
      </c>
      <c r="O215" s="1">
        <v>26293</v>
      </c>
      <c r="P215" s="1">
        <v>44329.7</v>
      </c>
      <c r="Q215" s="1">
        <v>28178.9</v>
      </c>
      <c r="R215" s="1">
        <v>6037.1</v>
      </c>
      <c r="S215" s="1">
        <v>34216</v>
      </c>
      <c r="T215" s="1">
        <v>12.04</v>
      </c>
      <c r="U215" s="1">
        <v>0.16</v>
      </c>
      <c r="V215" s="1">
        <v>5879.1</v>
      </c>
      <c r="W215" s="1">
        <v>34058</v>
      </c>
      <c r="X215" s="1">
        <v>600.16999999999996</v>
      </c>
      <c r="Y215" s="1">
        <v>1200</v>
      </c>
      <c r="Z215" s="1">
        <v>78387.7</v>
      </c>
      <c r="AA215" s="1">
        <v>12.21</v>
      </c>
      <c r="AB215" s="1">
        <v>4000</v>
      </c>
    </row>
    <row r="216" spans="1:28" x14ac:dyDescent="0.4">
      <c r="A216" s="1" t="s">
        <v>426</v>
      </c>
      <c r="B216" s="1">
        <v>4000</v>
      </c>
      <c r="C216" s="1">
        <v>0.3</v>
      </c>
      <c r="D216" s="1">
        <v>0.5</v>
      </c>
      <c r="E216" s="1">
        <v>500</v>
      </c>
      <c r="F216" s="1">
        <v>1</v>
      </c>
      <c r="G216" s="1">
        <v>5</v>
      </c>
      <c r="H216" s="1" t="s">
        <v>583</v>
      </c>
      <c r="I216" s="1">
        <v>90482.3</v>
      </c>
      <c r="J216" s="1">
        <v>36247.9</v>
      </c>
      <c r="K216" s="1">
        <v>54234.400000000001</v>
      </c>
      <c r="L216" s="1">
        <v>1200</v>
      </c>
      <c r="M216" s="1">
        <v>600.01</v>
      </c>
      <c r="N216" s="1">
        <v>17392.099999999999</v>
      </c>
      <c r="O216" s="1">
        <v>26332.2</v>
      </c>
      <c r="P216" s="1">
        <v>43724.3</v>
      </c>
      <c r="Q216" s="1">
        <v>28448.2</v>
      </c>
      <c r="R216" s="1">
        <v>6030.9</v>
      </c>
      <c r="S216" s="1">
        <v>34479.1</v>
      </c>
      <c r="T216" s="1">
        <v>13.57</v>
      </c>
      <c r="U216" s="1">
        <v>0.16</v>
      </c>
      <c r="V216" s="1">
        <v>5808.1</v>
      </c>
      <c r="W216" s="1">
        <v>34256.300000000003</v>
      </c>
      <c r="X216" s="1">
        <v>600.16999999999996</v>
      </c>
      <c r="Y216" s="1">
        <v>1200</v>
      </c>
      <c r="Z216" s="1">
        <v>77980.600000000006</v>
      </c>
      <c r="AA216" s="1">
        <v>13.82</v>
      </c>
      <c r="AB216" s="1">
        <v>4000</v>
      </c>
    </row>
    <row r="217" spans="1:28" x14ac:dyDescent="0.4">
      <c r="A217" s="1" t="s">
        <v>427</v>
      </c>
      <c r="B217" s="1">
        <v>4000</v>
      </c>
      <c r="C217" s="1">
        <v>0.3</v>
      </c>
      <c r="D217" s="1">
        <v>0.5</v>
      </c>
      <c r="E217" s="1">
        <v>500</v>
      </c>
      <c r="F217" s="1">
        <v>2</v>
      </c>
      <c r="G217" s="1">
        <v>1</v>
      </c>
      <c r="H217" s="1" t="s">
        <v>583</v>
      </c>
      <c r="I217" s="1">
        <v>137406.5</v>
      </c>
      <c r="J217" s="1">
        <v>55799.7</v>
      </c>
      <c r="K217" s="1">
        <v>81606.8</v>
      </c>
      <c r="L217" s="1">
        <v>1200</v>
      </c>
      <c r="M217" s="1">
        <v>600.01</v>
      </c>
      <c r="N217" s="1">
        <v>29589.3</v>
      </c>
      <c r="O217" s="1">
        <v>42365.9</v>
      </c>
      <c r="P217" s="1">
        <v>71955.199999999997</v>
      </c>
      <c r="Q217" s="1">
        <v>29381.1</v>
      </c>
      <c r="R217" s="1">
        <v>7539.5</v>
      </c>
      <c r="S217" s="1">
        <v>36920.6</v>
      </c>
      <c r="T217" s="1">
        <v>20.76</v>
      </c>
      <c r="U217" s="1">
        <v>0.3</v>
      </c>
      <c r="V217" s="1">
        <v>7060.9</v>
      </c>
      <c r="W217" s="1">
        <v>36442</v>
      </c>
      <c r="X217" s="1">
        <v>600.30999999999995</v>
      </c>
      <c r="Y217" s="1">
        <v>1200</v>
      </c>
      <c r="Z217" s="1">
        <v>108397.2</v>
      </c>
      <c r="AA217" s="1">
        <v>21.11</v>
      </c>
      <c r="AB217" s="1">
        <v>4000</v>
      </c>
    </row>
    <row r="218" spans="1:28" x14ac:dyDescent="0.4">
      <c r="A218" s="1" t="s">
        <v>428</v>
      </c>
      <c r="B218" s="1">
        <v>4000</v>
      </c>
      <c r="C218" s="1">
        <v>0.3</v>
      </c>
      <c r="D218" s="1">
        <v>0.5</v>
      </c>
      <c r="E218" s="1">
        <v>500</v>
      </c>
      <c r="F218" s="1">
        <v>2</v>
      </c>
      <c r="G218" s="1">
        <v>2</v>
      </c>
      <c r="H218" s="1" t="s">
        <v>583</v>
      </c>
      <c r="I218" s="1">
        <v>134470.9</v>
      </c>
      <c r="J218" s="1">
        <v>52869.5</v>
      </c>
      <c r="K218" s="1">
        <v>81601.399999999994</v>
      </c>
      <c r="L218" s="1">
        <v>1200</v>
      </c>
      <c r="M218" s="1">
        <v>600.02</v>
      </c>
      <c r="N218" s="1">
        <v>28176.6</v>
      </c>
      <c r="O218" s="1">
        <v>42147.4</v>
      </c>
      <c r="P218" s="1">
        <v>70324</v>
      </c>
      <c r="Q218" s="1">
        <v>29922.1</v>
      </c>
      <c r="R218" s="1">
        <v>6497.2</v>
      </c>
      <c r="S218" s="1">
        <v>36419.300000000003</v>
      </c>
      <c r="T218" s="1">
        <v>20.62</v>
      </c>
      <c r="U218" s="1">
        <v>0.25</v>
      </c>
      <c r="V218" s="1">
        <v>6126.1</v>
      </c>
      <c r="W218" s="1">
        <v>36048.199999999997</v>
      </c>
      <c r="X218" s="1">
        <v>600.27</v>
      </c>
      <c r="Y218" s="1">
        <v>1200</v>
      </c>
      <c r="Z218" s="1">
        <v>106372.2</v>
      </c>
      <c r="AA218" s="1">
        <v>20.9</v>
      </c>
      <c r="AB218" s="1">
        <v>4000</v>
      </c>
    </row>
    <row r="219" spans="1:28" x14ac:dyDescent="0.4">
      <c r="A219" s="1" t="s">
        <v>429</v>
      </c>
      <c r="B219" s="1">
        <v>4000</v>
      </c>
      <c r="C219" s="1">
        <v>0.3</v>
      </c>
      <c r="D219" s="1">
        <v>0.5</v>
      </c>
      <c r="E219" s="1">
        <v>500</v>
      </c>
      <c r="F219" s="1">
        <v>2</v>
      </c>
      <c r="G219" s="1">
        <v>3</v>
      </c>
      <c r="H219" s="1" t="s">
        <v>583</v>
      </c>
      <c r="I219" s="1">
        <v>141138</v>
      </c>
      <c r="J219" s="1">
        <v>56617.599999999999</v>
      </c>
      <c r="K219" s="1">
        <v>84520.4</v>
      </c>
      <c r="L219" s="1">
        <v>1200</v>
      </c>
      <c r="M219" s="1">
        <v>600</v>
      </c>
      <c r="N219" s="1">
        <v>30079</v>
      </c>
      <c r="O219" s="1">
        <v>44066.2</v>
      </c>
      <c r="P219" s="1">
        <v>74145.2</v>
      </c>
      <c r="Q219" s="1">
        <v>29643.1</v>
      </c>
      <c r="R219" s="1">
        <v>6937.3</v>
      </c>
      <c r="S219" s="1">
        <v>36580.400000000001</v>
      </c>
      <c r="T219" s="1">
        <v>21.55</v>
      </c>
      <c r="U219" s="1">
        <v>0.33</v>
      </c>
      <c r="V219" s="1">
        <v>6547</v>
      </c>
      <c r="W219" s="1">
        <v>36190.1</v>
      </c>
      <c r="X219" s="1">
        <v>600.33000000000004</v>
      </c>
      <c r="Y219" s="1">
        <v>1200</v>
      </c>
      <c r="Z219" s="1">
        <v>110335.3</v>
      </c>
      <c r="AA219" s="1">
        <v>21.82</v>
      </c>
      <c r="AB219" s="1">
        <v>4000</v>
      </c>
    </row>
    <row r="220" spans="1:28" x14ac:dyDescent="0.4">
      <c r="A220" s="1" t="s">
        <v>430</v>
      </c>
      <c r="B220" s="1">
        <v>4000</v>
      </c>
      <c r="C220" s="1">
        <v>0.3</v>
      </c>
      <c r="D220" s="1">
        <v>0.5</v>
      </c>
      <c r="E220" s="1">
        <v>500</v>
      </c>
      <c r="F220" s="1">
        <v>2</v>
      </c>
      <c r="G220" s="1">
        <v>4</v>
      </c>
      <c r="H220" s="1" t="s">
        <v>583</v>
      </c>
      <c r="I220" s="1">
        <v>138094.29999999999</v>
      </c>
      <c r="J220" s="1">
        <v>51984.9</v>
      </c>
      <c r="K220" s="1">
        <v>86109.4</v>
      </c>
      <c r="L220" s="1">
        <v>1200</v>
      </c>
      <c r="M220" s="1">
        <v>600.01</v>
      </c>
      <c r="N220" s="1">
        <v>28645.8</v>
      </c>
      <c r="O220" s="1">
        <v>44120.9</v>
      </c>
      <c r="P220" s="1">
        <v>72766.7</v>
      </c>
      <c r="Q220" s="1">
        <v>29904</v>
      </c>
      <c r="R220" s="1">
        <v>7403.8</v>
      </c>
      <c r="S220" s="1">
        <v>37307.800000000003</v>
      </c>
      <c r="T220" s="1">
        <v>20.29</v>
      </c>
      <c r="U220" s="1">
        <v>0.27</v>
      </c>
      <c r="V220" s="1">
        <v>6989.1</v>
      </c>
      <c r="W220" s="1">
        <v>36893.1</v>
      </c>
      <c r="X220" s="1">
        <v>600.28</v>
      </c>
      <c r="Y220" s="1">
        <v>1200</v>
      </c>
      <c r="Z220" s="1">
        <v>109659.8</v>
      </c>
      <c r="AA220" s="1">
        <v>20.59</v>
      </c>
      <c r="AB220" s="1">
        <v>4000</v>
      </c>
    </row>
    <row r="221" spans="1:28" x14ac:dyDescent="0.4">
      <c r="A221" s="1" t="s">
        <v>431</v>
      </c>
      <c r="B221" s="1">
        <v>4000</v>
      </c>
      <c r="C221" s="1">
        <v>0.3</v>
      </c>
      <c r="D221" s="1">
        <v>0.5</v>
      </c>
      <c r="E221" s="1">
        <v>500</v>
      </c>
      <c r="F221" s="1">
        <v>2</v>
      </c>
      <c r="G221" s="1">
        <v>5</v>
      </c>
      <c r="H221" s="1" t="s">
        <v>583</v>
      </c>
      <c r="I221" s="1">
        <v>132232.6</v>
      </c>
      <c r="J221" s="1">
        <v>53369.5</v>
      </c>
      <c r="K221" s="1">
        <v>78863.100000000006</v>
      </c>
      <c r="L221" s="1">
        <v>1200</v>
      </c>
      <c r="M221" s="1">
        <v>600</v>
      </c>
      <c r="N221" s="1">
        <v>29153.5</v>
      </c>
      <c r="O221" s="1">
        <v>40181.4</v>
      </c>
      <c r="P221" s="1">
        <v>69334.899999999994</v>
      </c>
      <c r="Q221" s="1">
        <v>29098.2</v>
      </c>
      <c r="R221" s="1">
        <v>6954.8</v>
      </c>
      <c r="S221" s="1">
        <v>36053</v>
      </c>
      <c r="T221" s="1">
        <v>20.3</v>
      </c>
      <c r="U221" s="1">
        <v>0.25</v>
      </c>
      <c r="V221" s="1">
        <v>6430.5</v>
      </c>
      <c r="W221" s="1">
        <v>35528.699999999997</v>
      </c>
      <c r="X221" s="1">
        <v>600.26</v>
      </c>
      <c r="Y221" s="1">
        <v>1200</v>
      </c>
      <c r="Z221" s="1">
        <v>104863.6</v>
      </c>
      <c r="AA221" s="1">
        <v>20.7</v>
      </c>
      <c r="AB221" s="1">
        <v>4000</v>
      </c>
    </row>
    <row r="222" spans="1:28" x14ac:dyDescent="0.4">
      <c r="A222" s="1" t="s">
        <v>432</v>
      </c>
      <c r="B222" s="1">
        <v>4000</v>
      </c>
      <c r="C222" s="1">
        <v>0.3</v>
      </c>
      <c r="D222" s="1">
        <v>0.5</v>
      </c>
      <c r="E222" s="1">
        <v>500</v>
      </c>
      <c r="F222" s="1">
        <v>3</v>
      </c>
      <c r="G222" s="1">
        <v>1</v>
      </c>
      <c r="H222" s="1" t="s">
        <v>583</v>
      </c>
      <c r="I222" s="1">
        <v>175437.9</v>
      </c>
      <c r="J222" s="1">
        <v>65584.100000000006</v>
      </c>
      <c r="K222" s="1">
        <v>109853.8</v>
      </c>
      <c r="L222" s="1">
        <v>1200</v>
      </c>
      <c r="M222" s="1">
        <v>600</v>
      </c>
      <c r="N222" s="1">
        <v>37381.1</v>
      </c>
      <c r="O222" s="1">
        <v>59913.2</v>
      </c>
      <c r="P222" s="1">
        <v>97294.3</v>
      </c>
      <c r="Q222" s="1">
        <v>30359.9</v>
      </c>
      <c r="R222" s="1">
        <v>7295.6</v>
      </c>
      <c r="S222" s="1">
        <v>37655.5</v>
      </c>
      <c r="T222" s="1">
        <v>23.08</v>
      </c>
      <c r="U222" s="1">
        <v>0.39</v>
      </c>
      <c r="V222" s="1">
        <v>6659.3</v>
      </c>
      <c r="W222" s="1">
        <v>37019.199999999997</v>
      </c>
      <c r="X222" s="1">
        <v>600.39</v>
      </c>
      <c r="Y222" s="1">
        <v>1200</v>
      </c>
      <c r="Z222" s="1">
        <v>134313.5</v>
      </c>
      <c r="AA222" s="1">
        <v>23.44</v>
      </c>
      <c r="AB222" s="1">
        <v>4000</v>
      </c>
    </row>
    <row r="223" spans="1:28" x14ac:dyDescent="0.4">
      <c r="A223" s="1" t="s">
        <v>433</v>
      </c>
      <c r="B223" s="1">
        <v>4000</v>
      </c>
      <c r="C223" s="1">
        <v>0.3</v>
      </c>
      <c r="D223" s="1">
        <v>0.5</v>
      </c>
      <c r="E223" s="1">
        <v>500</v>
      </c>
      <c r="F223" s="1">
        <v>3</v>
      </c>
      <c r="G223" s="1">
        <v>2</v>
      </c>
      <c r="H223" s="1" t="s">
        <v>583</v>
      </c>
      <c r="I223" s="1">
        <v>180917.6</v>
      </c>
      <c r="J223" s="1">
        <v>67104.800000000003</v>
      </c>
      <c r="K223" s="1">
        <v>113812.8</v>
      </c>
      <c r="L223" s="1">
        <v>1200</v>
      </c>
      <c r="M223" s="1">
        <v>600.01</v>
      </c>
      <c r="N223" s="1">
        <v>37993.300000000003</v>
      </c>
      <c r="O223" s="1">
        <v>62678.2</v>
      </c>
      <c r="P223" s="1">
        <v>100671.5</v>
      </c>
      <c r="Q223" s="1">
        <v>30072.7</v>
      </c>
      <c r="R223" s="1">
        <v>7353.4</v>
      </c>
      <c r="S223" s="1">
        <v>37426.1</v>
      </c>
      <c r="T223" s="1">
        <v>23.67</v>
      </c>
      <c r="U223" s="1">
        <v>0.38</v>
      </c>
      <c r="V223" s="1">
        <v>6853.9</v>
      </c>
      <c r="W223" s="1">
        <v>36926.6</v>
      </c>
      <c r="X223" s="1">
        <v>600.39</v>
      </c>
      <c r="Y223" s="1">
        <v>1200</v>
      </c>
      <c r="Z223" s="1">
        <v>137598.1</v>
      </c>
      <c r="AA223" s="1">
        <v>23.94</v>
      </c>
      <c r="AB223" s="1">
        <v>4000</v>
      </c>
    </row>
    <row r="224" spans="1:28" x14ac:dyDescent="0.4">
      <c r="A224" s="1" t="s">
        <v>434</v>
      </c>
      <c r="B224" s="1">
        <v>4000</v>
      </c>
      <c r="C224" s="1">
        <v>0.3</v>
      </c>
      <c r="D224" s="1">
        <v>0.5</v>
      </c>
      <c r="E224" s="1">
        <v>500</v>
      </c>
      <c r="F224" s="1">
        <v>3</v>
      </c>
      <c r="G224" s="1">
        <v>3</v>
      </c>
      <c r="H224" s="1" t="s">
        <v>583</v>
      </c>
      <c r="I224" s="1">
        <v>181227.2</v>
      </c>
      <c r="J224" s="1">
        <v>68904.100000000006</v>
      </c>
      <c r="K224" s="1">
        <v>112323.1</v>
      </c>
      <c r="L224" s="1">
        <v>1200</v>
      </c>
      <c r="M224" s="1">
        <v>600.02</v>
      </c>
      <c r="N224" s="1">
        <v>38431.4</v>
      </c>
      <c r="O224" s="1">
        <v>61841.8</v>
      </c>
      <c r="P224" s="1">
        <v>100273.2</v>
      </c>
      <c r="Q224" s="1">
        <v>29814.9</v>
      </c>
      <c r="R224" s="1">
        <v>7457.7</v>
      </c>
      <c r="S224" s="1">
        <v>37272.6</v>
      </c>
      <c r="T224" s="1">
        <v>24.1</v>
      </c>
      <c r="U224" s="1">
        <v>0.35</v>
      </c>
      <c r="V224" s="1">
        <v>6937.8</v>
      </c>
      <c r="W224" s="1">
        <v>36752.699999999997</v>
      </c>
      <c r="X224" s="1">
        <v>600.37</v>
      </c>
      <c r="Y224" s="1">
        <v>1200</v>
      </c>
      <c r="Z224" s="1">
        <v>137025.9</v>
      </c>
      <c r="AA224" s="1">
        <v>24.39</v>
      </c>
      <c r="AB224" s="1">
        <v>4000</v>
      </c>
    </row>
    <row r="225" spans="1:28" x14ac:dyDescent="0.4">
      <c r="A225" s="1" t="s">
        <v>435</v>
      </c>
      <c r="B225" s="1">
        <v>4000</v>
      </c>
      <c r="C225" s="1">
        <v>0.3</v>
      </c>
      <c r="D225" s="1">
        <v>0.5</v>
      </c>
      <c r="E225" s="1">
        <v>500</v>
      </c>
      <c r="F225" s="1">
        <v>3</v>
      </c>
      <c r="G225" s="1">
        <v>4</v>
      </c>
      <c r="H225" s="1" t="s">
        <v>583</v>
      </c>
      <c r="I225" s="1">
        <v>174207.9</v>
      </c>
      <c r="J225" s="1">
        <v>64976.3</v>
      </c>
      <c r="K225" s="1">
        <v>109231.6</v>
      </c>
      <c r="L225" s="1">
        <v>1200</v>
      </c>
      <c r="M225" s="1">
        <v>600.01</v>
      </c>
      <c r="N225" s="1">
        <v>36074.199999999997</v>
      </c>
      <c r="O225" s="1">
        <v>61100</v>
      </c>
      <c r="P225" s="1">
        <v>97174.2</v>
      </c>
      <c r="Q225" s="1">
        <v>29776.2</v>
      </c>
      <c r="R225" s="1">
        <v>7565.4</v>
      </c>
      <c r="S225" s="1">
        <v>37341.599999999999</v>
      </c>
      <c r="T225" s="1">
        <v>22.78</v>
      </c>
      <c r="U225" s="1">
        <v>0.22</v>
      </c>
      <c r="V225" s="1">
        <v>7009</v>
      </c>
      <c r="W225" s="1">
        <v>36785.199999999997</v>
      </c>
      <c r="X225" s="1">
        <v>600.23</v>
      </c>
      <c r="Y225" s="1">
        <v>1200</v>
      </c>
      <c r="Z225" s="1">
        <v>133959.4</v>
      </c>
      <c r="AA225" s="1">
        <v>23.1</v>
      </c>
      <c r="AB225" s="1">
        <v>4000</v>
      </c>
    </row>
    <row r="226" spans="1:28" x14ac:dyDescent="0.4">
      <c r="A226" s="1" t="s">
        <v>436</v>
      </c>
      <c r="B226" s="1">
        <v>4000</v>
      </c>
      <c r="C226" s="1">
        <v>0.3</v>
      </c>
      <c r="D226" s="1">
        <v>0.5</v>
      </c>
      <c r="E226" s="1">
        <v>500</v>
      </c>
      <c r="F226" s="1">
        <v>3</v>
      </c>
      <c r="G226" s="1">
        <v>5</v>
      </c>
      <c r="H226" s="1" t="s">
        <v>583</v>
      </c>
      <c r="I226" s="1">
        <v>177058.9</v>
      </c>
      <c r="J226" s="1">
        <v>65926.600000000006</v>
      </c>
      <c r="K226" s="1">
        <v>111132.3</v>
      </c>
      <c r="L226" s="1">
        <v>1200</v>
      </c>
      <c r="M226" s="1">
        <v>600</v>
      </c>
      <c r="N226" s="1">
        <v>37231.9</v>
      </c>
      <c r="O226" s="1">
        <v>61910.3</v>
      </c>
      <c r="P226" s="1">
        <v>99142.2</v>
      </c>
      <c r="Q226" s="1">
        <v>29770.3</v>
      </c>
      <c r="R226" s="1">
        <v>7535.4</v>
      </c>
      <c r="S226" s="1">
        <v>37305.699999999997</v>
      </c>
      <c r="T226" s="1">
        <v>22.94</v>
      </c>
      <c r="U226" s="1">
        <v>0.33</v>
      </c>
      <c r="V226" s="1">
        <v>6827.6</v>
      </c>
      <c r="W226" s="1">
        <v>36597.9</v>
      </c>
      <c r="X226" s="1">
        <v>600.33000000000004</v>
      </c>
      <c r="Y226" s="1">
        <v>1200</v>
      </c>
      <c r="Z226" s="1">
        <v>135740.1</v>
      </c>
      <c r="AA226" s="1">
        <v>23.34</v>
      </c>
      <c r="AB226" s="1">
        <v>4000</v>
      </c>
    </row>
    <row r="227" spans="1:28" x14ac:dyDescent="0.4">
      <c r="A227" s="1" t="s">
        <v>90</v>
      </c>
      <c r="B227" s="1">
        <v>4000</v>
      </c>
      <c r="C227" s="1">
        <v>0.4</v>
      </c>
      <c r="D227" s="1">
        <v>0.5</v>
      </c>
      <c r="E227" s="1">
        <v>1000</v>
      </c>
      <c r="F227" s="1">
        <v>1</v>
      </c>
      <c r="G227" s="1">
        <v>1</v>
      </c>
      <c r="H227" s="1" t="s">
        <v>583</v>
      </c>
      <c r="I227" s="1">
        <v>171724.4</v>
      </c>
      <c r="J227" s="1">
        <v>71423.3</v>
      </c>
      <c r="K227" s="1">
        <v>100301.1</v>
      </c>
      <c r="L227" s="1">
        <v>1200</v>
      </c>
      <c r="M227" s="1">
        <v>600.01</v>
      </c>
      <c r="N227" s="1">
        <v>37137.699999999997</v>
      </c>
      <c r="O227" s="1">
        <v>52309</v>
      </c>
      <c r="P227" s="1">
        <v>89446.7</v>
      </c>
      <c r="Q227" s="1">
        <v>31505.1</v>
      </c>
      <c r="R227" s="1">
        <v>11087.5</v>
      </c>
      <c r="S227" s="1">
        <v>42592.6</v>
      </c>
      <c r="T227" s="1">
        <v>23.11</v>
      </c>
      <c r="U227" s="1">
        <v>0.43</v>
      </c>
      <c r="V227" s="1">
        <v>10864.6</v>
      </c>
      <c r="W227" s="1">
        <v>42369.7</v>
      </c>
      <c r="X227" s="1">
        <v>600.44000000000005</v>
      </c>
      <c r="Y227" s="1">
        <v>1199</v>
      </c>
      <c r="Z227" s="1">
        <v>131816.4</v>
      </c>
      <c r="AA227" s="1">
        <v>23.24</v>
      </c>
      <c r="AB227" s="1">
        <v>4000</v>
      </c>
    </row>
    <row r="228" spans="1:28" x14ac:dyDescent="0.4">
      <c r="A228" s="1" t="s">
        <v>91</v>
      </c>
      <c r="B228" s="1">
        <v>4000</v>
      </c>
      <c r="C228" s="1">
        <v>0.4</v>
      </c>
      <c r="D228" s="1">
        <v>0.5</v>
      </c>
      <c r="E228" s="1">
        <v>1000</v>
      </c>
      <c r="F228" s="1">
        <v>1</v>
      </c>
      <c r="G228" s="1">
        <v>2</v>
      </c>
      <c r="H228" s="1" t="s">
        <v>583</v>
      </c>
      <c r="I228" s="1">
        <v>177265.8</v>
      </c>
      <c r="J228" s="1">
        <v>68879.7</v>
      </c>
      <c r="K228" s="1">
        <v>108386.1</v>
      </c>
      <c r="L228" s="1">
        <v>1200</v>
      </c>
      <c r="M228" s="1">
        <v>600.01</v>
      </c>
      <c r="N228" s="1">
        <v>36135.199999999997</v>
      </c>
      <c r="O228" s="1">
        <v>55637.599999999999</v>
      </c>
      <c r="P228" s="1">
        <v>91772.800000000003</v>
      </c>
      <c r="Q228" s="1">
        <v>31799.3</v>
      </c>
      <c r="R228" s="1">
        <v>11406.3</v>
      </c>
      <c r="S228" s="1">
        <v>43205.599999999999</v>
      </c>
      <c r="T228" s="1">
        <v>23.86</v>
      </c>
      <c r="U228" s="1">
        <v>0.4</v>
      </c>
      <c r="V228" s="1">
        <v>11192.9</v>
      </c>
      <c r="W228" s="1">
        <v>42992.2</v>
      </c>
      <c r="X228" s="1">
        <v>600.41</v>
      </c>
      <c r="Y228" s="1">
        <v>1200</v>
      </c>
      <c r="Z228" s="1">
        <v>134765</v>
      </c>
      <c r="AA228" s="1">
        <v>23.98</v>
      </c>
      <c r="AB228" s="1">
        <v>4000</v>
      </c>
    </row>
    <row r="229" spans="1:28" x14ac:dyDescent="0.4">
      <c r="A229" s="1" t="s">
        <v>92</v>
      </c>
      <c r="B229" s="1">
        <v>4000</v>
      </c>
      <c r="C229" s="1">
        <v>0.4</v>
      </c>
      <c r="D229" s="1">
        <v>0.5</v>
      </c>
      <c r="E229" s="1">
        <v>1000</v>
      </c>
      <c r="F229" s="1">
        <v>1</v>
      </c>
      <c r="G229" s="1">
        <v>3</v>
      </c>
      <c r="H229" s="1" t="s">
        <v>583</v>
      </c>
      <c r="I229" s="1">
        <v>177163.7</v>
      </c>
      <c r="J229" s="1">
        <v>70112.600000000006</v>
      </c>
      <c r="K229" s="1">
        <v>107051.1</v>
      </c>
      <c r="L229" s="1">
        <v>1200</v>
      </c>
      <c r="M229" s="1">
        <v>600.01</v>
      </c>
      <c r="N229" s="1">
        <v>36942.800000000003</v>
      </c>
      <c r="O229" s="1">
        <v>56455.4</v>
      </c>
      <c r="P229" s="1">
        <v>93398.2</v>
      </c>
      <c r="Q229" s="1">
        <v>31442.5</v>
      </c>
      <c r="R229" s="1">
        <v>11509.6</v>
      </c>
      <c r="S229" s="1">
        <v>42952.1</v>
      </c>
      <c r="T229" s="1">
        <v>23.04</v>
      </c>
      <c r="U229" s="1">
        <v>0.38</v>
      </c>
      <c r="V229" s="1">
        <v>11201.7</v>
      </c>
      <c r="W229" s="1">
        <v>42644.2</v>
      </c>
      <c r="X229" s="1">
        <v>600.39</v>
      </c>
      <c r="Y229" s="1">
        <v>1200</v>
      </c>
      <c r="Z229" s="1">
        <v>136042.4</v>
      </c>
      <c r="AA229" s="1">
        <v>23.21</v>
      </c>
      <c r="AB229" s="1">
        <v>4000</v>
      </c>
    </row>
    <row r="230" spans="1:28" x14ac:dyDescent="0.4">
      <c r="A230" s="1" t="s">
        <v>93</v>
      </c>
      <c r="B230" s="1">
        <v>4000</v>
      </c>
      <c r="C230" s="1">
        <v>0.4</v>
      </c>
      <c r="D230" s="1">
        <v>0.5</v>
      </c>
      <c r="E230" s="1">
        <v>1000</v>
      </c>
      <c r="F230" s="1">
        <v>1</v>
      </c>
      <c r="G230" s="1">
        <v>4</v>
      </c>
      <c r="H230" s="1" t="s">
        <v>583</v>
      </c>
      <c r="I230" s="1">
        <v>172274.8</v>
      </c>
      <c r="J230" s="1">
        <v>71609</v>
      </c>
      <c r="K230" s="1">
        <v>100665.8</v>
      </c>
      <c r="L230" s="1">
        <v>1200</v>
      </c>
      <c r="M230" s="1">
        <v>600</v>
      </c>
      <c r="N230" s="1">
        <v>37017.300000000003</v>
      </c>
      <c r="O230" s="1">
        <v>51990</v>
      </c>
      <c r="P230" s="1">
        <v>89007.3</v>
      </c>
      <c r="Q230" s="1">
        <v>32792.400000000001</v>
      </c>
      <c r="R230" s="1">
        <v>12150.8</v>
      </c>
      <c r="S230" s="1">
        <v>44943.199999999997</v>
      </c>
      <c r="T230" s="1">
        <v>22.25</v>
      </c>
      <c r="U230" s="1">
        <v>0.39</v>
      </c>
      <c r="V230" s="1">
        <v>11987</v>
      </c>
      <c r="W230" s="1">
        <v>44779.4</v>
      </c>
      <c r="X230" s="1">
        <v>600.39</v>
      </c>
      <c r="Y230" s="1">
        <v>1200</v>
      </c>
      <c r="Z230" s="1">
        <v>133786.70000000001</v>
      </c>
      <c r="AA230" s="1">
        <v>22.34</v>
      </c>
      <c r="AB230" s="1">
        <v>4000</v>
      </c>
    </row>
    <row r="231" spans="1:28" x14ac:dyDescent="0.4">
      <c r="A231" s="1" t="s">
        <v>94</v>
      </c>
      <c r="B231" s="1">
        <v>4000</v>
      </c>
      <c r="C231" s="1">
        <v>0.4</v>
      </c>
      <c r="D231" s="1">
        <v>0.5</v>
      </c>
      <c r="E231" s="1">
        <v>1000</v>
      </c>
      <c r="F231" s="1">
        <v>1</v>
      </c>
      <c r="G231" s="1">
        <v>5</v>
      </c>
      <c r="H231" s="1" t="s">
        <v>583</v>
      </c>
      <c r="I231" s="1">
        <v>177440</v>
      </c>
      <c r="J231" s="1">
        <v>71930.2</v>
      </c>
      <c r="K231" s="1">
        <v>105509.8</v>
      </c>
      <c r="L231" s="1">
        <v>1200</v>
      </c>
      <c r="M231" s="1">
        <v>600.01</v>
      </c>
      <c r="N231" s="1">
        <v>38117.800000000003</v>
      </c>
      <c r="O231" s="1">
        <v>53894.5</v>
      </c>
      <c r="P231" s="1">
        <v>92012.3</v>
      </c>
      <c r="Q231" s="1">
        <v>32563.1</v>
      </c>
      <c r="R231" s="1">
        <v>12001.8</v>
      </c>
      <c r="S231" s="1">
        <v>44564.9</v>
      </c>
      <c r="T231" s="1">
        <v>23.03</v>
      </c>
      <c r="U231" s="1">
        <v>0.4</v>
      </c>
      <c r="V231" s="1">
        <v>11657.3</v>
      </c>
      <c r="W231" s="1">
        <v>44220.4</v>
      </c>
      <c r="X231" s="1">
        <v>600.41</v>
      </c>
      <c r="Y231" s="1">
        <v>1200</v>
      </c>
      <c r="Z231" s="1">
        <v>136232.70000000001</v>
      </c>
      <c r="AA231" s="1">
        <v>23.22</v>
      </c>
      <c r="AB231" s="1">
        <v>4000</v>
      </c>
    </row>
    <row r="232" spans="1:28" x14ac:dyDescent="0.4">
      <c r="A232" s="1" t="s">
        <v>95</v>
      </c>
      <c r="B232" s="1">
        <v>4000</v>
      </c>
      <c r="C232" s="1">
        <v>0.4</v>
      </c>
      <c r="D232" s="1">
        <v>0.5</v>
      </c>
      <c r="E232" s="1">
        <v>1000</v>
      </c>
      <c r="F232" s="1">
        <v>2</v>
      </c>
      <c r="G232" s="1">
        <v>1</v>
      </c>
      <c r="H232" s="1" t="s">
        <v>583</v>
      </c>
      <c r="I232" s="1">
        <v>272984.8</v>
      </c>
      <c r="J232" s="1">
        <v>106266.9</v>
      </c>
      <c r="K232" s="1">
        <v>166717.9</v>
      </c>
      <c r="L232" s="1">
        <v>1200</v>
      </c>
      <c r="M232" s="1">
        <v>600.01</v>
      </c>
      <c r="N232" s="1">
        <v>61194.9</v>
      </c>
      <c r="O232" s="1">
        <v>90799.9</v>
      </c>
      <c r="P232" s="1">
        <v>151994.79999999999</v>
      </c>
      <c r="Q232" s="1">
        <v>31346.400000000001</v>
      </c>
      <c r="R232" s="1">
        <v>12328.2</v>
      </c>
      <c r="S232" s="1">
        <v>43674.6</v>
      </c>
      <c r="T232" s="1">
        <v>28.32</v>
      </c>
      <c r="U232" s="1">
        <v>0.7</v>
      </c>
      <c r="V232" s="1">
        <v>11805.2</v>
      </c>
      <c r="W232" s="1">
        <v>43151.6</v>
      </c>
      <c r="X232" s="1">
        <v>600.71</v>
      </c>
      <c r="Y232" s="1">
        <v>1200</v>
      </c>
      <c r="Z232" s="1">
        <v>195146.4</v>
      </c>
      <c r="AA232" s="1">
        <v>28.51</v>
      </c>
      <c r="AB232" s="1">
        <v>4000</v>
      </c>
    </row>
    <row r="233" spans="1:28" x14ac:dyDescent="0.4">
      <c r="A233" s="1" t="s">
        <v>96</v>
      </c>
      <c r="B233" s="1">
        <v>4000</v>
      </c>
      <c r="C233" s="1">
        <v>0.4</v>
      </c>
      <c r="D233" s="1">
        <v>0.5</v>
      </c>
      <c r="E233" s="1">
        <v>1000</v>
      </c>
      <c r="F233" s="1">
        <v>2</v>
      </c>
      <c r="G233" s="1">
        <v>2</v>
      </c>
      <c r="H233" s="1" t="s">
        <v>583</v>
      </c>
      <c r="I233" s="1">
        <v>263794</v>
      </c>
      <c r="J233" s="1">
        <v>97689.9</v>
      </c>
      <c r="K233" s="1">
        <v>166104.1</v>
      </c>
      <c r="L233" s="1">
        <v>1200</v>
      </c>
      <c r="M233" s="1">
        <v>600.02</v>
      </c>
      <c r="N233" s="1">
        <v>55129.5</v>
      </c>
      <c r="O233" s="1">
        <v>90738.7</v>
      </c>
      <c r="P233" s="1">
        <v>145868.20000000001</v>
      </c>
      <c r="Q233" s="1">
        <v>32148</v>
      </c>
      <c r="R233" s="1">
        <v>12604.7</v>
      </c>
      <c r="S233" s="1">
        <v>44752.7</v>
      </c>
      <c r="T233" s="1">
        <v>27.74</v>
      </c>
      <c r="U233" s="1">
        <v>0.65</v>
      </c>
      <c r="V233" s="1">
        <v>12068.2</v>
      </c>
      <c r="W233" s="1">
        <v>44216.2</v>
      </c>
      <c r="X233" s="1">
        <v>600.66999999999996</v>
      </c>
      <c r="Y233" s="1">
        <v>1200</v>
      </c>
      <c r="Z233" s="1">
        <v>190084.4</v>
      </c>
      <c r="AA233" s="1">
        <v>27.94</v>
      </c>
      <c r="AB233" s="1">
        <v>4000</v>
      </c>
    </row>
    <row r="234" spans="1:28" x14ac:dyDescent="0.4">
      <c r="A234" s="1" t="s">
        <v>97</v>
      </c>
      <c r="B234" s="1">
        <v>4000</v>
      </c>
      <c r="C234" s="1">
        <v>0.4</v>
      </c>
      <c r="D234" s="1">
        <v>0.5</v>
      </c>
      <c r="E234" s="1">
        <v>1000</v>
      </c>
      <c r="F234" s="1">
        <v>2</v>
      </c>
      <c r="G234" s="1">
        <v>3</v>
      </c>
      <c r="H234" s="1" t="s">
        <v>583</v>
      </c>
      <c r="I234" s="1">
        <v>267654.8</v>
      </c>
      <c r="J234" s="1">
        <v>104237.1</v>
      </c>
      <c r="K234" s="1">
        <v>163417.70000000001</v>
      </c>
      <c r="L234" s="1">
        <v>1200</v>
      </c>
      <c r="M234" s="1">
        <v>600.01</v>
      </c>
      <c r="N234" s="1">
        <v>58430.400000000001</v>
      </c>
      <c r="O234" s="1">
        <v>88109</v>
      </c>
      <c r="P234" s="1">
        <v>146539.4</v>
      </c>
      <c r="Q234" s="1">
        <v>32515</v>
      </c>
      <c r="R234" s="1">
        <v>12786.8</v>
      </c>
      <c r="S234" s="1">
        <v>45301.8</v>
      </c>
      <c r="T234" s="1">
        <v>28.33</v>
      </c>
      <c r="U234" s="1">
        <v>0.67</v>
      </c>
      <c r="V234" s="1">
        <v>12297.8</v>
      </c>
      <c r="W234" s="1">
        <v>44812.800000000003</v>
      </c>
      <c r="X234" s="1">
        <v>600.66999999999996</v>
      </c>
      <c r="Y234" s="1">
        <v>1200</v>
      </c>
      <c r="Z234" s="1">
        <v>191352.2</v>
      </c>
      <c r="AA234" s="1">
        <v>28.51</v>
      </c>
      <c r="AB234" s="1">
        <v>4000</v>
      </c>
    </row>
    <row r="235" spans="1:28" x14ac:dyDescent="0.4">
      <c r="A235" s="1" t="s">
        <v>98</v>
      </c>
      <c r="B235" s="1">
        <v>4000</v>
      </c>
      <c r="C235" s="1">
        <v>0.4</v>
      </c>
      <c r="D235" s="1">
        <v>0.5</v>
      </c>
      <c r="E235" s="1">
        <v>1000</v>
      </c>
      <c r="F235" s="1">
        <v>2</v>
      </c>
      <c r="G235" s="1">
        <v>4</v>
      </c>
      <c r="H235" s="1" t="s">
        <v>583</v>
      </c>
      <c r="I235" s="1">
        <v>271917.09999999998</v>
      </c>
      <c r="J235" s="1">
        <v>103980.4</v>
      </c>
      <c r="K235" s="1">
        <v>167936.7</v>
      </c>
      <c r="L235" s="1">
        <v>1200</v>
      </c>
      <c r="M235" s="1">
        <v>600.01</v>
      </c>
      <c r="N235" s="1">
        <v>59259.4</v>
      </c>
      <c r="O235" s="1">
        <v>89558.2</v>
      </c>
      <c r="P235" s="1">
        <v>148817.60000000001</v>
      </c>
      <c r="Q235" s="1">
        <v>32428.7</v>
      </c>
      <c r="R235" s="1">
        <v>12424.8</v>
      </c>
      <c r="S235" s="1">
        <v>44853.5</v>
      </c>
      <c r="T235" s="1">
        <v>28.78</v>
      </c>
      <c r="U235" s="1">
        <v>0.59</v>
      </c>
      <c r="V235" s="1">
        <v>11932.2</v>
      </c>
      <c r="W235" s="1">
        <v>44360.9</v>
      </c>
      <c r="X235" s="1">
        <v>600.6</v>
      </c>
      <c r="Y235" s="1">
        <v>1200</v>
      </c>
      <c r="Z235" s="1">
        <v>193178.5</v>
      </c>
      <c r="AA235" s="1">
        <v>28.96</v>
      </c>
      <c r="AB235" s="1">
        <v>4000</v>
      </c>
    </row>
    <row r="236" spans="1:28" x14ac:dyDescent="0.4">
      <c r="A236" s="1" t="s">
        <v>99</v>
      </c>
      <c r="B236" s="1">
        <v>4000</v>
      </c>
      <c r="C236" s="1">
        <v>0.4</v>
      </c>
      <c r="D236" s="1">
        <v>0.5</v>
      </c>
      <c r="E236" s="1">
        <v>1000</v>
      </c>
      <c r="F236" s="1">
        <v>2</v>
      </c>
      <c r="G236" s="1">
        <v>5</v>
      </c>
      <c r="H236" s="1" t="s">
        <v>583</v>
      </c>
      <c r="I236" s="1">
        <v>276548.7</v>
      </c>
      <c r="J236" s="1">
        <v>105846.5</v>
      </c>
      <c r="K236" s="1">
        <v>170702.2</v>
      </c>
      <c r="L236" s="1">
        <v>1200</v>
      </c>
      <c r="M236" s="1">
        <v>600.01</v>
      </c>
      <c r="N236" s="1">
        <v>59833.1</v>
      </c>
      <c r="O236" s="1">
        <v>93281.5</v>
      </c>
      <c r="P236" s="1">
        <v>153114.6</v>
      </c>
      <c r="Q236" s="1">
        <v>31670.6</v>
      </c>
      <c r="R236" s="1">
        <v>12410.2</v>
      </c>
      <c r="S236" s="1">
        <v>44080.800000000003</v>
      </c>
      <c r="T236" s="1">
        <v>28.69</v>
      </c>
      <c r="U236" s="1">
        <v>0.64</v>
      </c>
      <c r="V236" s="1">
        <v>11786</v>
      </c>
      <c r="W236" s="1">
        <v>43456.6</v>
      </c>
      <c r="X236" s="1">
        <v>600.65</v>
      </c>
      <c r="Y236" s="1">
        <v>1200</v>
      </c>
      <c r="Z236" s="1">
        <v>196571.2</v>
      </c>
      <c r="AA236" s="1">
        <v>28.92</v>
      </c>
      <c r="AB236" s="1">
        <v>4000</v>
      </c>
    </row>
    <row r="237" spans="1:28" x14ac:dyDescent="0.4">
      <c r="A237" s="1" t="s">
        <v>100</v>
      </c>
      <c r="B237" s="1">
        <v>4000</v>
      </c>
      <c r="C237" s="1">
        <v>0.4</v>
      </c>
      <c r="D237" s="1">
        <v>0.5</v>
      </c>
      <c r="E237" s="1">
        <v>1000</v>
      </c>
      <c r="F237" s="1">
        <v>3</v>
      </c>
      <c r="G237" s="1">
        <v>1</v>
      </c>
      <c r="H237" s="1" t="s">
        <v>583</v>
      </c>
      <c r="I237" s="1">
        <v>341551.3</v>
      </c>
      <c r="J237" s="1">
        <v>129094.3</v>
      </c>
      <c r="K237" s="1">
        <v>212457</v>
      </c>
      <c r="L237" s="1">
        <v>1200</v>
      </c>
      <c r="M237" s="1">
        <v>600.01</v>
      </c>
      <c r="N237" s="1">
        <v>75353</v>
      </c>
      <c r="O237" s="1">
        <v>117793.7</v>
      </c>
      <c r="P237" s="1">
        <v>193146.7</v>
      </c>
      <c r="Q237" s="1">
        <v>31002.2</v>
      </c>
      <c r="R237" s="1">
        <v>11553.6</v>
      </c>
      <c r="S237" s="1">
        <v>42555.8</v>
      </c>
      <c r="T237" s="1">
        <v>30.99</v>
      </c>
      <c r="U237" s="1">
        <v>0.91</v>
      </c>
      <c r="V237" s="1">
        <v>10685.6</v>
      </c>
      <c r="W237" s="1">
        <v>41687.800000000003</v>
      </c>
      <c r="X237" s="1">
        <v>600.91999999999996</v>
      </c>
      <c r="Y237" s="1">
        <v>1200</v>
      </c>
      <c r="Z237" s="1">
        <v>234834.5</v>
      </c>
      <c r="AA237" s="1">
        <v>31.24</v>
      </c>
      <c r="AB237" s="1">
        <v>4000</v>
      </c>
    </row>
    <row r="238" spans="1:28" x14ac:dyDescent="0.4">
      <c r="A238" s="1" t="s">
        <v>101</v>
      </c>
      <c r="B238" s="1">
        <v>4000</v>
      </c>
      <c r="C238" s="1">
        <v>0.4</v>
      </c>
      <c r="D238" s="1">
        <v>0.5</v>
      </c>
      <c r="E238" s="1">
        <v>1000</v>
      </c>
      <c r="F238" s="1">
        <v>3</v>
      </c>
      <c r="G238" s="1">
        <v>2</v>
      </c>
      <c r="H238" s="1" t="s">
        <v>583</v>
      </c>
      <c r="I238" s="1">
        <v>359905</v>
      </c>
      <c r="J238" s="1">
        <v>140692.79999999999</v>
      </c>
      <c r="K238" s="1">
        <v>219212.2</v>
      </c>
      <c r="L238" s="1">
        <v>1200</v>
      </c>
      <c r="M238" s="1">
        <v>600.02</v>
      </c>
      <c r="N238" s="1">
        <v>82163.399999999994</v>
      </c>
      <c r="O238" s="1">
        <v>123569.5</v>
      </c>
      <c r="P238" s="1">
        <v>205732.9</v>
      </c>
      <c r="Q238" s="1">
        <v>31469.1</v>
      </c>
      <c r="R238" s="1">
        <v>11185.6</v>
      </c>
      <c r="S238" s="1">
        <v>42654.7</v>
      </c>
      <c r="T238" s="1">
        <v>30.99</v>
      </c>
      <c r="U238" s="1">
        <v>0.74</v>
      </c>
      <c r="V238" s="1">
        <v>10376.9</v>
      </c>
      <c r="W238" s="1">
        <v>41846</v>
      </c>
      <c r="X238" s="1">
        <v>600.76</v>
      </c>
      <c r="Y238" s="1">
        <v>1200</v>
      </c>
      <c r="Z238" s="1">
        <v>247578.9</v>
      </c>
      <c r="AA238" s="1">
        <v>31.21</v>
      </c>
      <c r="AB238" s="1">
        <v>4000</v>
      </c>
    </row>
    <row r="239" spans="1:28" x14ac:dyDescent="0.4">
      <c r="A239" s="1" t="s">
        <v>102</v>
      </c>
      <c r="B239" s="1">
        <v>4000</v>
      </c>
      <c r="C239" s="1">
        <v>0.4</v>
      </c>
      <c r="D239" s="1">
        <v>0.5</v>
      </c>
      <c r="E239" s="1">
        <v>1000</v>
      </c>
      <c r="F239" s="1">
        <v>3</v>
      </c>
      <c r="G239" s="1">
        <v>3</v>
      </c>
      <c r="H239" s="1" t="s">
        <v>583</v>
      </c>
      <c r="I239" s="1">
        <v>346084.2</v>
      </c>
      <c r="J239" s="1">
        <v>139484.70000000001</v>
      </c>
      <c r="K239" s="1">
        <v>206599.5</v>
      </c>
      <c r="L239" s="1">
        <v>1200</v>
      </c>
      <c r="M239" s="1">
        <v>600.02</v>
      </c>
      <c r="N239" s="1">
        <v>80998.3</v>
      </c>
      <c r="O239" s="1">
        <v>116596.5</v>
      </c>
      <c r="P239" s="1">
        <v>197594.8</v>
      </c>
      <c r="Q239" s="1">
        <v>30508.1</v>
      </c>
      <c r="R239" s="1">
        <v>10525.9</v>
      </c>
      <c r="S239" s="1">
        <v>41034</v>
      </c>
      <c r="T239" s="1">
        <v>31.05</v>
      </c>
      <c r="U239" s="1">
        <v>0.68</v>
      </c>
      <c r="V239" s="1">
        <v>9791.7000000000007</v>
      </c>
      <c r="W239" s="1">
        <v>40299.800000000003</v>
      </c>
      <c r="X239" s="1">
        <v>600.70000000000005</v>
      </c>
      <c r="Y239" s="1">
        <v>1200</v>
      </c>
      <c r="Z239" s="1">
        <v>237894.6</v>
      </c>
      <c r="AA239" s="1">
        <v>31.26</v>
      </c>
      <c r="AB239" s="1">
        <v>4000</v>
      </c>
    </row>
    <row r="240" spans="1:28" x14ac:dyDescent="0.4">
      <c r="A240" s="1" t="s">
        <v>103</v>
      </c>
      <c r="B240" s="1">
        <v>4000</v>
      </c>
      <c r="C240" s="1">
        <v>0.4</v>
      </c>
      <c r="D240" s="1">
        <v>0.5</v>
      </c>
      <c r="E240" s="1">
        <v>1000</v>
      </c>
      <c r="F240" s="1">
        <v>3</v>
      </c>
      <c r="G240" s="1">
        <v>4</v>
      </c>
      <c r="H240" s="1" t="s">
        <v>583</v>
      </c>
      <c r="I240" s="1">
        <v>368365.6</v>
      </c>
      <c r="J240" s="1">
        <v>138650.29999999999</v>
      </c>
      <c r="K240" s="1">
        <v>229715.3</v>
      </c>
      <c r="L240" s="1">
        <v>1200</v>
      </c>
      <c r="M240" s="1">
        <v>600.03</v>
      </c>
      <c r="N240" s="1">
        <v>81662.5</v>
      </c>
      <c r="O240" s="1">
        <v>128517.1</v>
      </c>
      <c r="P240" s="1">
        <v>210179.6</v>
      </c>
      <c r="Q240" s="1">
        <v>31831.200000000001</v>
      </c>
      <c r="R240" s="1">
        <v>11728.8</v>
      </c>
      <c r="S240" s="1">
        <v>43560</v>
      </c>
      <c r="T240" s="1">
        <v>31.12</v>
      </c>
      <c r="U240" s="1">
        <v>0.75</v>
      </c>
      <c r="V240" s="1">
        <v>10742.4</v>
      </c>
      <c r="W240" s="1">
        <v>42573.599999999999</v>
      </c>
      <c r="X240" s="1">
        <v>600.77</v>
      </c>
      <c r="Y240" s="1">
        <v>1200</v>
      </c>
      <c r="Z240" s="1">
        <v>252753.2</v>
      </c>
      <c r="AA240" s="1">
        <v>31.39</v>
      </c>
      <c r="AB240" s="1">
        <v>4000</v>
      </c>
    </row>
    <row r="241" spans="1:28" x14ac:dyDescent="0.4">
      <c r="A241" s="1" t="s">
        <v>104</v>
      </c>
      <c r="B241" s="1">
        <v>4000</v>
      </c>
      <c r="C241" s="1">
        <v>0.4</v>
      </c>
      <c r="D241" s="1">
        <v>0.5</v>
      </c>
      <c r="E241" s="1">
        <v>1000</v>
      </c>
      <c r="F241" s="1">
        <v>3</v>
      </c>
      <c r="G241" s="1">
        <v>5</v>
      </c>
      <c r="H241" s="1" t="s">
        <v>583</v>
      </c>
      <c r="I241" s="1">
        <v>339263.6</v>
      </c>
      <c r="J241" s="1">
        <v>129708.3</v>
      </c>
      <c r="K241" s="1">
        <v>209555.3</v>
      </c>
      <c r="L241" s="1">
        <v>1200</v>
      </c>
      <c r="M241" s="1">
        <v>600.04</v>
      </c>
      <c r="N241" s="1">
        <v>76907.5</v>
      </c>
      <c r="O241" s="1">
        <v>118072.6</v>
      </c>
      <c r="P241" s="1">
        <v>194980.1</v>
      </c>
      <c r="Q241" s="1">
        <v>32042.9</v>
      </c>
      <c r="R241" s="1">
        <v>11726.1</v>
      </c>
      <c r="S241" s="1">
        <v>43769</v>
      </c>
      <c r="T241" s="1">
        <v>29.63</v>
      </c>
      <c r="U241" s="1">
        <v>0.68</v>
      </c>
      <c r="V241" s="1">
        <v>10955.2</v>
      </c>
      <c r="W241" s="1">
        <v>42998.1</v>
      </c>
      <c r="X241" s="1">
        <v>600.71</v>
      </c>
      <c r="Y241" s="1">
        <v>1200</v>
      </c>
      <c r="Z241" s="1">
        <v>237978.2</v>
      </c>
      <c r="AA241" s="1">
        <v>29.85</v>
      </c>
      <c r="AB241" s="1">
        <v>4000</v>
      </c>
    </row>
    <row r="242" spans="1:28" x14ac:dyDescent="0.4">
      <c r="A242" s="1" t="s">
        <v>437</v>
      </c>
      <c r="B242" s="1">
        <v>4000</v>
      </c>
      <c r="C242" s="1">
        <v>0.4</v>
      </c>
      <c r="D242" s="1">
        <v>0.5</v>
      </c>
      <c r="E242" s="1">
        <v>2000</v>
      </c>
      <c r="F242" s="1">
        <v>1</v>
      </c>
      <c r="G242" s="1">
        <v>1</v>
      </c>
      <c r="H242" s="1" t="s">
        <v>583</v>
      </c>
      <c r="I242" s="1">
        <v>359399</v>
      </c>
      <c r="J242" s="1">
        <v>142539.5</v>
      </c>
      <c r="K242" s="1">
        <v>216859.5</v>
      </c>
      <c r="L242" s="1">
        <v>1200</v>
      </c>
      <c r="M242" s="1">
        <v>600.01</v>
      </c>
      <c r="N242" s="1">
        <v>82145.3</v>
      </c>
      <c r="O242" s="1">
        <v>124573.8</v>
      </c>
      <c r="P242" s="1">
        <v>206719.1</v>
      </c>
      <c r="Q242" s="1">
        <v>34012.1</v>
      </c>
      <c r="R242" s="1">
        <v>14841.9</v>
      </c>
      <c r="S242" s="1">
        <v>48854</v>
      </c>
      <c r="T242" s="1">
        <v>28.89</v>
      </c>
      <c r="U242" s="1">
        <v>0.55000000000000004</v>
      </c>
      <c r="V242" s="1">
        <v>14596.9</v>
      </c>
      <c r="W242" s="1">
        <v>48609</v>
      </c>
      <c r="X242" s="1">
        <v>600.55999999999995</v>
      </c>
      <c r="Y242" s="1">
        <v>1200</v>
      </c>
      <c r="Z242" s="1">
        <v>255328.1</v>
      </c>
      <c r="AA242" s="1">
        <v>28.96</v>
      </c>
      <c r="AB242" s="1">
        <v>4000</v>
      </c>
    </row>
    <row r="243" spans="1:28" x14ac:dyDescent="0.4">
      <c r="A243" s="1" t="s">
        <v>438</v>
      </c>
      <c r="B243" s="1">
        <v>4000</v>
      </c>
      <c r="C243" s="1">
        <v>0.4</v>
      </c>
      <c r="D243" s="1">
        <v>0.5</v>
      </c>
      <c r="E243" s="1">
        <v>2000</v>
      </c>
      <c r="F243" s="1">
        <v>1</v>
      </c>
      <c r="G243" s="1">
        <v>2</v>
      </c>
      <c r="H243" s="1" t="s">
        <v>583</v>
      </c>
      <c r="I243" s="1">
        <v>357031.4</v>
      </c>
      <c r="J243" s="1">
        <v>141652.1</v>
      </c>
      <c r="K243" s="1">
        <v>215379.3</v>
      </c>
      <c r="L243" s="1">
        <v>1200</v>
      </c>
      <c r="M243" s="1">
        <v>600.02</v>
      </c>
      <c r="N243" s="1">
        <v>81410.100000000006</v>
      </c>
      <c r="O243" s="1">
        <v>124578.7</v>
      </c>
      <c r="P243" s="1">
        <v>205988.8</v>
      </c>
      <c r="Q243" s="1">
        <v>33458</v>
      </c>
      <c r="R243" s="1">
        <v>14768.5</v>
      </c>
      <c r="S243" s="1">
        <v>48226.5</v>
      </c>
      <c r="T243" s="1">
        <v>28.8</v>
      </c>
      <c r="U243" s="1">
        <v>0.5</v>
      </c>
      <c r="V243" s="1">
        <v>14492.1</v>
      </c>
      <c r="W243" s="1">
        <v>47950.1</v>
      </c>
      <c r="X243" s="1">
        <v>600.52</v>
      </c>
      <c r="Y243" s="1">
        <v>1200</v>
      </c>
      <c r="Z243" s="1">
        <v>253938.9</v>
      </c>
      <c r="AA243" s="1">
        <v>28.87</v>
      </c>
      <c r="AB243" s="1">
        <v>4000</v>
      </c>
    </row>
    <row r="244" spans="1:28" x14ac:dyDescent="0.4">
      <c r="A244" s="1" t="s">
        <v>439</v>
      </c>
      <c r="B244" s="1">
        <v>4000</v>
      </c>
      <c r="C244" s="1">
        <v>0.4</v>
      </c>
      <c r="D244" s="1">
        <v>0.5</v>
      </c>
      <c r="E244" s="1">
        <v>2000</v>
      </c>
      <c r="F244" s="1">
        <v>1</v>
      </c>
      <c r="G244" s="1">
        <v>3</v>
      </c>
      <c r="H244" s="1" t="s">
        <v>583</v>
      </c>
      <c r="I244" s="1">
        <v>354479.3</v>
      </c>
      <c r="J244" s="1">
        <v>137883.5</v>
      </c>
      <c r="K244" s="1">
        <v>216595.8</v>
      </c>
      <c r="L244" s="1">
        <v>1200</v>
      </c>
      <c r="M244" s="1">
        <v>600.02</v>
      </c>
      <c r="N244" s="1">
        <v>81150.2</v>
      </c>
      <c r="O244" s="1">
        <v>125779.6</v>
      </c>
      <c r="P244" s="1">
        <v>206929.8</v>
      </c>
      <c r="Q244" s="1">
        <v>33717</v>
      </c>
      <c r="R244" s="1">
        <v>14887</v>
      </c>
      <c r="S244" s="1">
        <v>48604</v>
      </c>
      <c r="T244" s="1">
        <v>27.91</v>
      </c>
      <c r="U244" s="1">
        <v>0.44</v>
      </c>
      <c r="V244" s="1">
        <v>14719.3</v>
      </c>
      <c r="W244" s="1">
        <v>48436.3</v>
      </c>
      <c r="X244" s="1">
        <v>600.46</v>
      </c>
      <c r="Y244" s="1">
        <v>1200</v>
      </c>
      <c r="Z244" s="1">
        <v>255366.1</v>
      </c>
      <c r="AA244" s="1">
        <v>27.96</v>
      </c>
      <c r="AB244" s="1">
        <v>4000</v>
      </c>
    </row>
    <row r="245" spans="1:28" x14ac:dyDescent="0.4">
      <c r="A245" s="1" t="s">
        <v>440</v>
      </c>
      <c r="B245" s="1">
        <v>4000</v>
      </c>
      <c r="C245" s="1">
        <v>0.4</v>
      </c>
      <c r="D245" s="1">
        <v>0.5</v>
      </c>
      <c r="E245" s="1">
        <v>2000</v>
      </c>
      <c r="F245" s="1">
        <v>1</v>
      </c>
      <c r="G245" s="1">
        <v>4</v>
      </c>
      <c r="H245" s="1" t="s">
        <v>583</v>
      </c>
      <c r="I245" s="1">
        <v>350005.1</v>
      </c>
      <c r="J245" s="1">
        <v>139952.9</v>
      </c>
      <c r="K245" s="1">
        <v>210052.2</v>
      </c>
      <c r="L245" s="1">
        <v>1200</v>
      </c>
      <c r="M245" s="1">
        <v>600</v>
      </c>
      <c r="N245" s="1">
        <v>80218.3</v>
      </c>
      <c r="O245" s="1">
        <v>119463.4</v>
      </c>
      <c r="P245" s="1">
        <v>199681.7</v>
      </c>
      <c r="Q245" s="1">
        <v>34318.300000000003</v>
      </c>
      <c r="R245" s="1">
        <v>14531.4</v>
      </c>
      <c r="S245" s="1">
        <v>48849.7</v>
      </c>
      <c r="T245" s="1">
        <v>28.99</v>
      </c>
      <c r="U245" s="1">
        <v>0.51</v>
      </c>
      <c r="V245" s="1">
        <v>14251.8</v>
      </c>
      <c r="W245" s="1">
        <v>48570.1</v>
      </c>
      <c r="X245" s="1">
        <v>600.51</v>
      </c>
      <c r="Y245" s="1">
        <v>1200</v>
      </c>
      <c r="Z245" s="1">
        <v>248251.8</v>
      </c>
      <c r="AA245" s="1">
        <v>29.07</v>
      </c>
      <c r="AB245" s="1">
        <v>4000</v>
      </c>
    </row>
    <row r="246" spans="1:28" x14ac:dyDescent="0.4">
      <c r="A246" s="1" t="s">
        <v>441</v>
      </c>
      <c r="B246" s="1">
        <v>4000</v>
      </c>
      <c r="C246" s="1">
        <v>0.4</v>
      </c>
      <c r="D246" s="1">
        <v>0.5</v>
      </c>
      <c r="E246" s="1">
        <v>2000</v>
      </c>
      <c r="F246" s="1">
        <v>1</v>
      </c>
      <c r="G246" s="1">
        <v>5</v>
      </c>
      <c r="H246" s="1" t="s">
        <v>583</v>
      </c>
      <c r="I246" s="1">
        <v>349985</v>
      </c>
      <c r="J246" s="1">
        <v>143173.9</v>
      </c>
      <c r="K246" s="1">
        <v>206811.1</v>
      </c>
      <c r="L246" s="1">
        <v>1200</v>
      </c>
      <c r="M246" s="1">
        <v>600.01</v>
      </c>
      <c r="N246" s="1">
        <v>81680.3</v>
      </c>
      <c r="O246" s="1">
        <v>118370</v>
      </c>
      <c r="P246" s="1">
        <v>200050.3</v>
      </c>
      <c r="Q246" s="1">
        <v>33944</v>
      </c>
      <c r="R246" s="1">
        <v>14953.2</v>
      </c>
      <c r="S246" s="1">
        <v>48897.2</v>
      </c>
      <c r="T246" s="1">
        <v>28.87</v>
      </c>
      <c r="U246" s="1">
        <v>0.56000000000000005</v>
      </c>
      <c r="V246" s="1">
        <v>14683.6</v>
      </c>
      <c r="W246" s="1">
        <v>48627.6</v>
      </c>
      <c r="X246" s="1">
        <v>600.55999999999995</v>
      </c>
      <c r="Y246" s="1">
        <v>1200</v>
      </c>
      <c r="Z246" s="1">
        <v>248677.9</v>
      </c>
      <c r="AA246" s="1">
        <v>28.95</v>
      </c>
      <c r="AB246" s="1">
        <v>4000</v>
      </c>
    </row>
    <row r="247" spans="1:28" x14ac:dyDescent="0.4">
      <c r="A247" s="1" t="s">
        <v>442</v>
      </c>
      <c r="B247" s="1">
        <v>4000</v>
      </c>
      <c r="C247" s="1">
        <v>0.4</v>
      </c>
      <c r="D247" s="1">
        <v>0.5</v>
      </c>
      <c r="E247" s="1">
        <v>2000</v>
      </c>
      <c r="F247" s="1">
        <v>2</v>
      </c>
      <c r="G247" s="1">
        <v>1</v>
      </c>
      <c r="H247" s="1" t="s">
        <v>583</v>
      </c>
      <c r="I247" s="1">
        <v>530065.5</v>
      </c>
      <c r="J247" s="1">
        <v>200162.8</v>
      </c>
      <c r="K247" s="1">
        <v>329902.7</v>
      </c>
      <c r="L247" s="1">
        <v>1200</v>
      </c>
      <c r="M247" s="1">
        <v>600</v>
      </c>
      <c r="N247" s="1">
        <v>120832.2</v>
      </c>
      <c r="O247" s="1">
        <v>192852.1</v>
      </c>
      <c r="P247" s="1">
        <v>313684.3</v>
      </c>
      <c r="Q247" s="1">
        <v>32673.5</v>
      </c>
      <c r="R247" s="1">
        <v>14403.9</v>
      </c>
      <c r="S247" s="1">
        <v>47077.4</v>
      </c>
      <c r="T247" s="1">
        <v>31.94</v>
      </c>
      <c r="U247" s="1">
        <v>0.83</v>
      </c>
      <c r="V247" s="1">
        <v>13784.1</v>
      </c>
      <c r="W247" s="1">
        <v>46457.599999999999</v>
      </c>
      <c r="X247" s="1">
        <v>600.83000000000004</v>
      </c>
      <c r="Y247" s="1">
        <v>1200</v>
      </c>
      <c r="Z247" s="1">
        <v>360141.9</v>
      </c>
      <c r="AA247" s="1">
        <v>32.06</v>
      </c>
      <c r="AB247" s="1">
        <v>4000</v>
      </c>
    </row>
    <row r="248" spans="1:28" x14ac:dyDescent="0.4">
      <c r="A248" s="1" t="s">
        <v>443</v>
      </c>
      <c r="B248" s="1">
        <v>4000</v>
      </c>
      <c r="C248" s="1">
        <v>0.4</v>
      </c>
      <c r="D248" s="1">
        <v>0.5</v>
      </c>
      <c r="E248" s="1">
        <v>2000</v>
      </c>
      <c r="F248" s="1">
        <v>2</v>
      </c>
      <c r="G248" s="1">
        <v>2</v>
      </c>
      <c r="H248" s="1" t="s">
        <v>583</v>
      </c>
      <c r="I248" s="1">
        <v>544762.19999999995</v>
      </c>
      <c r="J248" s="1">
        <v>210074.1</v>
      </c>
      <c r="K248" s="1">
        <v>334688.09999999998</v>
      </c>
      <c r="L248" s="1">
        <v>1200</v>
      </c>
      <c r="M248" s="1">
        <v>600.02</v>
      </c>
      <c r="N248" s="1">
        <v>125997.5</v>
      </c>
      <c r="O248" s="1">
        <v>194722.6</v>
      </c>
      <c r="P248" s="1">
        <v>320720.09999999998</v>
      </c>
      <c r="Q248" s="1">
        <v>33051</v>
      </c>
      <c r="R248" s="1">
        <v>14564.2</v>
      </c>
      <c r="S248" s="1">
        <v>47615.199999999997</v>
      </c>
      <c r="T248" s="1">
        <v>32.39</v>
      </c>
      <c r="U248" s="1">
        <v>0.66</v>
      </c>
      <c r="V248" s="1">
        <v>13971.4</v>
      </c>
      <c r="W248" s="1">
        <v>47022.400000000001</v>
      </c>
      <c r="X248" s="1">
        <v>600.67999999999995</v>
      </c>
      <c r="Y248" s="1">
        <v>1200</v>
      </c>
      <c r="Z248" s="1">
        <v>367742.5</v>
      </c>
      <c r="AA248" s="1">
        <v>32.49</v>
      </c>
      <c r="AB248" s="1">
        <v>4000</v>
      </c>
    </row>
    <row r="249" spans="1:28" x14ac:dyDescent="0.4">
      <c r="A249" s="1" t="s">
        <v>444</v>
      </c>
      <c r="B249" s="1">
        <v>4000</v>
      </c>
      <c r="C249" s="1">
        <v>0.4</v>
      </c>
      <c r="D249" s="1">
        <v>0.5</v>
      </c>
      <c r="E249" s="1">
        <v>2000</v>
      </c>
      <c r="F249" s="1">
        <v>2</v>
      </c>
      <c r="G249" s="1">
        <v>3</v>
      </c>
      <c r="H249" s="1" t="s">
        <v>583</v>
      </c>
      <c r="I249" s="1">
        <v>530652.9</v>
      </c>
      <c r="J249" s="1">
        <v>203092.4</v>
      </c>
      <c r="K249" s="1">
        <v>327560.5</v>
      </c>
      <c r="L249" s="1">
        <v>1200</v>
      </c>
      <c r="M249" s="1">
        <v>600.01</v>
      </c>
      <c r="N249" s="1">
        <v>123034.6</v>
      </c>
      <c r="O249" s="1">
        <v>190802.1</v>
      </c>
      <c r="P249" s="1">
        <v>313836.7</v>
      </c>
      <c r="Q249" s="1">
        <v>32764.1</v>
      </c>
      <c r="R249" s="1">
        <v>14539.2</v>
      </c>
      <c r="S249" s="1">
        <v>47303.3</v>
      </c>
      <c r="T249" s="1">
        <v>31.94</v>
      </c>
      <c r="U249" s="1">
        <v>0.77</v>
      </c>
      <c r="V249" s="1">
        <v>13661.5</v>
      </c>
      <c r="W249" s="1">
        <v>46425.599999999999</v>
      </c>
      <c r="X249" s="1">
        <v>600.78</v>
      </c>
      <c r="Y249" s="1">
        <v>1200</v>
      </c>
      <c r="Z249" s="1">
        <v>360262.3</v>
      </c>
      <c r="AA249" s="1">
        <v>32.11</v>
      </c>
      <c r="AB249" s="1">
        <v>4000</v>
      </c>
    </row>
    <row r="250" spans="1:28" x14ac:dyDescent="0.4">
      <c r="A250" s="1" t="s">
        <v>445</v>
      </c>
      <c r="B250" s="1">
        <v>4000</v>
      </c>
      <c r="C250" s="1">
        <v>0.4</v>
      </c>
      <c r="D250" s="1">
        <v>0.5</v>
      </c>
      <c r="E250" s="1">
        <v>2000</v>
      </c>
      <c r="F250" s="1">
        <v>2</v>
      </c>
      <c r="G250" s="1">
        <v>4</v>
      </c>
      <c r="H250" s="1" t="s">
        <v>583</v>
      </c>
      <c r="I250" s="1">
        <v>541149</v>
      </c>
      <c r="J250" s="1">
        <v>207558.3</v>
      </c>
      <c r="K250" s="1">
        <v>333590.7</v>
      </c>
      <c r="L250" s="1">
        <v>1200</v>
      </c>
      <c r="M250" s="1">
        <v>600.01</v>
      </c>
      <c r="N250" s="1">
        <v>124229.4</v>
      </c>
      <c r="O250" s="1">
        <v>192039.1</v>
      </c>
      <c r="P250" s="1">
        <v>316268.5</v>
      </c>
      <c r="Q250" s="1">
        <v>32684.6</v>
      </c>
      <c r="R250" s="1">
        <v>14491.5</v>
      </c>
      <c r="S250" s="1">
        <v>47176.1</v>
      </c>
      <c r="T250" s="1">
        <v>32.840000000000003</v>
      </c>
      <c r="U250" s="1">
        <v>0.83</v>
      </c>
      <c r="V250" s="1">
        <v>13766.7</v>
      </c>
      <c r="W250" s="1">
        <v>46451.3</v>
      </c>
      <c r="X250" s="1">
        <v>600.84</v>
      </c>
      <c r="Y250" s="1">
        <v>1200</v>
      </c>
      <c r="Z250" s="1">
        <v>362719.8</v>
      </c>
      <c r="AA250" s="1">
        <v>32.97</v>
      </c>
      <c r="AB250" s="1">
        <v>4000</v>
      </c>
    </row>
    <row r="251" spans="1:28" x14ac:dyDescent="0.4">
      <c r="A251" s="1" t="s">
        <v>446</v>
      </c>
      <c r="B251" s="1">
        <v>4000</v>
      </c>
      <c r="C251" s="1">
        <v>0.4</v>
      </c>
      <c r="D251" s="1">
        <v>0.5</v>
      </c>
      <c r="E251" s="1">
        <v>2000</v>
      </c>
      <c r="F251" s="1">
        <v>2</v>
      </c>
      <c r="G251" s="1">
        <v>5</v>
      </c>
      <c r="H251" s="1" t="s">
        <v>583</v>
      </c>
      <c r="I251" s="1">
        <v>541488.4</v>
      </c>
      <c r="J251" s="1">
        <v>211176</v>
      </c>
      <c r="K251" s="1">
        <v>330312.40000000002</v>
      </c>
      <c r="L251" s="1">
        <v>1200</v>
      </c>
      <c r="M251" s="1">
        <v>600.04</v>
      </c>
      <c r="N251" s="1">
        <v>127454.5</v>
      </c>
      <c r="O251" s="1">
        <v>191733.1</v>
      </c>
      <c r="P251" s="1">
        <v>319187.59999999998</v>
      </c>
      <c r="Q251" s="1">
        <v>32854.9</v>
      </c>
      <c r="R251" s="1">
        <v>14660.2</v>
      </c>
      <c r="S251" s="1">
        <v>47515.1</v>
      </c>
      <c r="T251" s="1">
        <v>32.28</v>
      </c>
      <c r="U251" s="1">
        <v>0.86</v>
      </c>
      <c r="V251" s="1">
        <v>13791.8</v>
      </c>
      <c r="W251" s="1">
        <v>46646.7</v>
      </c>
      <c r="X251" s="1">
        <v>600.9</v>
      </c>
      <c r="Y251" s="1">
        <v>1200</v>
      </c>
      <c r="Z251" s="1">
        <v>365834.3</v>
      </c>
      <c r="AA251" s="1">
        <v>32.44</v>
      </c>
      <c r="AB251" s="1">
        <v>4000</v>
      </c>
    </row>
    <row r="252" spans="1:28" x14ac:dyDescent="0.4">
      <c r="A252" s="1" t="s">
        <v>447</v>
      </c>
      <c r="B252" s="1">
        <v>4000</v>
      </c>
      <c r="C252" s="1">
        <v>0.4</v>
      </c>
      <c r="D252" s="1">
        <v>0.5</v>
      </c>
      <c r="E252" s="1">
        <v>2000</v>
      </c>
      <c r="F252" s="1">
        <v>3</v>
      </c>
      <c r="G252" s="1">
        <v>1</v>
      </c>
      <c r="H252" s="1" t="s">
        <v>583</v>
      </c>
      <c r="I252" s="1">
        <v>690900.6</v>
      </c>
      <c r="J252" s="1">
        <v>273563.3</v>
      </c>
      <c r="K252" s="1">
        <v>417337.3</v>
      </c>
      <c r="L252" s="1">
        <v>1200</v>
      </c>
      <c r="M252" s="1">
        <v>600.01</v>
      </c>
      <c r="N252" s="1">
        <v>169811.6</v>
      </c>
      <c r="O252" s="1">
        <v>251256.9</v>
      </c>
      <c r="P252" s="1">
        <v>421068.5</v>
      </c>
      <c r="Q252" s="1">
        <v>31871.4</v>
      </c>
      <c r="R252" s="1">
        <v>12742.7</v>
      </c>
      <c r="S252" s="1">
        <v>44614.1</v>
      </c>
      <c r="T252" s="1">
        <v>32.6</v>
      </c>
      <c r="U252" s="1">
        <v>0.94</v>
      </c>
      <c r="V252" s="1">
        <v>11783.8</v>
      </c>
      <c r="W252" s="1">
        <v>43655.199999999997</v>
      </c>
      <c r="X252" s="1">
        <v>600.95000000000005</v>
      </c>
      <c r="Y252" s="1">
        <v>1200</v>
      </c>
      <c r="Z252" s="1">
        <v>464723.7</v>
      </c>
      <c r="AA252" s="1">
        <v>32.74</v>
      </c>
      <c r="AB252" s="1">
        <v>4000</v>
      </c>
    </row>
    <row r="253" spans="1:28" x14ac:dyDescent="0.4">
      <c r="A253" s="1" t="s">
        <v>448</v>
      </c>
      <c r="B253" s="1">
        <v>4000</v>
      </c>
      <c r="C253" s="1">
        <v>0.4</v>
      </c>
      <c r="D253" s="1">
        <v>0.5</v>
      </c>
      <c r="E253" s="1">
        <v>2000</v>
      </c>
      <c r="F253" s="1">
        <v>3</v>
      </c>
      <c r="G253" s="1">
        <v>2</v>
      </c>
      <c r="H253" s="1" t="s">
        <v>583</v>
      </c>
      <c r="I253" s="1">
        <v>683230.4</v>
      </c>
      <c r="J253" s="1">
        <v>258189.2</v>
      </c>
      <c r="K253" s="1">
        <v>425041.2</v>
      </c>
      <c r="L253" s="1">
        <v>1200</v>
      </c>
      <c r="M253" s="1">
        <v>600.09</v>
      </c>
      <c r="N253" s="1">
        <v>157549.79999999999</v>
      </c>
      <c r="O253" s="1">
        <v>252549.5</v>
      </c>
      <c r="P253" s="1">
        <v>410099.3</v>
      </c>
      <c r="Q253" s="1">
        <v>32373.599999999999</v>
      </c>
      <c r="R253" s="1">
        <v>13218</v>
      </c>
      <c r="S253" s="1">
        <v>45591.6</v>
      </c>
      <c r="T253" s="1">
        <v>33.299999999999997</v>
      </c>
      <c r="U253" s="1">
        <v>0.83</v>
      </c>
      <c r="V253" s="1">
        <v>12315.8</v>
      </c>
      <c r="W253" s="1">
        <v>44689.4</v>
      </c>
      <c r="X253" s="1">
        <v>600.91999999999996</v>
      </c>
      <c r="Y253" s="1">
        <v>1200</v>
      </c>
      <c r="Z253" s="1">
        <v>454788.7</v>
      </c>
      <c r="AA253" s="1">
        <v>33.44</v>
      </c>
      <c r="AB253" s="1">
        <v>4000</v>
      </c>
    </row>
    <row r="254" spans="1:28" x14ac:dyDescent="0.4">
      <c r="A254" s="1" t="s">
        <v>449</v>
      </c>
      <c r="B254" s="1">
        <v>4000</v>
      </c>
      <c r="C254" s="1">
        <v>0.4</v>
      </c>
      <c r="D254" s="1">
        <v>0.5</v>
      </c>
      <c r="E254" s="1">
        <v>2000</v>
      </c>
      <c r="F254" s="1">
        <v>3</v>
      </c>
      <c r="G254" s="1">
        <v>3</v>
      </c>
      <c r="H254" s="1" t="s">
        <v>583</v>
      </c>
      <c r="I254" s="1">
        <v>685319.4</v>
      </c>
      <c r="J254" s="1">
        <v>263709.59999999998</v>
      </c>
      <c r="K254" s="1">
        <v>421609.8</v>
      </c>
      <c r="L254" s="1">
        <v>1200</v>
      </c>
      <c r="M254" s="1">
        <v>600.07000000000005</v>
      </c>
      <c r="N254" s="1">
        <v>161305.4</v>
      </c>
      <c r="O254" s="1">
        <v>250744.3</v>
      </c>
      <c r="P254" s="1">
        <v>412049.7</v>
      </c>
      <c r="Q254" s="1">
        <v>32274.799999999999</v>
      </c>
      <c r="R254" s="1">
        <v>13300.3</v>
      </c>
      <c r="S254" s="1">
        <v>45575.1</v>
      </c>
      <c r="T254" s="1">
        <v>33.22</v>
      </c>
      <c r="U254" s="1">
        <v>0.92</v>
      </c>
      <c r="V254" s="1">
        <v>12467.7</v>
      </c>
      <c r="W254" s="1">
        <v>44742.5</v>
      </c>
      <c r="X254" s="1">
        <v>600.99</v>
      </c>
      <c r="Y254" s="1">
        <v>1200</v>
      </c>
      <c r="Z254" s="1">
        <v>456792.2</v>
      </c>
      <c r="AA254" s="1">
        <v>33.35</v>
      </c>
      <c r="AB254" s="1">
        <v>4000</v>
      </c>
    </row>
    <row r="255" spans="1:28" x14ac:dyDescent="0.4">
      <c r="A255" s="1" t="s">
        <v>450</v>
      </c>
      <c r="B255" s="1">
        <v>4000</v>
      </c>
      <c r="C255" s="1">
        <v>0.4</v>
      </c>
      <c r="D255" s="1">
        <v>0.5</v>
      </c>
      <c r="E255" s="1">
        <v>2000</v>
      </c>
      <c r="F255" s="1">
        <v>3</v>
      </c>
      <c r="G255" s="1">
        <v>4</v>
      </c>
      <c r="H255" s="1" t="s">
        <v>583</v>
      </c>
      <c r="I255" s="1">
        <v>705555.1</v>
      </c>
      <c r="J255" s="1">
        <v>275391</v>
      </c>
      <c r="K255" s="1">
        <v>430164.1</v>
      </c>
      <c r="L255" s="1">
        <v>1200</v>
      </c>
      <c r="M255" s="1">
        <v>600.05999999999995</v>
      </c>
      <c r="N255" s="1">
        <v>168680.4</v>
      </c>
      <c r="O255" s="1">
        <v>257218.8</v>
      </c>
      <c r="P255" s="1">
        <v>425899.2</v>
      </c>
      <c r="Q255" s="1">
        <v>32308.1</v>
      </c>
      <c r="R255" s="1">
        <v>13179.3</v>
      </c>
      <c r="S255" s="1">
        <v>45487.4</v>
      </c>
      <c r="T255" s="1">
        <v>33.19</v>
      </c>
      <c r="U255" s="1">
        <v>0.79</v>
      </c>
      <c r="V255" s="1">
        <v>12208.4</v>
      </c>
      <c r="W255" s="1">
        <v>44516.5</v>
      </c>
      <c r="X255" s="1">
        <v>600.85</v>
      </c>
      <c r="Y255" s="1">
        <v>1200</v>
      </c>
      <c r="Z255" s="1">
        <v>470415.7</v>
      </c>
      <c r="AA255" s="1">
        <v>33.33</v>
      </c>
      <c r="AB255" s="1">
        <v>4000</v>
      </c>
    </row>
    <row r="256" spans="1:28" x14ac:dyDescent="0.4">
      <c r="A256" s="1" t="s">
        <v>451</v>
      </c>
      <c r="B256" s="1">
        <v>4000</v>
      </c>
      <c r="C256" s="1">
        <v>0.4</v>
      </c>
      <c r="D256" s="1">
        <v>0.5</v>
      </c>
      <c r="E256" s="1">
        <v>2000</v>
      </c>
      <c r="F256" s="1">
        <v>3</v>
      </c>
      <c r="G256" s="1">
        <v>5</v>
      </c>
      <c r="H256" s="1" t="s">
        <v>583</v>
      </c>
      <c r="I256" s="1">
        <v>690650.8</v>
      </c>
      <c r="J256" s="1">
        <v>277328.40000000002</v>
      </c>
      <c r="K256" s="1">
        <v>413322.4</v>
      </c>
      <c r="L256" s="1">
        <v>1200</v>
      </c>
      <c r="M256" s="1">
        <v>600.01</v>
      </c>
      <c r="N256" s="1">
        <v>168905.5</v>
      </c>
      <c r="O256" s="1">
        <v>245122.7</v>
      </c>
      <c r="P256" s="1">
        <v>414028.2</v>
      </c>
      <c r="Q256" s="1">
        <v>32550.7</v>
      </c>
      <c r="R256" s="1">
        <v>12833.9</v>
      </c>
      <c r="S256" s="1">
        <v>45384.6</v>
      </c>
      <c r="T256" s="1">
        <v>33.479999999999997</v>
      </c>
      <c r="U256" s="1">
        <v>0.88</v>
      </c>
      <c r="V256" s="1">
        <v>11834.2</v>
      </c>
      <c r="W256" s="1">
        <v>44384.9</v>
      </c>
      <c r="X256" s="1">
        <v>600.89</v>
      </c>
      <c r="Y256" s="1">
        <v>1200</v>
      </c>
      <c r="Z256" s="1">
        <v>458413.1</v>
      </c>
      <c r="AA256" s="1">
        <v>33.630000000000003</v>
      </c>
      <c r="AB256" s="1">
        <v>4000</v>
      </c>
    </row>
    <row r="257" spans="1:28" x14ac:dyDescent="0.4">
      <c r="A257" s="1" t="s">
        <v>452</v>
      </c>
      <c r="B257" s="1">
        <v>4000</v>
      </c>
      <c r="C257" s="1">
        <v>0.4</v>
      </c>
      <c r="D257" s="1">
        <v>0.5</v>
      </c>
      <c r="E257" s="1">
        <v>500</v>
      </c>
      <c r="F257" s="1">
        <v>1</v>
      </c>
      <c r="G257" s="1">
        <v>1</v>
      </c>
      <c r="H257" s="1" t="s">
        <v>583</v>
      </c>
      <c r="I257" s="1">
        <v>87661.1</v>
      </c>
      <c r="J257" s="1">
        <v>35162.800000000003</v>
      </c>
      <c r="K257" s="1">
        <v>52498.3</v>
      </c>
      <c r="L257" s="1">
        <v>1200</v>
      </c>
      <c r="M257" s="1">
        <v>600.01</v>
      </c>
      <c r="N257" s="1">
        <v>15961.7</v>
      </c>
      <c r="O257" s="1">
        <v>24346.400000000001</v>
      </c>
      <c r="P257" s="1">
        <v>40308.1</v>
      </c>
      <c r="Q257" s="1">
        <v>29419.3</v>
      </c>
      <c r="R257" s="1">
        <v>7664.5</v>
      </c>
      <c r="S257" s="1">
        <v>37083.800000000003</v>
      </c>
      <c r="T257" s="1">
        <v>11.71</v>
      </c>
      <c r="U257" s="1">
        <v>0.38</v>
      </c>
      <c r="V257" s="1">
        <v>7460.9</v>
      </c>
      <c r="W257" s="1">
        <v>36880.199999999997</v>
      </c>
      <c r="X257" s="1">
        <v>600.38</v>
      </c>
      <c r="Y257" s="1">
        <v>1200</v>
      </c>
      <c r="Z257" s="1">
        <v>77188.3</v>
      </c>
      <c r="AA257" s="1">
        <v>11.95</v>
      </c>
      <c r="AB257" s="1">
        <v>4000</v>
      </c>
    </row>
    <row r="258" spans="1:28" x14ac:dyDescent="0.4">
      <c r="A258" s="1" t="s">
        <v>453</v>
      </c>
      <c r="B258" s="1">
        <v>4000</v>
      </c>
      <c r="C258" s="1">
        <v>0.4</v>
      </c>
      <c r="D258" s="1">
        <v>0.5</v>
      </c>
      <c r="E258" s="1">
        <v>500</v>
      </c>
      <c r="F258" s="1">
        <v>1</v>
      </c>
      <c r="G258" s="1">
        <v>2</v>
      </c>
      <c r="H258" s="1" t="s">
        <v>583</v>
      </c>
      <c r="I258" s="1">
        <v>89703.4</v>
      </c>
      <c r="J258" s="1">
        <v>36386.6</v>
      </c>
      <c r="K258" s="1">
        <v>53316.800000000003</v>
      </c>
      <c r="L258" s="1">
        <v>1200</v>
      </c>
      <c r="M258" s="1">
        <v>600</v>
      </c>
      <c r="N258" s="1">
        <v>16119.8</v>
      </c>
      <c r="O258" s="1">
        <v>24369.3</v>
      </c>
      <c r="P258" s="1">
        <v>40489.1</v>
      </c>
      <c r="Q258" s="1">
        <v>29545.599999999999</v>
      </c>
      <c r="R258" s="1">
        <v>8087.8</v>
      </c>
      <c r="S258" s="1">
        <v>37633.4</v>
      </c>
      <c r="T258" s="1">
        <v>12.91</v>
      </c>
      <c r="U258" s="1">
        <v>0.4</v>
      </c>
      <c r="V258" s="1">
        <v>7735</v>
      </c>
      <c r="W258" s="1">
        <v>37280.6</v>
      </c>
      <c r="X258" s="1">
        <v>600.41</v>
      </c>
      <c r="Y258" s="1">
        <v>1199</v>
      </c>
      <c r="Z258" s="1">
        <v>77769.7</v>
      </c>
      <c r="AA258" s="1">
        <v>13.3</v>
      </c>
      <c r="AB258" s="1">
        <v>4000</v>
      </c>
    </row>
    <row r="259" spans="1:28" x14ac:dyDescent="0.4">
      <c r="A259" s="1" t="s">
        <v>454</v>
      </c>
      <c r="B259" s="1">
        <v>4000</v>
      </c>
      <c r="C259" s="1">
        <v>0.4</v>
      </c>
      <c r="D259" s="1">
        <v>0.5</v>
      </c>
      <c r="E259" s="1">
        <v>500</v>
      </c>
      <c r="F259" s="1">
        <v>1</v>
      </c>
      <c r="G259" s="1">
        <v>3</v>
      </c>
      <c r="H259" s="1" t="s">
        <v>583</v>
      </c>
      <c r="I259" s="1">
        <v>91355.9</v>
      </c>
      <c r="J259" s="1">
        <v>35827.599999999999</v>
      </c>
      <c r="K259" s="1">
        <v>55528.3</v>
      </c>
      <c r="L259" s="1">
        <v>1200</v>
      </c>
      <c r="M259" s="1">
        <v>600.01</v>
      </c>
      <c r="N259" s="1">
        <v>16130.2</v>
      </c>
      <c r="O259" s="1">
        <v>26139</v>
      </c>
      <c r="P259" s="1">
        <v>42269.2</v>
      </c>
      <c r="Q259" s="1">
        <v>28965.4</v>
      </c>
      <c r="R259" s="1">
        <v>8021.8</v>
      </c>
      <c r="S259" s="1">
        <v>36987.199999999997</v>
      </c>
      <c r="T259" s="1">
        <v>13.24</v>
      </c>
      <c r="U259" s="1">
        <v>0.39</v>
      </c>
      <c r="V259" s="1">
        <v>7641.5</v>
      </c>
      <c r="W259" s="1">
        <v>36606.9</v>
      </c>
      <c r="X259" s="1">
        <v>600.4</v>
      </c>
      <c r="Y259" s="1">
        <v>1199</v>
      </c>
      <c r="Z259" s="1">
        <v>78876.100000000006</v>
      </c>
      <c r="AA259" s="1">
        <v>13.66</v>
      </c>
      <c r="AB259" s="1">
        <v>4000</v>
      </c>
    </row>
    <row r="260" spans="1:28" x14ac:dyDescent="0.4">
      <c r="A260" s="1" t="s">
        <v>455</v>
      </c>
      <c r="B260" s="1">
        <v>4000</v>
      </c>
      <c r="C260" s="1">
        <v>0.4</v>
      </c>
      <c r="D260" s="1">
        <v>0.5</v>
      </c>
      <c r="E260" s="1">
        <v>500</v>
      </c>
      <c r="F260" s="1">
        <v>1</v>
      </c>
      <c r="G260" s="1">
        <v>4</v>
      </c>
      <c r="H260" s="1" t="s">
        <v>583</v>
      </c>
      <c r="I260" s="1">
        <v>87928.6</v>
      </c>
      <c r="J260" s="1">
        <v>35207.4</v>
      </c>
      <c r="K260" s="1">
        <v>52721.2</v>
      </c>
      <c r="L260" s="1">
        <v>1200</v>
      </c>
      <c r="M260" s="1">
        <v>600</v>
      </c>
      <c r="N260" s="1">
        <v>15927.3</v>
      </c>
      <c r="O260" s="1">
        <v>23749.7</v>
      </c>
      <c r="P260" s="1">
        <v>39677</v>
      </c>
      <c r="Q260" s="1">
        <v>29052.6</v>
      </c>
      <c r="R260" s="1">
        <v>7847.4</v>
      </c>
      <c r="S260" s="1">
        <v>36900</v>
      </c>
      <c r="T260" s="1">
        <v>12.91</v>
      </c>
      <c r="U260" s="1">
        <v>0.35</v>
      </c>
      <c r="V260" s="1">
        <v>7565.4</v>
      </c>
      <c r="W260" s="1">
        <v>36618</v>
      </c>
      <c r="X260" s="1">
        <v>600.36</v>
      </c>
      <c r="Y260" s="1">
        <v>1200</v>
      </c>
      <c r="Z260" s="1">
        <v>76295</v>
      </c>
      <c r="AA260" s="1">
        <v>13.23</v>
      </c>
      <c r="AB260" s="1">
        <v>4000</v>
      </c>
    </row>
    <row r="261" spans="1:28" x14ac:dyDescent="0.4">
      <c r="A261" s="1" t="s">
        <v>456</v>
      </c>
      <c r="B261" s="1">
        <v>4000</v>
      </c>
      <c r="C261" s="1">
        <v>0.4</v>
      </c>
      <c r="D261" s="1">
        <v>0.5</v>
      </c>
      <c r="E261" s="1">
        <v>500</v>
      </c>
      <c r="F261" s="1">
        <v>1</v>
      </c>
      <c r="G261" s="1">
        <v>5</v>
      </c>
      <c r="H261" s="1" t="s">
        <v>583</v>
      </c>
      <c r="I261" s="1">
        <v>88814</v>
      </c>
      <c r="J261" s="1">
        <v>36737.1</v>
      </c>
      <c r="K261" s="1">
        <v>52076.9</v>
      </c>
      <c r="L261" s="1">
        <v>1200</v>
      </c>
      <c r="M261" s="1">
        <v>600</v>
      </c>
      <c r="N261" s="1">
        <v>16509.7</v>
      </c>
      <c r="O261" s="1">
        <v>24118.3</v>
      </c>
      <c r="P261" s="1">
        <v>40628</v>
      </c>
      <c r="Q261" s="1">
        <v>29037</v>
      </c>
      <c r="R261" s="1">
        <v>8080.1</v>
      </c>
      <c r="S261" s="1">
        <v>37117.1</v>
      </c>
      <c r="T261" s="1">
        <v>12.46</v>
      </c>
      <c r="U261" s="1">
        <v>0.35</v>
      </c>
      <c r="V261" s="1">
        <v>7775.6</v>
      </c>
      <c r="W261" s="1">
        <v>36812.6</v>
      </c>
      <c r="X261" s="1">
        <v>600.36</v>
      </c>
      <c r="Y261" s="1">
        <v>1200</v>
      </c>
      <c r="Z261" s="1">
        <v>77440.600000000006</v>
      </c>
      <c r="AA261" s="1">
        <v>12.81</v>
      </c>
      <c r="AB261" s="1">
        <v>4000</v>
      </c>
    </row>
    <row r="262" spans="1:28" x14ac:dyDescent="0.4">
      <c r="A262" s="1" t="s">
        <v>457</v>
      </c>
      <c r="B262" s="1">
        <v>4000</v>
      </c>
      <c r="C262" s="1">
        <v>0.4</v>
      </c>
      <c r="D262" s="1">
        <v>0.5</v>
      </c>
      <c r="E262" s="1">
        <v>500</v>
      </c>
      <c r="F262" s="1">
        <v>2</v>
      </c>
      <c r="G262" s="1">
        <v>1</v>
      </c>
      <c r="H262" s="1" t="s">
        <v>583</v>
      </c>
      <c r="I262" s="1">
        <v>137052.1</v>
      </c>
      <c r="J262" s="1">
        <v>54121</v>
      </c>
      <c r="K262" s="1">
        <v>82931.100000000006</v>
      </c>
      <c r="L262" s="1">
        <v>1200</v>
      </c>
      <c r="M262" s="1">
        <v>600</v>
      </c>
      <c r="N262" s="1">
        <v>27472.400000000001</v>
      </c>
      <c r="O262" s="1">
        <v>40798.6</v>
      </c>
      <c r="P262" s="1">
        <v>68271</v>
      </c>
      <c r="Q262" s="1">
        <v>29544.2</v>
      </c>
      <c r="R262" s="1">
        <v>8995.4</v>
      </c>
      <c r="S262" s="1">
        <v>38539.599999999999</v>
      </c>
      <c r="T262" s="1">
        <v>22.07</v>
      </c>
      <c r="U262" s="1">
        <v>0.6</v>
      </c>
      <c r="V262" s="1">
        <v>8338.7000000000007</v>
      </c>
      <c r="W262" s="1">
        <v>37882.9</v>
      </c>
      <c r="X262" s="1">
        <v>600.6</v>
      </c>
      <c r="Y262" s="1">
        <v>1200</v>
      </c>
      <c r="Z262" s="1">
        <v>106153.9</v>
      </c>
      <c r="AA262" s="1">
        <v>22.54</v>
      </c>
      <c r="AB262" s="1">
        <v>4000</v>
      </c>
    </row>
    <row r="263" spans="1:28" x14ac:dyDescent="0.4">
      <c r="A263" s="1" t="s">
        <v>458</v>
      </c>
      <c r="B263" s="1">
        <v>4000</v>
      </c>
      <c r="C263" s="1">
        <v>0.4</v>
      </c>
      <c r="D263" s="1">
        <v>0.5</v>
      </c>
      <c r="E263" s="1">
        <v>500</v>
      </c>
      <c r="F263" s="1">
        <v>2</v>
      </c>
      <c r="G263" s="1">
        <v>2</v>
      </c>
      <c r="H263" s="1" t="s">
        <v>583</v>
      </c>
      <c r="I263" s="1">
        <v>137294.79999999999</v>
      </c>
      <c r="J263" s="1">
        <v>54229.3</v>
      </c>
      <c r="K263" s="1">
        <v>83065.5</v>
      </c>
      <c r="L263" s="1">
        <v>1200</v>
      </c>
      <c r="M263" s="1">
        <v>600.02</v>
      </c>
      <c r="N263" s="1">
        <v>27310.799999999999</v>
      </c>
      <c r="O263" s="1">
        <v>39969</v>
      </c>
      <c r="P263" s="1">
        <v>67279.8</v>
      </c>
      <c r="Q263" s="1">
        <v>29378.1</v>
      </c>
      <c r="R263" s="1">
        <v>8595.7000000000007</v>
      </c>
      <c r="S263" s="1">
        <v>37973.800000000003</v>
      </c>
      <c r="T263" s="1">
        <v>23.34</v>
      </c>
      <c r="U263" s="1">
        <v>0.56999999999999995</v>
      </c>
      <c r="V263" s="1">
        <v>8025.3</v>
      </c>
      <c r="W263" s="1">
        <v>37403.4</v>
      </c>
      <c r="X263" s="1">
        <v>600.59</v>
      </c>
      <c r="Y263" s="1">
        <v>1200</v>
      </c>
      <c r="Z263" s="1">
        <v>104683.2</v>
      </c>
      <c r="AA263" s="1">
        <v>23.75</v>
      </c>
      <c r="AB263" s="1">
        <v>4000</v>
      </c>
    </row>
    <row r="264" spans="1:28" x14ac:dyDescent="0.4">
      <c r="A264" s="1" t="s">
        <v>459</v>
      </c>
      <c r="B264" s="1">
        <v>4000</v>
      </c>
      <c r="C264" s="1">
        <v>0.4</v>
      </c>
      <c r="D264" s="1">
        <v>0.5</v>
      </c>
      <c r="E264" s="1">
        <v>500</v>
      </c>
      <c r="F264" s="1">
        <v>2</v>
      </c>
      <c r="G264" s="1">
        <v>3</v>
      </c>
      <c r="H264" s="1" t="s">
        <v>583</v>
      </c>
      <c r="I264" s="1">
        <v>135124.1</v>
      </c>
      <c r="J264" s="1">
        <v>51690.400000000001</v>
      </c>
      <c r="K264" s="1">
        <v>83433.7</v>
      </c>
      <c r="L264" s="1">
        <v>1200</v>
      </c>
      <c r="M264" s="1">
        <v>600</v>
      </c>
      <c r="N264" s="1">
        <v>25686.2</v>
      </c>
      <c r="O264" s="1">
        <v>40092.199999999997</v>
      </c>
      <c r="P264" s="1">
        <v>65778.399999999994</v>
      </c>
      <c r="Q264" s="1">
        <v>29332.9</v>
      </c>
      <c r="R264" s="1">
        <v>8811.7000000000007</v>
      </c>
      <c r="S264" s="1">
        <v>38144.6</v>
      </c>
      <c r="T264" s="1">
        <v>23.09</v>
      </c>
      <c r="U264" s="1">
        <v>0.54</v>
      </c>
      <c r="V264" s="1">
        <v>8167.8</v>
      </c>
      <c r="W264" s="1">
        <v>37500.699999999997</v>
      </c>
      <c r="X264" s="1">
        <v>600.54</v>
      </c>
      <c r="Y264" s="1">
        <v>1200</v>
      </c>
      <c r="Z264" s="1">
        <v>103279.1</v>
      </c>
      <c r="AA264" s="1">
        <v>23.57</v>
      </c>
      <c r="AB264" s="1">
        <v>4000</v>
      </c>
    </row>
    <row r="265" spans="1:28" x14ac:dyDescent="0.4">
      <c r="A265" s="1" t="s">
        <v>460</v>
      </c>
      <c r="B265" s="1">
        <v>4000</v>
      </c>
      <c r="C265" s="1">
        <v>0.4</v>
      </c>
      <c r="D265" s="1">
        <v>0.5</v>
      </c>
      <c r="E265" s="1">
        <v>500</v>
      </c>
      <c r="F265" s="1">
        <v>2</v>
      </c>
      <c r="G265" s="1">
        <v>4</v>
      </c>
      <c r="H265" s="1" t="s">
        <v>583</v>
      </c>
      <c r="I265" s="1">
        <v>135231.9</v>
      </c>
      <c r="J265" s="1">
        <v>54366.2</v>
      </c>
      <c r="K265" s="1">
        <v>80865.7</v>
      </c>
      <c r="L265" s="1">
        <v>1200</v>
      </c>
      <c r="M265" s="1">
        <v>600.02</v>
      </c>
      <c r="N265" s="1">
        <v>27052.5</v>
      </c>
      <c r="O265" s="1">
        <v>40339.1</v>
      </c>
      <c r="P265" s="1">
        <v>67391.600000000006</v>
      </c>
      <c r="Q265" s="1">
        <v>29598.9</v>
      </c>
      <c r="R265" s="1">
        <v>9227.7000000000007</v>
      </c>
      <c r="S265" s="1">
        <v>38826.6</v>
      </c>
      <c r="T265" s="1">
        <v>21.45</v>
      </c>
      <c r="U265" s="1">
        <v>0.6</v>
      </c>
      <c r="V265" s="1">
        <v>8599.1</v>
      </c>
      <c r="W265" s="1">
        <v>38198</v>
      </c>
      <c r="X265" s="1">
        <v>600.61</v>
      </c>
      <c r="Y265" s="1">
        <v>1200</v>
      </c>
      <c r="Z265" s="1">
        <v>105589.6</v>
      </c>
      <c r="AA265" s="1">
        <v>21.92</v>
      </c>
      <c r="AB265" s="1">
        <v>4000</v>
      </c>
    </row>
    <row r="266" spans="1:28" x14ac:dyDescent="0.4">
      <c r="A266" s="1" t="s">
        <v>461</v>
      </c>
      <c r="B266" s="1">
        <v>4000</v>
      </c>
      <c r="C266" s="1">
        <v>0.4</v>
      </c>
      <c r="D266" s="1">
        <v>0.5</v>
      </c>
      <c r="E266" s="1">
        <v>500</v>
      </c>
      <c r="F266" s="1">
        <v>2</v>
      </c>
      <c r="G266" s="1">
        <v>5</v>
      </c>
      <c r="H266" s="1" t="s">
        <v>583</v>
      </c>
      <c r="I266" s="1">
        <v>136797.6</v>
      </c>
      <c r="J266" s="1">
        <v>54167</v>
      </c>
      <c r="K266" s="1">
        <v>82630.600000000006</v>
      </c>
      <c r="L266" s="1">
        <v>1200</v>
      </c>
      <c r="M266" s="1">
        <v>600.01</v>
      </c>
      <c r="N266" s="1">
        <v>27238.7</v>
      </c>
      <c r="O266" s="1">
        <v>39710.1</v>
      </c>
      <c r="P266" s="1">
        <v>66948.800000000003</v>
      </c>
      <c r="Q266" s="1">
        <v>30221.8</v>
      </c>
      <c r="R266" s="1">
        <v>9298.9</v>
      </c>
      <c r="S266" s="1">
        <v>39520.699999999997</v>
      </c>
      <c r="T266" s="1">
        <v>22.17</v>
      </c>
      <c r="U266" s="1">
        <v>0.42</v>
      </c>
      <c r="V266" s="1">
        <v>8797.2000000000007</v>
      </c>
      <c r="W266" s="1">
        <v>39019</v>
      </c>
      <c r="X266" s="1">
        <v>600.42999999999995</v>
      </c>
      <c r="Y266" s="1">
        <v>1200</v>
      </c>
      <c r="Z266" s="1">
        <v>105967.8</v>
      </c>
      <c r="AA266" s="1">
        <v>22.54</v>
      </c>
      <c r="AB266" s="1">
        <v>4000</v>
      </c>
    </row>
    <row r="267" spans="1:28" x14ac:dyDescent="0.4">
      <c r="A267" s="1" t="s">
        <v>462</v>
      </c>
      <c r="B267" s="1">
        <v>4000</v>
      </c>
      <c r="C267" s="1">
        <v>0.4</v>
      </c>
      <c r="D267" s="1">
        <v>0.5</v>
      </c>
      <c r="E267" s="1">
        <v>500</v>
      </c>
      <c r="F267" s="1">
        <v>3</v>
      </c>
      <c r="G267" s="1">
        <v>1</v>
      </c>
      <c r="H267" s="1" t="s">
        <v>583</v>
      </c>
      <c r="I267" s="1">
        <v>171391.1</v>
      </c>
      <c r="J267" s="1">
        <v>67717.2</v>
      </c>
      <c r="K267" s="1">
        <v>103673.9</v>
      </c>
      <c r="L267" s="1">
        <v>1200</v>
      </c>
      <c r="M267" s="1">
        <v>600.01</v>
      </c>
      <c r="N267" s="1">
        <v>34824.1</v>
      </c>
      <c r="O267" s="1">
        <v>52381</v>
      </c>
      <c r="P267" s="1">
        <v>87205.1</v>
      </c>
      <c r="Q267" s="1">
        <v>29879.5</v>
      </c>
      <c r="R267" s="1">
        <v>9378</v>
      </c>
      <c r="S267" s="1">
        <v>39257.5</v>
      </c>
      <c r="T267" s="1">
        <v>26.21</v>
      </c>
      <c r="U267" s="1">
        <v>0.67</v>
      </c>
      <c r="V267" s="1">
        <v>8548</v>
      </c>
      <c r="W267" s="1">
        <v>38427.5</v>
      </c>
      <c r="X267" s="1">
        <v>600.67999999999995</v>
      </c>
      <c r="Y267" s="1">
        <v>1200</v>
      </c>
      <c r="Z267" s="1">
        <v>125632.6</v>
      </c>
      <c r="AA267" s="1">
        <v>26.7</v>
      </c>
      <c r="AB267" s="1">
        <v>4000</v>
      </c>
    </row>
    <row r="268" spans="1:28" x14ac:dyDescent="0.4">
      <c r="A268" s="1" t="s">
        <v>463</v>
      </c>
      <c r="B268" s="1">
        <v>4000</v>
      </c>
      <c r="C268" s="1">
        <v>0.4</v>
      </c>
      <c r="D268" s="1">
        <v>0.5</v>
      </c>
      <c r="E268" s="1">
        <v>500</v>
      </c>
      <c r="F268" s="1">
        <v>3</v>
      </c>
      <c r="G268" s="1">
        <v>2</v>
      </c>
      <c r="H268" s="1" t="s">
        <v>583</v>
      </c>
      <c r="I268" s="1">
        <v>182732.3</v>
      </c>
      <c r="J268" s="1">
        <v>70909.8</v>
      </c>
      <c r="K268" s="1">
        <v>111822.5</v>
      </c>
      <c r="L268" s="1">
        <v>1200</v>
      </c>
      <c r="M268" s="1">
        <v>600</v>
      </c>
      <c r="N268" s="1">
        <v>37821.599999999999</v>
      </c>
      <c r="O268" s="1">
        <v>57202.2</v>
      </c>
      <c r="P268" s="1">
        <v>95023.8</v>
      </c>
      <c r="Q268" s="1">
        <v>30368.400000000001</v>
      </c>
      <c r="R268" s="1">
        <v>9611.1</v>
      </c>
      <c r="S268" s="1">
        <v>39979.5</v>
      </c>
      <c r="T268" s="1">
        <v>26.12</v>
      </c>
      <c r="U268" s="1">
        <v>0.57999999999999996</v>
      </c>
      <c r="V268" s="1">
        <v>8747.1</v>
      </c>
      <c r="W268" s="1">
        <v>39115.5</v>
      </c>
      <c r="X268" s="1">
        <v>600.58000000000004</v>
      </c>
      <c r="Y268" s="1">
        <v>1200</v>
      </c>
      <c r="Z268" s="1">
        <v>134139.29999999999</v>
      </c>
      <c r="AA268" s="1">
        <v>26.59</v>
      </c>
      <c r="AB268" s="1">
        <v>4000</v>
      </c>
    </row>
    <row r="269" spans="1:28" x14ac:dyDescent="0.4">
      <c r="A269" s="1" t="s">
        <v>464</v>
      </c>
      <c r="B269" s="1">
        <v>4000</v>
      </c>
      <c r="C269" s="1">
        <v>0.4</v>
      </c>
      <c r="D269" s="1">
        <v>0.5</v>
      </c>
      <c r="E269" s="1">
        <v>500</v>
      </c>
      <c r="F269" s="1">
        <v>3</v>
      </c>
      <c r="G269" s="1">
        <v>3</v>
      </c>
      <c r="H269" s="1" t="s">
        <v>583</v>
      </c>
      <c r="I269" s="1">
        <v>170968.9</v>
      </c>
      <c r="J269" s="1">
        <v>66311</v>
      </c>
      <c r="K269" s="1">
        <v>104657.9</v>
      </c>
      <c r="L269" s="1">
        <v>1200</v>
      </c>
      <c r="M269" s="1">
        <v>600.01</v>
      </c>
      <c r="N269" s="1">
        <v>35002.300000000003</v>
      </c>
      <c r="O269" s="1">
        <v>53103.199999999997</v>
      </c>
      <c r="P269" s="1">
        <v>88105.5</v>
      </c>
      <c r="Q269" s="1">
        <v>29599.599999999999</v>
      </c>
      <c r="R269" s="1">
        <v>9175.2000000000007</v>
      </c>
      <c r="S269" s="1">
        <v>38774.800000000003</v>
      </c>
      <c r="T269" s="1">
        <v>25.79</v>
      </c>
      <c r="U269" s="1">
        <v>0.65</v>
      </c>
      <c r="V269" s="1">
        <v>8483.9</v>
      </c>
      <c r="W269" s="1">
        <v>38083.5</v>
      </c>
      <c r="X269" s="1">
        <v>600.66999999999996</v>
      </c>
      <c r="Y269" s="1">
        <v>1200</v>
      </c>
      <c r="Z269" s="1">
        <v>126189</v>
      </c>
      <c r="AA269" s="1">
        <v>26.19</v>
      </c>
      <c r="AB269" s="1">
        <v>4000</v>
      </c>
    </row>
    <row r="270" spans="1:28" x14ac:dyDescent="0.4">
      <c r="A270" s="1" t="s">
        <v>465</v>
      </c>
      <c r="B270" s="1">
        <v>4000</v>
      </c>
      <c r="C270" s="1">
        <v>0.4</v>
      </c>
      <c r="D270" s="1">
        <v>0.5</v>
      </c>
      <c r="E270" s="1">
        <v>500</v>
      </c>
      <c r="F270" s="1">
        <v>3</v>
      </c>
      <c r="G270" s="1">
        <v>4</v>
      </c>
      <c r="H270" s="1" t="s">
        <v>583</v>
      </c>
      <c r="I270" s="1">
        <v>176088</v>
      </c>
      <c r="J270" s="1">
        <v>67017.2</v>
      </c>
      <c r="K270" s="1">
        <v>109070.8</v>
      </c>
      <c r="L270" s="1">
        <v>1200</v>
      </c>
      <c r="M270" s="1">
        <v>600</v>
      </c>
      <c r="N270" s="1">
        <v>34558.300000000003</v>
      </c>
      <c r="O270" s="1">
        <v>56328.4</v>
      </c>
      <c r="P270" s="1">
        <v>90886.7</v>
      </c>
      <c r="Q270" s="1">
        <v>30066.1</v>
      </c>
      <c r="R270" s="1">
        <v>9635.2999999999993</v>
      </c>
      <c r="S270" s="1">
        <v>39701.4</v>
      </c>
      <c r="T270" s="1">
        <v>25.84</v>
      </c>
      <c r="U270" s="1">
        <v>0.8</v>
      </c>
      <c r="V270" s="1">
        <v>8673.1</v>
      </c>
      <c r="W270" s="1">
        <v>38739.199999999997</v>
      </c>
      <c r="X270" s="1">
        <v>600.79999999999995</v>
      </c>
      <c r="Y270" s="1">
        <v>1200</v>
      </c>
      <c r="Z270" s="1">
        <v>129625.9</v>
      </c>
      <c r="AA270" s="1">
        <v>26.39</v>
      </c>
      <c r="AB270" s="1">
        <v>4000</v>
      </c>
    </row>
    <row r="271" spans="1:28" x14ac:dyDescent="0.4">
      <c r="A271" s="1" t="s">
        <v>466</v>
      </c>
      <c r="B271" s="1">
        <v>4000</v>
      </c>
      <c r="C271" s="1">
        <v>0.4</v>
      </c>
      <c r="D271" s="1">
        <v>0.5</v>
      </c>
      <c r="E271" s="1">
        <v>500</v>
      </c>
      <c r="F271" s="1">
        <v>3</v>
      </c>
      <c r="G271" s="1">
        <v>5</v>
      </c>
      <c r="H271" s="1" t="s">
        <v>583</v>
      </c>
      <c r="I271" s="1">
        <v>180565.1</v>
      </c>
      <c r="J271" s="1">
        <v>70104.7</v>
      </c>
      <c r="K271" s="1">
        <v>110460.4</v>
      </c>
      <c r="L271" s="1">
        <v>1200</v>
      </c>
      <c r="M271" s="1">
        <v>600.01</v>
      </c>
      <c r="N271" s="1">
        <v>36330.9</v>
      </c>
      <c r="O271" s="1">
        <v>55270.9</v>
      </c>
      <c r="P271" s="1">
        <v>91601.8</v>
      </c>
      <c r="Q271" s="1">
        <v>31153.8</v>
      </c>
      <c r="R271" s="1">
        <v>10158.299999999999</v>
      </c>
      <c r="S271" s="1">
        <v>41312.1</v>
      </c>
      <c r="T271" s="1">
        <v>26.39</v>
      </c>
      <c r="U271" s="1">
        <v>0.76</v>
      </c>
      <c r="V271" s="1">
        <v>9372.6</v>
      </c>
      <c r="W271" s="1">
        <v>40526.400000000001</v>
      </c>
      <c r="X271" s="1">
        <v>600.77</v>
      </c>
      <c r="Y271" s="1">
        <v>1200</v>
      </c>
      <c r="Z271" s="1">
        <v>132128.20000000001</v>
      </c>
      <c r="AA271" s="1">
        <v>26.83</v>
      </c>
      <c r="AB271" s="1">
        <v>4000</v>
      </c>
    </row>
    <row r="272" spans="1:28" x14ac:dyDescent="0.4">
      <c r="A272" s="1" t="s">
        <v>152</v>
      </c>
      <c r="B272" s="1">
        <v>800</v>
      </c>
      <c r="C272" s="1">
        <v>0.2</v>
      </c>
      <c r="D272" s="1">
        <v>0.5</v>
      </c>
      <c r="E272" s="1">
        <v>1000</v>
      </c>
      <c r="F272" s="1">
        <v>1</v>
      </c>
      <c r="G272" s="1">
        <v>1</v>
      </c>
      <c r="H272" s="1" t="s">
        <v>583</v>
      </c>
      <c r="I272" s="1">
        <v>87087.3</v>
      </c>
      <c r="J272" s="1">
        <v>36452.6</v>
      </c>
      <c r="K272" s="1">
        <v>50634.7</v>
      </c>
      <c r="L272" s="1">
        <v>240</v>
      </c>
      <c r="M272" s="1">
        <v>600</v>
      </c>
      <c r="N272" s="1">
        <v>26115.9</v>
      </c>
      <c r="O272" s="1">
        <v>37831.5</v>
      </c>
      <c r="P272" s="1">
        <v>63947.4</v>
      </c>
      <c r="Q272" s="1">
        <v>3533.6</v>
      </c>
      <c r="R272" s="1">
        <v>1008.8</v>
      </c>
      <c r="S272" s="1">
        <v>4542.3999999999996</v>
      </c>
      <c r="T272" s="1">
        <v>21.36</v>
      </c>
      <c r="U272" s="1">
        <v>0.02</v>
      </c>
      <c r="V272" s="1">
        <v>977.1</v>
      </c>
      <c r="W272" s="1">
        <v>4510.7</v>
      </c>
      <c r="X272" s="1">
        <v>600.02</v>
      </c>
      <c r="Y272" s="1">
        <v>240</v>
      </c>
      <c r="Z272" s="1">
        <v>68458.100000000006</v>
      </c>
      <c r="AA272" s="1">
        <v>21.39</v>
      </c>
      <c r="AB272" s="1">
        <v>800</v>
      </c>
    </row>
    <row r="273" spans="1:28" x14ac:dyDescent="0.4">
      <c r="A273" s="1" t="s">
        <v>153</v>
      </c>
      <c r="B273" s="1">
        <v>800</v>
      </c>
      <c r="C273" s="1">
        <v>0.2</v>
      </c>
      <c r="D273" s="1">
        <v>0.5</v>
      </c>
      <c r="E273" s="1">
        <v>1000</v>
      </c>
      <c r="F273" s="1">
        <v>1</v>
      </c>
      <c r="G273" s="1">
        <v>2</v>
      </c>
      <c r="H273" s="1" t="s">
        <v>583</v>
      </c>
      <c r="I273" s="1">
        <v>85252.3</v>
      </c>
      <c r="J273" s="1">
        <v>35206.400000000001</v>
      </c>
      <c r="K273" s="1">
        <v>50045.9</v>
      </c>
      <c r="L273" s="1">
        <v>240</v>
      </c>
      <c r="M273" s="1">
        <v>600</v>
      </c>
      <c r="N273" s="1">
        <v>25903.5</v>
      </c>
      <c r="O273" s="1">
        <v>37856.9</v>
      </c>
      <c r="P273" s="1">
        <v>63760.4</v>
      </c>
      <c r="Q273" s="1">
        <v>3624.5</v>
      </c>
      <c r="R273" s="1">
        <v>879.8</v>
      </c>
      <c r="S273" s="1">
        <v>4504.3</v>
      </c>
      <c r="T273" s="1">
        <v>19.93</v>
      </c>
      <c r="U273" s="1">
        <v>0.01</v>
      </c>
      <c r="V273" s="1">
        <v>872.9</v>
      </c>
      <c r="W273" s="1">
        <v>4497.3999999999996</v>
      </c>
      <c r="X273" s="1">
        <v>600.01</v>
      </c>
      <c r="Y273" s="1">
        <v>240</v>
      </c>
      <c r="Z273" s="1">
        <v>68257.8</v>
      </c>
      <c r="AA273" s="1">
        <v>19.93</v>
      </c>
      <c r="AB273" s="1">
        <v>800</v>
      </c>
    </row>
    <row r="274" spans="1:28" x14ac:dyDescent="0.4">
      <c r="A274" s="1" t="s">
        <v>154</v>
      </c>
      <c r="B274" s="1">
        <v>800</v>
      </c>
      <c r="C274" s="1">
        <v>0.2</v>
      </c>
      <c r="D274" s="1">
        <v>0.5</v>
      </c>
      <c r="E274" s="1">
        <v>1000</v>
      </c>
      <c r="F274" s="1">
        <v>1</v>
      </c>
      <c r="G274" s="1">
        <v>3</v>
      </c>
      <c r="H274" s="1" t="s">
        <v>583</v>
      </c>
      <c r="I274" s="1">
        <v>83157.600000000006</v>
      </c>
      <c r="J274" s="1">
        <v>33716.1</v>
      </c>
      <c r="K274" s="1">
        <v>49441.5</v>
      </c>
      <c r="L274" s="1">
        <v>240</v>
      </c>
      <c r="M274" s="1">
        <v>600</v>
      </c>
      <c r="N274" s="1">
        <v>24869.8</v>
      </c>
      <c r="O274" s="1">
        <v>37313.699999999997</v>
      </c>
      <c r="P274" s="1">
        <v>62183.5</v>
      </c>
      <c r="Q274" s="1">
        <v>3461</v>
      </c>
      <c r="R274" s="1">
        <v>840.6</v>
      </c>
      <c r="S274" s="1">
        <v>4301.6000000000004</v>
      </c>
      <c r="T274" s="1">
        <v>20.05</v>
      </c>
      <c r="U274" s="1">
        <v>0.01</v>
      </c>
      <c r="V274" s="1">
        <v>832.3</v>
      </c>
      <c r="W274" s="1">
        <v>4293.3</v>
      </c>
      <c r="X274" s="1">
        <v>600.01</v>
      </c>
      <c r="Y274" s="1">
        <v>240</v>
      </c>
      <c r="Z274" s="1">
        <v>66476.800000000003</v>
      </c>
      <c r="AA274" s="1">
        <v>20.059999999999999</v>
      </c>
      <c r="AB274" s="1">
        <v>800</v>
      </c>
    </row>
    <row r="275" spans="1:28" x14ac:dyDescent="0.4">
      <c r="A275" s="1" t="s">
        <v>155</v>
      </c>
      <c r="B275" s="1">
        <v>800</v>
      </c>
      <c r="C275" s="1">
        <v>0.2</v>
      </c>
      <c r="D275" s="1">
        <v>0.5</v>
      </c>
      <c r="E275" s="1">
        <v>1000</v>
      </c>
      <c r="F275" s="1">
        <v>1</v>
      </c>
      <c r="G275" s="1">
        <v>4</v>
      </c>
      <c r="H275" s="1" t="s">
        <v>583</v>
      </c>
      <c r="I275" s="1">
        <v>84371.6</v>
      </c>
      <c r="J275" s="1">
        <v>35098.199999999997</v>
      </c>
      <c r="K275" s="1">
        <v>49273.4</v>
      </c>
      <c r="L275" s="1">
        <v>240</v>
      </c>
      <c r="M275" s="1">
        <v>600</v>
      </c>
      <c r="N275" s="1">
        <v>26342.5</v>
      </c>
      <c r="O275" s="1">
        <v>36980.699999999997</v>
      </c>
      <c r="P275" s="1">
        <v>63323.199999999997</v>
      </c>
      <c r="Q275" s="1">
        <v>3400.7</v>
      </c>
      <c r="R275" s="1">
        <v>916.8</v>
      </c>
      <c r="S275" s="1">
        <v>4317.5</v>
      </c>
      <c r="T275" s="1">
        <v>19.829999999999998</v>
      </c>
      <c r="U275" s="1">
        <v>0.01</v>
      </c>
      <c r="V275" s="1">
        <v>910</v>
      </c>
      <c r="W275" s="1">
        <v>4310.7</v>
      </c>
      <c r="X275" s="1">
        <v>600.01</v>
      </c>
      <c r="Y275" s="1">
        <v>240</v>
      </c>
      <c r="Z275" s="1">
        <v>67633.899999999994</v>
      </c>
      <c r="AA275" s="1">
        <v>19.84</v>
      </c>
      <c r="AB275" s="1">
        <v>800</v>
      </c>
    </row>
    <row r="276" spans="1:28" x14ac:dyDescent="0.4">
      <c r="A276" s="1" t="s">
        <v>156</v>
      </c>
      <c r="B276" s="1">
        <v>800</v>
      </c>
      <c r="C276" s="1">
        <v>0.2</v>
      </c>
      <c r="D276" s="1">
        <v>0.5</v>
      </c>
      <c r="E276" s="1">
        <v>1000</v>
      </c>
      <c r="F276" s="1">
        <v>1</v>
      </c>
      <c r="G276" s="1">
        <v>5</v>
      </c>
      <c r="H276" s="1" t="s">
        <v>583</v>
      </c>
      <c r="I276" s="1">
        <v>86498.4</v>
      </c>
      <c r="J276" s="1">
        <v>34835</v>
      </c>
      <c r="K276" s="1">
        <v>51663.4</v>
      </c>
      <c r="L276" s="1">
        <v>240</v>
      </c>
      <c r="M276" s="1">
        <v>600</v>
      </c>
      <c r="N276" s="1">
        <v>25486.5</v>
      </c>
      <c r="O276" s="1">
        <v>38470.800000000003</v>
      </c>
      <c r="P276" s="1">
        <v>63957.3</v>
      </c>
      <c r="Q276" s="1">
        <v>3459.7</v>
      </c>
      <c r="R276" s="1">
        <v>919.6</v>
      </c>
      <c r="S276" s="1">
        <v>4379.3</v>
      </c>
      <c r="T276" s="1">
        <v>21</v>
      </c>
      <c r="U276" s="1">
        <v>0.01</v>
      </c>
      <c r="V276" s="1">
        <v>905.9</v>
      </c>
      <c r="W276" s="1">
        <v>4365.6000000000004</v>
      </c>
      <c r="X276" s="1">
        <v>600.01</v>
      </c>
      <c r="Y276" s="1">
        <v>240</v>
      </c>
      <c r="Z276" s="1">
        <v>68322.899999999994</v>
      </c>
      <c r="AA276" s="1">
        <v>21.01</v>
      </c>
      <c r="AB276" s="1">
        <v>800</v>
      </c>
    </row>
    <row r="277" spans="1:28" x14ac:dyDescent="0.4">
      <c r="A277" s="1" t="s">
        <v>157</v>
      </c>
      <c r="B277" s="1">
        <v>800</v>
      </c>
      <c r="C277" s="1">
        <v>0.2</v>
      </c>
      <c r="D277" s="1">
        <v>0.5</v>
      </c>
      <c r="E277" s="1">
        <v>1000</v>
      </c>
      <c r="F277" s="1">
        <v>2</v>
      </c>
      <c r="G277" s="1">
        <v>1</v>
      </c>
      <c r="H277" s="1" t="s">
        <v>583</v>
      </c>
      <c r="I277" s="1">
        <v>124979.2</v>
      </c>
      <c r="J277" s="1">
        <v>52678.5</v>
      </c>
      <c r="K277" s="1">
        <v>72300.7</v>
      </c>
      <c r="L277" s="1">
        <v>240</v>
      </c>
      <c r="M277" s="1">
        <v>600.01</v>
      </c>
      <c r="N277" s="1">
        <v>39718.9</v>
      </c>
      <c r="O277" s="1">
        <v>54328.800000000003</v>
      </c>
      <c r="P277" s="1">
        <v>94047.7</v>
      </c>
      <c r="Q277" s="1">
        <v>3506.1</v>
      </c>
      <c r="R277" s="1">
        <v>861.5</v>
      </c>
      <c r="S277" s="1">
        <v>4367.6000000000004</v>
      </c>
      <c r="T277" s="1">
        <v>21.25</v>
      </c>
      <c r="U277" s="1">
        <v>0.02</v>
      </c>
      <c r="V277" s="1">
        <v>818.8</v>
      </c>
      <c r="W277" s="1">
        <v>4324.8999999999996</v>
      </c>
      <c r="X277" s="1">
        <v>600.02</v>
      </c>
      <c r="Y277" s="1">
        <v>240</v>
      </c>
      <c r="Z277" s="1">
        <v>98372.6</v>
      </c>
      <c r="AA277" s="1">
        <v>21.29</v>
      </c>
      <c r="AB277" s="1">
        <v>800</v>
      </c>
    </row>
    <row r="278" spans="1:28" x14ac:dyDescent="0.4">
      <c r="A278" s="1" t="s">
        <v>158</v>
      </c>
      <c r="B278" s="1">
        <v>800</v>
      </c>
      <c r="C278" s="1">
        <v>0.2</v>
      </c>
      <c r="D278" s="1">
        <v>0.5</v>
      </c>
      <c r="E278" s="1">
        <v>1000</v>
      </c>
      <c r="F278" s="1">
        <v>2</v>
      </c>
      <c r="G278" s="1">
        <v>2</v>
      </c>
      <c r="H278" s="1" t="s">
        <v>583</v>
      </c>
      <c r="I278" s="1">
        <v>123878</v>
      </c>
      <c r="J278" s="1">
        <v>49806.9</v>
      </c>
      <c r="K278" s="1">
        <v>74071.100000000006</v>
      </c>
      <c r="L278" s="1">
        <v>240</v>
      </c>
      <c r="M278" s="1">
        <v>600</v>
      </c>
      <c r="N278" s="1">
        <v>37830.6</v>
      </c>
      <c r="O278" s="1">
        <v>56074.1</v>
      </c>
      <c r="P278" s="1">
        <v>93904.7</v>
      </c>
      <c r="Q278" s="1">
        <v>3437.9</v>
      </c>
      <c r="R278" s="1">
        <v>844.8</v>
      </c>
      <c r="S278" s="1">
        <v>4282.7</v>
      </c>
      <c r="T278" s="1">
        <v>20.74</v>
      </c>
      <c r="U278" s="1">
        <v>0.01</v>
      </c>
      <c r="V278" s="1">
        <v>828.2</v>
      </c>
      <c r="W278" s="1">
        <v>4266.1000000000004</v>
      </c>
      <c r="X278" s="1">
        <v>600.02</v>
      </c>
      <c r="Y278" s="1">
        <v>240</v>
      </c>
      <c r="Z278" s="1">
        <v>98170.8</v>
      </c>
      <c r="AA278" s="1">
        <v>20.75</v>
      </c>
      <c r="AB278" s="1">
        <v>800</v>
      </c>
    </row>
    <row r="279" spans="1:28" x14ac:dyDescent="0.4">
      <c r="A279" s="1" t="s">
        <v>159</v>
      </c>
      <c r="B279" s="1">
        <v>800</v>
      </c>
      <c r="C279" s="1">
        <v>0.2</v>
      </c>
      <c r="D279" s="1">
        <v>0.5</v>
      </c>
      <c r="E279" s="1">
        <v>1000</v>
      </c>
      <c r="F279" s="1">
        <v>2</v>
      </c>
      <c r="G279" s="1">
        <v>3</v>
      </c>
      <c r="H279" s="1" t="s">
        <v>583</v>
      </c>
      <c r="I279" s="1">
        <v>122027.6</v>
      </c>
      <c r="J279" s="1">
        <v>48486.3</v>
      </c>
      <c r="K279" s="1">
        <v>73541.3</v>
      </c>
      <c r="L279" s="1">
        <v>240</v>
      </c>
      <c r="M279" s="1">
        <v>600.01</v>
      </c>
      <c r="N279" s="1">
        <v>37122.5</v>
      </c>
      <c r="O279" s="1">
        <v>55506.400000000001</v>
      </c>
      <c r="P279" s="1">
        <v>92628.9</v>
      </c>
      <c r="Q279" s="1">
        <v>3354.4</v>
      </c>
      <c r="R279" s="1">
        <v>922.3</v>
      </c>
      <c r="S279" s="1">
        <v>4276.7</v>
      </c>
      <c r="T279" s="1">
        <v>20.59</v>
      </c>
      <c r="U279" s="1">
        <v>0.02</v>
      </c>
      <c r="V279" s="1">
        <v>886.6</v>
      </c>
      <c r="W279" s="1">
        <v>4241</v>
      </c>
      <c r="X279" s="1">
        <v>600.02</v>
      </c>
      <c r="Y279" s="1">
        <v>240</v>
      </c>
      <c r="Z279" s="1">
        <v>96869.9</v>
      </c>
      <c r="AA279" s="1">
        <v>20.62</v>
      </c>
      <c r="AB279" s="1">
        <v>800</v>
      </c>
    </row>
    <row r="280" spans="1:28" x14ac:dyDescent="0.4">
      <c r="A280" s="1" t="s">
        <v>160</v>
      </c>
      <c r="B280" s="1">
        <v>800</v>
      </c>
      <c r="C280" s="1">
        <v>0.2</v>
      </c>
      <c r="D280" s="1">
        <v>0.5</v>
      </c>
      <c r="E280" s="1">
        <v>1000</v>
      </c>
      <c r="F280" s="1">
        <v>2</v>
      </c>
      <c r="G280" s="1">
        <v>4</v>
      </c>
      <c r="H280" s="1" t="s">
        <v>583</v>
      </c>
      <c r="I280" s="1">
        <v>125666.4</v>
      </c>
      <c r="J280" s="1">
        <v>50755.1</v>
      </c>
      <c r="K280" s="1">
        <v>74911.3</v>
      </c>
      <c r="L280" s="1">
        <v>240</v>
      </c>
      <c r="M280" s="1">
        <v>600.01</v>
      </c>
      <c r="N280" s="1">
        <v>38296.800000000003</v>
      </c>
      <c r="O280" s="1">
        <v>56629.3</v>
      </c>
      <c r="P280" s="1">
        <v>94926.1</v>
      </c>
      <c r="Q280" s="1">
        <v>3399.4</v>
      </c>
      <c r="R280" s="1">
        <v>936.4</v>
      </c>
      <c r="S280" s="1">
        <v>4335.8</v>
      </c>
      <c r="T280" s="1">
        <v>21.01</v>
      </c>
      <c r="U280" s="1">
        <v>0.02</v>
      </c>
      <c r="V280" s="1">
        <v>910.2</v>
      </c>
      <c r="W280" s="1">
        <v>4309.6000000000004</v>
      </c>
      <c r="X280" s="1">
        <v>600.03</v>
      </c>
      <c r="Y280" s="1">
        <v>240</v>
      </c>
      <c r="Z280" s="1">
        <v>99235.7</v>
      </c>
      <c r="AA280" s="1">
        <v>21.03</v>
      </c>
      <c r="AB280" s="1">
        <v>800</v>
      </c>
    </row>
    <row r="281" spans="1:28" x14ac:dyDescent="0.4">
      <c r="A281" s="1" t="s">
        <v>161</v>
      </c>
      <c r="B281" s="1">
        <v>800</v>
      </c>
      <c r="C281" s="1">
        <v>0.2</v>
      </c>
      <c r="D281" s="1">
        <v>0.5</v>
      </c>
      <c r="E281" s="1">
        <v>1000</v>
      </c>
      <c r="F281" s="1">
        <v>2</v>
      </c>
      <c r="G281" s="1">
        <v>5</v>
      </c>
      <c r="H281" s="1" t="s">
        <v>583</v>
      </c>
      <c r="I281" s="1">
        <v>123503.4</v>
      </c>
      <c r="J281" s="1">
        <v>49154.400000000001</v>
      </c>
      <c r="K281" s="1">
        <v>74349</v>
      </c>
      <c r="L281" s="1">
        <v>240</v>
      </c>
      <c r="M281" s="1">
        <v>600.01</v>
      </c>
      <c r="N281" s="1">
        <v>38383.800000000003</v>
      </c>
      <c r="O281" s="1">
        <v>56813.9</v>
      </c>
      <c r="P281" s="1">
        <v>95197.7</v>
      </c>
      <c r="Q281" s="1">
        <v>3508.4</v>
      </c>
      <c r="R281" s="1">
        <v>849.9</v>
      </c>
      <c r="S281" s="1">
        <v>4358.3</v>
      </c>
      <c r="T281" s="1">
        <v>19.39</v>
      </c>
      <c r="U281" s="1">
        <v>0.02</v>
      </c>
      <c r="V281" s="1">
        <v>816.7</v>
      </c>
      <c r="W281" s="1">
        <v>4325.1000000000004</v>
      </c>
      <c r="X281" s="1">
        <v>600.03</v>
      </c>
      <c r="Y281" s="1">
        <v>240</v>
      </c>
      <c r="Z281" s="1">
        <v>99522.8</v>
      </c>
      <c r="AA281" s="1">
        <v>19.420000000000002</v>
      </c>
      <c r="AB281" s="1">
        <v>800</v>
      </c>
    </row>
    <row r="282" spans="1:28" x14ac:dyDescent="0.4">
      <c r="A282" s="1" t="s">
        <v>162</v>
      </c>
      <c r="B282" s="1">
        <v>800</v>
      </c>
      <c r="C282" s="1">
        <v>0.2</v>
      </c>
      <c r="D282" s="1">
        <v>0.5</v>
      </c>
      <c r="E282" s="1">
        <v>1000</v>
      </c>
      <c r="F282" s="1">
        <v>3</v>
      </c>
      <c r="G282" s="1">
        <v>1</v>
      </c>
      <c r="H282" s="1" t="s">
        <v>583</v>
      </c>
      <c r="I282" s="1">
        <v>148479.1</v>
      </c>
      <c r="J282" s="1">
        <v>59976.5</v>
      </c>
      <c r="K282" s="1">
        <v>88502.6</v>
      </c>
      <c r="L282" s="1">
        <v>240</v>
      </c>
      <c r="M282" s="1">
        <v>600.01</v>
      </c>
      <c r="N282" s="1">
        <v>46912.7</v>
      </c>
      <c r="O282" s="1">
        <v>69155.100000000006</v>
      </c>
      <c r="P282" s="1">
        <v>116067.8</v>
      </c>
      <c r="Q282" s="1">
        <v>3242.8</v>
      </c>
      <c r="R282" s="1">
        <v>800.5</v>
      </c>
      <c r="S282" s="1">
        <v>4043.3</v>
      </c>
      <c r="T282" s="1">
        <v>19.11</v>
      </c>
      <c r="U282" s="1">
        <v>0.02</v>
      </c>
      <c r="V282" s="1">
        <v>757.8</v>
      </c>
      <c r="W282" s="1">
        <v>4000.6</v>
      </c>
      <c r="X282" s="1">
        <v>600.02</v>
      </c>
      <c r="Y282" s="1">
        <v>240</v>
      </c>
      <c r="Z282" s="1">
        <v>120068.4</v>
      </c>
      <c r="AA282" s="1">
        <v>19.13</v>
      </c>
      <c r="AB282" s="1">
        <v>800</v>
      </c>
    </row>
    <row r="283" spans="1:28" x14ac:dyDescent="0.4">
      <c r="A283" s="1" t="s">
        <v>163</v>
      </c>
      <c r="B283" s="1">
        <v>800</v>
      </c>
      <c r="C283" s="1">
        <v>0.2</v>
      </c>
      <c r="D283" s="1">
        <v>0.5</v>
      </c>
      <c r="E283" s="1">
        <v>1000</v>
      </c>
      <c r="F283" s="1">
        <v>3</v>
      </c>
      <c r="G283" s="1">
        <v>2</v>
      </c>
      <c r="H283" s="1" t="s">
        <v>583</v>
      </c>
      <c r="I283" s="1">
        <v>154768.20000000001</v>
      </c>
      <c r="J283" s="1">
        <v>63488.1</v>
      </c>
      <c r="K283" s="1">
        <v>91280.1</v>
      </c>
      <c r="L283" s="1">
        <v>240</v>
      </c>
      <c r="M283" s="1">
        <v>600.01</v>
      </c>
      <c r="N283" s="1">
        <v>48589.3</v>
      </c>
      <c r="O283" s="1">
        <v>68583.399999999994</v>
      </c>
      <c r="P283" s="1">
        <v>117172.7</v>
      </c>
      <c r="Q283" s="1">
        <v>3551.6</v>
      </c>
      <c r="R283" s="1">
        <v>1011.7</v>
      </c>
      <c r="S283" s="1">
        <v>4563.3</v>
      </c>
      <c r="T283" s="1">
        <v>21.34</v>
      </c>
      <c r="U283" s="1">
        <v>0.02</v>
      </c>
      <c r="V283" s="1">
        <v>988.8</v>
      </c>
      <c r="W283" s="1">
        <v>4540.3999999999996</v>
      </c>
      <c r="X283" s="1">
        <v>600.03</v>
      </c>
      <c r="Y283" s="1">
        <v>240</v>
      </c>
      <c r="Z283" s="1">
        <v>121713.1</v>
      </c>
      <c r="AA283" s="1">
        <v>21.36</v>
      </c>
      <c r="AB283" s="1">
        <v>800</v>
      </c>
    </row>
    <row r="284" spans="1:28" x14ac:dyDescent="0.4">
      <c r="A284" s="1" t="s">
        <v>164</v>
      </c>
      <c r="B284" s="1">
        <v>800</v>
      </c>
      <c r="C284" s="1">
        <v>0.2</v>
      </c>
      <c r="D284" s="1">
        <v>0.5</v>
      </c>
      <c r="E284" s="1">
        <v>1000</v>
      </c>
      <c r="F284" s="1">
        <v>3</v>
      </c>
      <c r="G284" s="1">
        <v>3</v>
      </c>
      <c r="H284" s="1" t="s">
        <v>583</v>
      </c>
      <c r="I284" s="1">
        <v>154773.79999999999</v>
      </c>
      <c r="J284" s="1">
        <v>62475.5</v>
      </c>
      <c r="K284" s="1">
        <v>92298.3</v>
      </c>
      <c r="L284" s="1">
        <v>240</v>
      </c>
      <c r="M284" s="1">
        <v>600</v>
      </c>
      <c r="N284" s="1">
        <v>47219.9</v>
      </c>
      <c r="O284" s="1">
        <v>69533.8</v>
      </c>
      <c r="P284" s="1">
        <v>116753.7</v>
      </c>
      <c r="Q284" s="1">
        <v>3496.1</v>
      </c>
      <c r="R284" s="1">
        <v>962.4</v>
      </c>
      <c r="S284" s="1">
        <v>4458.5</v>
      </c>
      <c r="T284" s="1">
        <v>21.68</v>
      </c>
      <c r="U284" s="1">
        <v>0.02</v>
      </c>
      <c r="V284" s="1">
        <v>936.1</v>
      </c>
      <c r="W284" s="1">
        <v>4432.2</v>
      </c>
      <c r="X284" s="1">
        <v>600.02</v>
      </c>
      <c r="Y284" s="1">
        <v>240</v>
      </c>
      <c r="Z284" s="1">
        <v>121185.9</v>
      </c>
      <c r="AA284" s="1">
        <v>21.7</v>
      </c>
      <c r="AB284" s="1">
        <v>800</v>
      </c>
    </row>
    <row r="285" spans="1:28" x14ac:dyDescent="0.4">
      <c r="A285" s="1" t="s">
        <v>165</v>
      </c>
      <c r="B285" s="1">
        <v>800</v>
      </c>
      <c r="C285" s="1">
        <v>0.2</v>
      </c>
      <c r="D285" s="1">
        <v>0.5</v>
      </c>
      <c r="E285" s="1">
        <v>1000</v>
      </c>
      <c r="F285" s="1">
        <v>3</v>
      </c>
      <c r="G285" s="1">
        <v>4</v>
      </c>
      <c r="H285" s="1" t="s">
        <v>583</v>
      </c>
      <c r="I285" s="1">
        <v>156995.70000000001</v>
      </c>
      <c r="J285" s="1">
        <v>65727.199999999997</v>
      </c>
      <c r="K285" s="1">
        <v>91268.5</v>
      </c>
      <c r="L285" s="1">
        <v>240</v>
      </c>
      <c r="M285" s="1">
        <v>600.01</v>
      </c>
      <c r="N285" s="1">
        <v>49066.9</v>
      </c>
      <c r="O285" s="1">
        <v>68150.7</v>
      </c>
      <c r="P285" s="1">
        <v>117217.60000000001</v>
      </c>
      <c r="Q285" s="1">
        <v>3441</v>
      </c>
      <c r="R285" s="1">
        <v>918.6</v>
      </c>
      <c r="S285" s="1">
        <v>4359.6000000000004</v>
      </c>
      <c r="T285" s="1">
        <v>22.56</v>
      </c>
      <c r="U285" s="1">
        <v>0.02</v>
      </c>
      <c r="V285" s="1">
        <v>872.7</v>
      </c>
      <c r="W285" s="1">
        <v>4313.7</v>
      </c>
      <c r="X285" s="1">
        <v>600.02</v>
      </c>
      <c r="Y285" s="1">
        <v>240</v>
      </c>
      <c r="Z285" s="1">
        <v>121531.3</v>
      </c>
      <c r="AA285" s="1">
        <v>22.59</v>
      </c>
      <c r="AB285" s="1">
        <v>800</v>
      </c>
    </row>
    <row r="286" spans="1:28" x14ac:dyDescent="0.4">
      <c r="A286" s="1" t="s">
        <v>166</v>
      </c>
      <c r="B286" s="1">
        <v>800</v>
      </c>
      <c r="C286" s="1">
        <v>0.2</v>
      </c>
      <c r="D286" s="1">
        <v>0.5</v>
      </c>
      <c r="E286" s="1">
        <v>1000</v>
      </c>
      <c r="F286" s="1">
        <v>3</v>
      </c>
      <c r="G286" s="1">
        <v>5</v>
      </c>
      <c r="H286" s="1" t="s">
        <v>583</v>
      </c>
      <c r="I286" s="1">
        <v>153496.9</v>
      </c>
      <c r="J286" s="1">
        <v>61169.2</v>
      </c>
      <c r="K286" s="1">
        <v>92327.7</v>
      </c>
      <c r="L286" s="1">
        <v>240</v>
      </c>
      <c r="M286" s="1">
        <v>600.01</v>
      </c>
      <c r="N286" s="1">
        <v>46445.3</v>
      </c>
      <c r="O286" s="1">
        <v>70354.600000000006</v>
      </c>
      <c r="P286" s="1">
        <v>116799.9</v>
      </c>
      <c r="Q286" s="1">
        <v>3424.7</v>
      </c>
      <c r="R286" s="1">
        <v>1008</v>
      </c>
      <c r="S286" s="1">
        <v>4432.7</v>
      </c>
      <c r="T286" s="1">
        <v>21.02</v>
      </c>
      <c r="U286" s="1">
        <v>0.01</v>
      </c>
      <c r="V286" s="1">
        <v>988.7</v>
      </c>
      <c r="W286" s="1">
        <v>4413.3999999999996</v>
      </c>
      <c r="X286" s="1">
        <v>600.02</v>
      </c>
      <c r="Y286" s="1">
        <v>240</v>
      </c>
      <c r="Z286" s="1">
        <v>121213.3</v>
      </c>
      <c r="AA286" s="1">
        <v>21.03</v>
      </c>
      <c r="AB286" s="1">
        <v>800</v>
      </c>
    </row>
    <row r="287" spans="1:28" x14ac:dyDescent="0.4">
      <c r="A287" s="1" t="s">
        <v>167</v>
      </c>
      <c r="B287" s="1">
        <v>800</v>
      </c>
      <c r="C287" s="1">
        <v>0.2</v>
      </c>
      <c r="D287" s="1">
        <v>0.5</v>
      </c>
      <c r="E287" s="1">
        <v>2000</v>
      </c>
      <c r="F287" s="1">
        <v>1</v>
      </c>
      <c r="G287" s="1">
        <v>1</v>
      </c>
      <c r="H287" s="1" t="s">
        <v>583</v>
      </c>
      <c r="I287" s="1">
        <v>170586.4</v>
      </c>
      <c r="J287" s="1">
        <v>68832.399999999994</v>
      </c>
      <c r="K287" s="1">
        <v>101754</v>
      </c>
      <c r="L287" s="1">
        <v>240</v>
      </c>
      <c r="M287" s="1">
        <v>600.01</v>
      </c>
      <c r="N287" s="1">
        <v>53396.7</v>
      </c>
      <c r="O287" s="1">
        <v>79416</v>
      </c>
      <c r="P287" s="1">
        <v>132812.70000000001</v>
      </c>
      <c r="Q287" s="1">
        <v>3360.4</v>
      </c>
      <c r="R287" s="1">
        <v>988.1</v>
      </c>
      <c r="S287" s="1">
        <v>4348.5</v>
      </c>
      <c r="T287" s="1">
        <v>19.59</v>
      </c>
      <c r="U287" s="1">
        <v>0.02</v>
      </c>
      <c r="V287" s="1">
        <v>949.6</v>
      </c>
      <c r="W287" s="1">
        <v>4310</v>
      </c>
      <c r="X287" s="1">
        <v>600.02</v>
      </c>
      <c r="Y287" s="1">
        <v>240</v>
      </c>
      <c r="Z287" s="1">
        <v>137122.70000000001</v>
      </c>
      <c r="AA287" s="1">
        <v>19.62</v>
      </c>
      <c r="AB287" s="1">
        <v>800</v>
      </c>
    </row>
    <row r="288" spans="1:28" x14ac:dyDescent="0.4">
      <c r="A288" s="1" t="s">
        <v>168</v>
      </c>
      <c r="B288" s="1">
        <v>800</v>
      </c>
      <c r="C288" s="1">
        <v>0.2</v>
      </c>
      <c r="D288" s="1">
        <v>0.5</v>
      </c>
      <c r="E288" s="1">
        <v>2000</v>
      </c>
      <c r="F288" s="1">
        <v>1</v>
      </c>
      <c r="G288" s="1">
        <v>2</v>
      </c>
      <c r="H288" s="1" t="s">
        <v>583</v>
      </c>
      <c r="I288" s="1">
        <v>165460</v>
      </c>
      <c r="J288" s="1">
        <v>69625.7</v>
      </c>
      <c r="K288" s="1">
        <v>95834.3</v>
      </c>
      <c r="L288" s="1">
        <v>240</v>
      </c>
      <c r="M288" s="1">
        <v>600.01</v>
      </c>
      <c r="N288" s="1">
        <v>54898.8</v>
      </c>
      <c r="O288" s="1">
        <v>75848.2</v>
      </c>
      <c r="P288" s="1">
        <v>130747</v>
      </c>
      <c r="Q288" s="1">
        <v>3409.9</v>
      </c>
      <c r="R288" s="1">
        <v>907.1</v>
      </c>
      <c r="S288" s="1">
        <v>4317</v>
      </c>
      <c r="T288" s="1">
        <v>18.37</v>
      </c>
      <c r="U288" s="1">
        <v>0.02</v>
      </c>
      <c r="V288" s="1">
        <v>897.5</v>
      </c>
      <c r="W288" s="1">
        <v>4307.3999999999996</v>
      </c>
      <c r="X288" s="1">
        <v>600.02</v>
      </c>
      <c r="Y288" s="1">
        <v>240</v>
      </c>
      <c r="Z288" s="1">
        <v>135054.39999999999</v>
      </c>
      <c r="AA288" s="1">
        <v>18.38</v>
      </c>
      <c r="AB288" s="1">
        <v>800</v>
      </c>
    </row>
    <row r="289" spans="1:28" x14ac:dyDescent="0.4">
      <c r="A289" s="1" t="s">
        <v>169</v>
      </c>
      <c r="B289" s="1">
        <v>800</v>
      </c>
      <c r="C289" s="1">
        <v>0.2</v>
      </c>
      <c r="D289" s="1">
        <v>0.5</v>
      </c>
      <c r="E289" s="1">
        <v>2000</v>
      </c>
      <c r="F289" s="1">
        <v>1</v>
      </c>
      <c r="G289" s="1">
        <v>3</v>
      </c>
      <c r="H289" s="1" t="s">
        <v>583</v>
      </c>
      <c r="I289" s="1">
        <v>168221.5</v>
      </c>
      <c r="J289" s="1">
        <v>70384.5</v>
      </c>
      <c r="K289" s="1">
        <v>97837</v>
      </c>
      <c r="L289" s="1">
        <v>240</v>
      </c>
      <c r="M289" s="1">
        <v>600</v>
      </c>
      <c r="N289" s="1">
        <v>53482.3</v>
      </c>
      <c r="O289" s="1">
        <v>75107.7</v>
      </c>
      <c r="P289" s="1">
        <v>128590</v>
      </c>
      <c r="Q289" s="1">
        <v>3579.3</v>
      </c>
      <c r="R289" s="1">
        <v>986.2</v>
      </c>
      <c r="S289" s="1">
        <v>4565.5</v>
      </c>
      <c r="T289" s="1">
        <v>20.85</v>
      </c>
      <c r="U289" s="1">
        <v>0.01</v>
      </c>
      <c r="V289" s="1">
        <v>952.3</v>
      </c>
      <c r="W289" s="1">
        <v>4531.6000000000004</v>
      </c>
      <c r="X289" s="1">
        <v>600.01</v>
      </c>
      <c r="Y289" s="1">
        <v>240</v>
      </c>
      <c r="Z289" s="1">
        <v>133121.60000000001</v>
      </c>
      <c r="AA289" s="1">
        <v>20.87</v>
      </c>
      <c r="AB289" s="1">
        <v>800</v>
      </c>
    </row>
    <row r="290" spans="1:28" x14ac:dyDescent="0.4">
      <c r="A290" s="1" t="s">
        <v>170</v>
      </c>
      <c r="B290" s="1">
        <v>800</v>
      </c>
      <c r="C290" s="1">
        <v>0.2</v>
      </c>
      <c r="D290" s="1">
        <v>0.5</v>
      </c>
      <c r="E290" s="1">
        <v>2000</v>
      </c>
      <c r="F290" s="1">
        <v>1</v>
      </c>
      <c r="G290" s="1">
        <v>4</v>
      </c>
      <c r="H290" s="1" t="s">
        <v>583</v>
      </c>
      <c r="I290" s="1">
        <v>168917.2</v>
      </c>
      <c r="J290" s="1">
        <v>69517.8</v>
      </c>
      <c r="K290" s="1">
        <v>99399.4</v>
      </c>
      <c r="L290" s="1">
        <v>240</v>
      </c>
      <c r="M290" s="1">
        <v>600</v>
      </c>
      <c r="N290" s="1">
        <v>52432.3</v>
      </c>
      <c r="O290" s="1">
        <v>77092</v>
      </c>
      <c r="P290" s="1">
        <v>129524.3</v>
      </c>
      <c r="Q290" s="1">
        <v>3422.4</v>
      </c>
      <c r="R290" s="1">
        <v>1063.9000000000001</v>
      </c>
      <c r="S290" s="1">
        <v>4486.3</v>
      </c>
      <c r="T290" s="1">
        <v>20.66</v>
      </c>
      <c r="U290" s="1">
        <v>0.02</v>
      </c>
      <c r="V290" s="1">
        <v>1043.4000000000001</v>
      </c>
      <c r="W290" s="1">
        <v>4465.8</v>
      </c>
      <c r="X290" s="1">
        <v>600.02</v>
      </c>
      <c r="Y290" s="1">
        <v>240</v>
      </c>
      <c r="Z290" s="1">
        <v>133990.1</v>
      </c>
      <c r="AA290" s="1">
        <v>20.68</v>
      </c>
      <c r="AB290" s="1">
        <v>800</v>
      </c>
    </row>
    <row r="291" spans="1:28" x14ac:dyDescent="0.4">
      <c r="A291" s="1" t="s">
        <v>171</v>
      </c>
      <c r="B291" s="1">
        <v>800</v>
      </c>
      <c r="C291" s="1">
        <v>0.2</v>
      </c>
      <c r="D291" s="1">
        <v>0.5</v>
      </c>
      <c r="E291" s="1">
        <v>2000</v>
      </c>
      <c r="F291" s="1">
        <v>1</v>
      </c>
      <c r="G291" s="1">
        <v>5</v>
      </c>
      <c r="H291" s="1" t="s">
        <v>583</v>
      </c>
      <c r="I291" s="1">
        <v>168479.3</v>
      </c>
      <c r="J291" s="1">
        <v>68009.100000000006</v>
      </c>
      <c r="K291" s="1">
        <v>100470.2</v>
      </c>
      <c r="L291" s="1">
        <v>240</v>
      </c>
      <c r="M291" s="1">
        <v>600.01</v>
      </c>
      <c r="N291" s="1">
        <v>51760.1</v>
      </c>
      <c r="O291" s="1">
        <v>75403.399999999994</v>
      </c>
      <c r="P291" s="1">
        <v>127163.5</v>
      </c>
      <c r="Q291" s="1">
        <v>3553.1</v>
      </c>
      <c r="R291" s="1">
        <v>1046.3</v>
      </c>
      <c r="S291" s="1">
        <v>4599.3999999999996</v>
      </c>
      <c r="T291" s="1">
        <v>21.79</v>
      </c>
      <c r="U291" s="1">
        <v>0.01</v>
      </c>
      <c r="V291" s="1">
        <v>1024.0999999999999</v>
      </c>
      <c r="W291" s="1">
        <v>4577.2</v>
      </c>
      <c r="X291" s="1">
        <v>600.02</v>
      </c>
      <c r="Y291" s="1">
        <v>240</v>
      </c>
      <c r="Z291" s="1">
        <v>131740.70000000001</v>
      </c>
      <c r="AA291" s="1">
        <v>21.81</v>
      </c>
      <c r="AB291" s="1">
        <v>800</v>
      </c>
    </row>
    <row r="292" spans="1:28" x14ac:dyDescent="0.4">
      <c r="A292" s="1" t="s">
        <v>172</v>
      </c>
      <c r="B292" s="1">
        <v>800</v>
      </c>
      <c r="C292" s="1">
        <v>0.2</v>
      </c>
      <c r="D292" s="1">
        <v>0.5</v>
      </c>
      <c r="E292" s="1">
        <v>2000</v>
      </c>
      <c r="F292" s="1">
        <v>2</v>
      </c>
      <c r="G292" s="1">
        <v>1</v>
      </c>
      <c r="H292" s="1" t="s">
        <v>583</v>
      </c>
      <c r="I292" s="1">
        <v>245290.8</v>
      </c>
      <c r="J292" s="1">
        <v>101416.6</v>
      </c>
      <c r="K292" s="1">
        <v>143874.20000000001</v>
      </c>
      <c r="L292" s="1">
        <v>240</v>
      </c>
      <c r="M292" s="1">
        <v>600.01</v>
      </c>
      <c r="N292" s="1">
        <v>77697.5</v>
      </c>
      <c r="O292" s="1">
        <v>111167.7</v>
      </c>
      <c r="P292" s="1">
        <v>188865.2</v>
      </c>
      <c r="Q292" s="1">
        <v>3345.3</v>
      </c>
      <c r="R292" s="1">
        <v>995.7</v>
      </c>
      <c r="S292" s="1">
        <v>4341</v>
      </c>
      <c r="T292" s="1">
        <v>21.23</v>
      </c>
      <c r="U292" s="1">
        <v>0.02</v>
      </c>
      <c r="V292" s="1">
        <v>965.8</v>
      </c>
      <c r="W292" s="1">
        <v>4311.1000000000004</v>
      </c>
      <c r="X292" s="1">
        <v>600.03</v>
      </c>
      <c r="Y292" s="1">
        <v>240</v>
      </c>
      <c r="Z292" s="1">
        <v>193176.3</v>
      </c>
      <c r="AA292" s="1">
        <v>21.25</v>
      </c>
      <c r="AB292" s="1">
        <v>800</v>
      </c>
    </row>
    <row r="293" spans="1:28" x14ac:dyDescent="0.4">
      <c r="A293" s="1" t="s">
        <v>173</v>
      </c>
      <c r="B293" s="1">
        <v>800</v>
      </c>
      <c r="C293" s="1">
        <v>0.2</v>
      </c>
      <c r="D293" s="1">
        <v>0.5</v>
      </c>
      <c r="E293" s="1">
        <v>2000</v>
      </c>
      <c r="F293" s="1">
        <v>2</v>
      </c>
      <c r="G293" s="1">
        <v>2</v>
      </c>
      <c r="H293" s="1" t="s">
        <v>583</v>
      </c>
      <c r="I293" s="1">
        <v>244984.3</v>
      </c>
      <c r="J293" s="1">
        <v>99494.9</v>
      </c>
      <c r="K293" s="1">
        <v>145489.4</v>
      </c>
      <c r="L293" s="1">
        <v>240</v>
      </c>
      <c r="M293" s="1">
        <v>600.02</v>
      </c>
      <c r="N293" s="1">
        <v>78508.800000000003</v>
      </c>
      <c r="O293" s="1">
        <v>112301.1</v>
      </c>
      <c r="P293" s="1">
        <v>190809.9</v>
      </c>
      <c r="Q293" s="1">
        <v>3420.9</v>
      </c>
      <c r="R293" s="1">
        <v>942.3</v>
      </c>
      <c r="S293" s="1">
        <v>4363.2</v>
      </c>
      <c r="T293" s="1">
        <v>20.329999999999998</v>
      </c>
      <c r="U293" s="1">
        <v>0.02</v>
      </c>
      <c r="V293" s="1">
        <v>928.4</v>
      </c>
      <c r="W293" s="1">
        <v>4349.3</v>
      </c>
      <c r="X293" s="1">
        <v>600.04</v>
      </c>
      <c r="Y293" s="1">
        <v>240</v>
      </c>
      <c r="Z293" s="1">
        <v>195159.2</v>
      </c>
      <c r="AA293" s="1">
        <v>20.34</v>
      </c>
      <c r="AB293" s="1">
        <v>800</v>
      </c>
    </row>
    <row r="294" spans="1:28" x14ac:dyDescent="0.4">
      <c r="A294" s="1" t="s">
        <v>174</v>
      </c>
      <c r="B294" s="1">
        <v>800</v>
      </c>
      <c r="C294" s="1">
        <v>0.2</v>
      </c>
      <c r="D294" s="1">
        <v>0.5</v>
      </c>
      <c r="E294" s="1">
        <v>2000</v>
      </c>
      <c r="F294" s="1">
        <v>2</v>
      </c>
      <c r="G294" s="1">
        <v>3</v>
      </c>
      <c r="H294" s="1" t="s">
        <v>583</v>
      </c>
      <c r="I294" s="1">
        <v>246364.79999999999</v>
      </c>
      <c r="J294" s="1">
        <v>99776.2</v>
      </c>
      <c r="K294" s="1">
        <v>146588.6</v>
      </c>
      <c r="L294" s="1">
        <v>240</v>
      </c>
      <c r="M294" s="1">
        <v>600</v>
      </c>
      <c r="N294" s="1">
        <v>78558.399999999994</v>
      </c>
      <c r="O294" s="1">
        <v>112454.5</v>
      </c>
      <c r="P294" s="1">
        <v>191012.9</v>
      </c>
      <c r="Q294" s="1">
        <v>3440.6</v>
      </c>
      <c r="R294" s="1">
        <v>1033.5</v>
      </c>
      <c r="S294" s="1">
        <v>4474.1000000000004</v>
      </c>
      <c r="T294" s="1">
        <v>20.65</v>
      </c>
      <c r="U294" s="1">
        <v>0.02</v>
      </c>
      <c r="V294" s="1">
        <v>1009.9</v>
      </c>
      <c r="W294" s="1">
        <v>4450.5</v>
      </c>
      <c r="X294" s="1">
        <v>600.02</v>
      </c>
      <c r="Y294" s="1">
        <v>240</v>
      </c>
      <c r="Z294" s="1">
        <v>195463.4</v>
      </c>
      <c r="AA294" s="1">
        <v>20.66</v>
      </c>
      <c r="AB294" s="1">
        <v>800</v>
      </c>
    </row>
    <row r="295" spans="1:28" x14ac:dyDescent="0.4">
      <c r="A295" s="1" t="s">
        <v>175</v>
      </c>
      <c r="B295" s="1">
        <v>800</v>
      </c>
      <c r="C295" s="1">
        <v>0.2</v>
      </c>
      <c r="D295" s="1">
        <v>0.5</v>
      </c>
      <c r="E295" s="1">
        <v>2000</v>
      </c>
      <c r="F295" s="1">
        <v>2</v>
      </c>
      <c r="G295" s="1">
        <v>4</v>
      </c>
      <c r="H295" s="1" t="s">
        <v>583</v>
      </c>
      <c r="I295" s="1">
        <v>242464.7</v>
      </c>
      <c r="J295" s="1">
        <v>99473.1</v>
      </c>
      <c r="K295" s="1">
        <v>142991.6</v>
      </c>
      <c r="L295" s="1">
        <v>240</v>
      </c>
      <c r="M295" s="1">
        <v>600.01</v>
      </c>
      <c r="N295" s="1">
        <v>79040.3</v>
      </c>
      <c r="O295" s="1">
        <v>112000.8</v>
      </c>
      <c r="P295" s="1">
        <v>191041.1</v>
      </c>
      <c r="Q295" s="1">
        <v>3411.3</v>
      </c>
      <c r="R295" s="1">
        <v>960</v>
      </c>
      <c r="S295" s="1">
        <v>4371.3</v>
      </c>
      <c r="T295" s="1">
        <v>19.41</v>
      </c>
      <c r="U295" s="1">
        <v>0.02</v>
      </c>
      <c r="V295" s="1">
        <v>939.2</v>
      </c>
      <c r="W295" s="1">
        <v>4350.5</v>
      </c>
      <c r="X295" s="1">
        <v>600.03</v>
      </c>
      <c r="Y295" s="1">
        <v>240</v>
      </c>
      <c r="Z295" s="1">
        <v>195391.6</v>
      </c>
      <c r="AA295" s="1">
        <v>19.41</v>
      </c>
      <c r="AB295" s="1">
        <v>800</v>
      </c>
    </row>
    <row r="296" spans="1:28" x14ac:dyDescent="0.4">
      <c r="A296" s="1" t="s">
        <v>176</v>
      </c>
      <c r="B296" s="1">
        <v>800</v>
      </c>
      <c r="C296" s="1">
        <v>0.2</v>
      </c>
      <c r="D296" s="1">
        <v>0.5</v>
      </c>
      <c r="E296" s="1">
        <v>2000</v>
      </c>
      <c r="F296" s="1">
        <v>2</v>
      </c>
      <c r="G296" s="1">
        <v>5</v>
      </c>
      <c r="H296" s="1" t="s">
        <v>583</v>
      </c>
      <c r="I296" s="1">
        <v>247997.4</v>
      </c>
      <c r="J296" s="1">
        <v>101583.4</v>
      </c>
      <c r="K296" s="1">
        <v>146414</v>
      </c>
      <c r="L296" s="1">
        <v>240</v>
      </c>
      <c r="M296" s="1">
        <v>600.02</v>
      </c>
      <c r="N296" s="1">
        <v>77827</v>
      </c>
      <c r="O296" s="1">
        <v>113151</v>
      </c>
      <c r="P296" s="1">
        <v>190978</v>
      </c>
      <c r="Q296" s="1">
        <v>3440</v>
      </c>
      <c r="R296" s="1">
        <v>1049.0999999999999</v>
      </c>
      <c r="S296" s="1">
        <v>4489.1000000000004</v>
      </c>
      <c r="T296" s="1">
        <v>21.18</v>
      </c>
      <c r="U296" s="1">
        <v>0.03</v>
      </c>
      <c r="V296" s="1">
        <v>1035.3</v>
      </c>
      <c r="W296" s="1">
        <v>4475.3</v>
      </c>
      <c r="X296" s="1">
        <v>600.04999999999995</v>
      </c>
      <c r="Y296" s="1">
        <v>240</v>
      </c>
      <c r="Z296" s="1">
        <v>195453.3</v>
      </c>
      <c r="AA296" s="1">
        <v>21.19</v>
      </c>
      <c r="AB296" s="1">
        <v>800</v>
      </c>
    </row>
    <row r="297" spans="1:28" x14ac:dyDescent="0.4">
      <c r="A297" s="1" t="s">
        <v>177</v>
      </c>
      <c r="B297" s="1">
        <v>800</v>
      </c>
      <c r="C297" s="1">
        <v>0.2</v>
      </c>
      <c r="D297" s="1">
        <v>0.5</v>
      </c>
      <c r="E297" s="1">
        <v>2000</v>
      </c>
      <c r="F297" s="1">
        <v>3</v>
      </c>
      <c r="G297" s="1">
        <v>1</v>
      </c>
      <c r="H297" s="1" t="s">
        <v>583</v>
      </c>
      <c r="I297" s="1">
        <v>299881.40000000002</v>
      </c>
      <c r="J297" s="1">
        <v>120588.9</v>
      </c>
      <c r="K297" s="1">
        <v>179292.5</v>
      </c>
      <c r="L297" s="1">
        <v>240</v>
      </c>
      <c r="M297" s="1">
        <v>600</v>
      </c>
      <c r="N297" s="1">
        <v>94864.2</v>
      </c>
      <c r="O297" s="1">
        <v>139868.4</v>
      </c>
      <c r="P297" s="1">
        <v>234732.6</v>
      </c>
      <c r="Q297" s="1">
        <v>3474.3</v>
      </c>
      <c r="R297" s="1">
        <v>922.6</v>
      </c>
      <c r="S297" s="1">
        <v>4396.8999999999996</v>
      </c>
      <c r="T297" s="1">
        <v>20.260000000000002</v>
      </c>
      <c r="U297" s="1">
        <v>0.02</v>
      </c>
      <c r="V297" s="1">
        <v>888.1</v>
      </c>
      <c r="W297" s="1">
        <v>4362.3999999999996</v>
      </c>
      <c r="X297" s="1">
        <v>600.02</v>
      </c>
      <c r="Y297" s="1">
        <v>240</v>
      </c>
      <c r="Z297" s="1">
        <v>239095</v>
      </c>
      <c r="AA297" s="1">
        <v>20.27</v>
      </c>
      <c r="AB297" s="1">
        <v>800</v>
      </c>
    </row>
    <row r="298" spans="1:28" x14ac:dyDescent="0.4">
      <c r="A298" s="1" t="s">
        <v>178</v>
      </c>
      <c r="B298" s="1">
        <v>800</v>
      </c>
      <c r="C298" s="1">
        <v>0.2</v>
      </c>
      <c r="D298" s="1">
        <v>0.5</v>
      </c>
      <c r="E298" s="1">
        <v>2000</v>
      </c>
      <c r="F298" s="1">
        <v>3</v>
      </c>
      <c r="G298" s="1">
        <v>2</v>
      </c>
      <c r="H298" s="1" t="s">
        <v>583</v>
      </c>
      <c r="I298" s="1">
        <v>313359.5</v>
      </c>
      <c r="J298" s="1">
        <v>131053.2</v>
      </c>
      <c r="K298" s="1">
        <v>182306.3</v>
      </c>
      <c r="L298" s="1">
        <v>240</v>
      </c>
      <c r="M298" s="1">
        <v>600.01</v>
      </c>
      <c r="N298" s="1">
        <v>102408.3</v>
      </c>
      <c r="O298" s="1">
        <v>140630.79999999999</v>
      </c>
      <c r="P298" s="1">
        <v>243039.1</v>
      </c>
      <c r="Q298" s="1">
        <v>3509.7</v>
      </c>
      <c r="R298" s="1">
        <v>1113</v>
      </c>
      <c r="S298" s="1">
        <v>4622.7</v>
      </c>
      <c r="T298" s="1">
        <v>20.97</v>
      </c>
      <c r="U298" s="1">
        <v>0.02</v>
      </c>
      <c r="V298" s="1">
        <v>1088.2</v>
      </c>
      <c r="W298" s="1">
        <v>4597.8999999999996</v>
      </c>
      <c r="X298" s="1">
        <v>600.03</v>
      </c>
      <c r="Y298" s="1">
        <v>240</v>
      </c>
      <c r="Z298" s="1">
        <v>247637</v>
      </c>
      <c r="AA298" s="1">
        <v>20.97</v>
      </c>
      <c r="AB298" s="1">
        <v>800</v>
      </c>
    </row>
    <row r="299" spans="1:28" x14ac:dyDescent="0.4">
      <c r="A299" s="1" t="s">
        <v>179</v>
      </c>
      <c r="B299" s="1">
        <v>800</v>
      </c>
      <c r="C299" s="1">
        <v>0.2</v>
      </c>
      <c r="D299" s="1">
        <v>0.5</v>
      </c>
      <c r="E299" s="1">
        <v>2000</v>
      </c>
      <c r="F299" s="1">
        <v>3</v>
      </c>
      <c r="G299" s="1">
        <v>3</v>
      </c>
      <c r="H299" s="1" t="s">
        <v>583</v>
      </c>
      <c r="I299" s="1">
        <v>312901.7</v>
      </c>
      <c r="J299" s="1">
        <v>123616.3</v>
      </c>
      <c r="K299" s="1">
        <v>189285.4</v>
      </c>
      <c r="L299" s="1">
        <v>240</v>
      </c>
      <c r="M299" s="1">
        <v>600</v>
      </c>
      <c r="N299" s="1">
        <v>95477.1</v>
      </c>
      <c r="O299" s="1">
        <v>145776.1</v>
      </c>
      <c r="P299" s="1">
        <v>241253.2</v>
      </c>
      <c r="Q299" s="1">
        <v>3440.4</v>
      </c>
      <c r="R299" s="1">
        <v>1086.0999999999999</v>
      </c>
      <c r="S299" s="1">
        <v>4526.5</v>
      </c>
      <c r="T299" s="1">
        <v>21.45</v>
      </c>
      <c r="U299" s="1">
        <v>0.02</v>
      </c>
      <c r="V299" s="1">
        <v>1076.3</v>
      </c>
      <c r="W299" s="1">
        <v>4516.7</v>
      </c>
      <c r="X299" s="1">
        <v>600.03</v>
      </c>
      <c r="Y299" s="1">
        <v>240</v>
      </c>
      <c r="Z299" s="1">
        <v>245769.9</v>
      </c>
      <c r="AA299" s="1">
        <v>21.45</v>
      </c>
      <c r="AB299" s="1">
        <v>800</v>
      </c>
    </row>
    <row r="300" spans="1:28" x14ac:dyDescent="0.4">
      <c r="A300" s="1" t="s">
        <v>180</v>
      </c>
      <c r="B300" s="1">
        <v>800</v>
      </c>
      <c r="C300" s="1">
        <v>0.2</v>
      </c>
      <c r="D300" s="1">
        <v>0.5</v>
      </c>
      <c r="E300" s="1">
        <v>2000</v>
      </c>
      <c r="F300" s="1">
        <v>3</v>
      </c>
      <c r="G300" s="1">
        <v>4</v>
      </c>
      <c r="H300" s="1" t="s">
        <v>583</v>
      </c>
      <c r="I300" s="1">
        <v>315103.40000000002</v>
      </c>
      <c r="J300" s="1">
        <v>126781</v>
      </c>
      <c r="K300" s="1">
        <v>188322.4</v>
      </c>
      <c r="L300" s="1">
        <v>240</v>
      </c>
      <c r="M300" s="1">
        <v>600.03</v>
      </c>
      <c r="N300" s="1">
        <v>98697.7</v>
      </c>
      <c r="O300" s="1">
        <v>143180.5</v>
      </c>
      <c r="P300" s="1">
        <v>241878.2</v>
      </c>
      <c r="Q300" s="1">
        <v>3523.8</v>
      </c>
      <c r="R300" s="1">
        <v>1031.8</v>
      </c>
      <c r="S300" s="1">
        <v>4555.6000000000004</v>
      </c>
      <c r="T300" s="1">
        <v>21.79</v>
      </c>
      <c r="U300" s="1">
        <v>0.02</v>
      </c>
      <c r="V300" s="1">
        <v>1016.5</v>
      </c>
      <c r="W300" s="1">
        <v>4540.3</v>
      </c>
      <c r="X300" s="1">
        <v>600.04999999999995</v>
      </c>
      <c r="Y300" s="1">
        <v>240</v>
      </c>
      <c r="Z300" s="1">
        <v>246418.5</v>
      </c>
      <c r="AA300" s="1">
        <v>21.8</v>
      </c>
      <c r="AB300" s="1">
        <v>800</v>
      </c>
    </row>
    <row r="301" spans="1:28" x14ac:dyDescent="0.4">
      <c r="A301" s="1" t="s">
        <v>181</v>
      </c>
      <c r="B301" s="1">
        <v>800</v>
      </c>
      <c r="C301" s="1">
        <v>0.2</v>
      </c>
      <c r="D301" s="1">
        <v>0.5</v>
      </c>
      <c r="E301" s="1">
        <v>2000</v>
      </c>
      <c r="F301" s="1">
        <v>3</v>
      </c>
      <c r="G301" s="1">
        <v>5</v>
      </c>
      <c r="H301" s="1" t="s">
        <v>583</v>
      </c>
      <c r="I301" s="1">
        <v>306717</v>
      </c>
      <c r="J301" s="1">
        <v>125797.8</v>
      </c>
      <c r="K301" s="1">
        <v>180919.2</v>
      </c>
      <c r="L301" s="1">
        <v>240</v>
      </c>
      <c r="M301" s="1">
        <v>600.01</v>
      </c>
      <c r="N301" s="1">
        <v>97070.6</v>
      </c>
      <c r="O301" s="1">
        <v>139094</v>
      </c>
      <c r="P301" s="1">
        <v>236164.6</v>
      </c>
      <c r="Q301" s="1">
        <v>3417.7</v>
      </c>
      <c r="R301" s="1">
        <v>864.9</v>
      </c>
      <c r="S301" s="1">
        <v>4282.6000000000004</v>
      </c>
      <c r="T301" s="1">
        <v>21.61</v>
      </c>
      <c r="U301" s="1">
        <v>0.02</v>
      </c>
      <c r="V301" s="1">
        <v>827.3</v>
      </c>
      <c r="W301" s="1">
        <v>4245</v>
      </c>
      <c r="X301" s="1">
        <v>600.02</v>
      </c>
      <c r="Y301" s="1">
        <v>240</v>
      </c>
      <c r="Z301" s="1">
        <v>240409.60000000001</v>
      </c>
      <c r="AA301" s="1">
        <v>21.62</v>
      </c>
      <c r="AB301" s="1">
        <v>800</v>
      </c>
    </row>
    <row r="302" spans="1:28" x14ac:dyDescent="0.4">
      <c r="A302" s="1" t="s">
        <v>182</v>
      </c>
      <c r="B302" s="1">
        <v>800</v>
      </c>
      <c r="C302" s="1">
        <v>0.2</v>
      </c>
      <c r="D302" s="1">
        <v>0.5</v>
      </c>
      <c r="E302" s="1">
        <v>500</v>
      </c>
      <c r="F302" s="1">
        <v>1</v>
      </c>
      <c r="G302" s="1">
        <v>1</v>
      </c>
      <c r="H302" s="1" t="s">
        <v>583</v>
      </c>
      <c r="I302" s="1">
        <v>42456</v>
      </c>
      <c r="J302" s="1">
        <v>17710.900000000001</v>
      </c>
      <c r="K302" s="1">
        <v>24745.1</v>
      </c>
      <c r="L302" s="1">
        <v>240</v>
      </c>
      <c r="M302" s="1">
        <v>600</v>
      </c>
      <c r="N302" s="1">
        <v>12988.5</v>
      </c>
      <c r="O302" s="1">
        <v>17549.2</v>
      </c>
      <c r="P302" s="1">
        <v>30537.7</v>
      </c>
      <c r="Q302" s="1">
        <v>3486.2</v>
      </c>
      <c r="R302" s="1">
        <v>792.4</v>
      </c>
      <c r="S302" s="1">
        <v>4278.6000000000004</v>
      </c>
      <c r="T302" s="1">
        <v>17.989999999999998</v>
      </c>
      <c r="U302" s="1">
        <v>0.01</v>
      </c>
      <c r="V302" s="1">
        <v>772.3</v>
      </c>
      <c r="W302" s="1">
        <v>4258.5</v>
      </c>
      <c r="X302" s="1">
        <v>600.01</v>
      </c>
      <c r="Y302" s="1">
        <v>240</v>
      </c>
      <c r="Z302" s="1">
        <v>34796.199999999997</v>
      </c>
      <c r="AA302" s="1">
        <v>18.04</v>
      </c>
      <c r="AB302" s="1">
        <v>800</v>
      </c>
    </row>
    <row r="303" spans="1:28" x14ac:dyDescent="0.4">
      <c r="A303" s="1" t="s">
        <v>183</v>
      </c>
      <c r="B303" s="1">
        <v>800</v>
      </c>
      <c r="C303" s="1">
        <v>0.2</v>
      </c>
      <c r="D303" s="1">
        <v>0.5</v>
      </c>
      <c r="E303" s="1">
        <v>500</v>
      </c>
      <c r="F303" s="1">
        <v>1</v>
      </c>
      <c r="G303" s="1">
        <v>2</v>
      </c>
      <c r="H303" s="1" t="s">
        <v>583</v>
      </c>
      <c r="I303" s="1">
        <v>39729.800000000003</v>
      </c>
      <c r="J303" s="1">
        <v>15669.4</v>
      </c>
      <c r="K303" s="1">
        <v>24060.400000000001</v>
      </c>
      <c r="L303" s="1">
        <v>240</v>
      </c>
      <c r="M303" s="1">
        <v>600</v>
      </c>
      <c r="N303" s="1">
        <v>11216.4</v>
      </c>
      <c r="O303" s="1">
        <v>17143.7</v>
      </c>
      <c r="P303" s="1">
        <v>28360.1</v>
      </c>
      <c r="Q303" s="1">
        <v>3464.6</v>
      </c>
      <c r="R303" s="1">
        <v>785.3</v>
      </c>
      <c r="S303" s="1">
        <v>4249.8999999999996</v>
      </c>
      <c r="T303" s="1">
        <v>17.920000000000002</v>
      </c>
      <c r="U303" s="1">
        <v>0.01</v>
      </c>
      <c r="V303" s="1">
        <v>783.9</v>
      </c>
      <c r="W303" s="1">
        <v>4248.5</v>
      </c>
      <c r="X303" s="1">
        <v>600.01</v>
      </c>
      <c r="Y303" s="1">
        <v>240</v>
      </c>
      <c r="Z303" s="1">
        <v>32608.6</v>
      </c>
      <c r="AA303" s="1">
        <v>17.920000000000002</v>
      </c>
      <c r="AB303" s="1">
        <v>800</v>
      </c>
    </row>
    <row r="304" spans="1:28" x14ac:dyDescent="0.4">
      <c r="A304" s="1" t="s">
        <v>184</v>
      </c>
      <c r="B304" s="1">
        <v>800</v>
      </c>
      <c r="C304" s="1">
        <v>0.2</v>
      </c>
      <c r="D304" s="1">
        <v>0.5</v>
      </c>
      <c r="E304" s="1">
        <v>500</v>
      </c>
      <c r="F304" s="1">
        <v>1</v>
      </c>
      <c r="G304" s="1">
        <v>3</v>
      </c>
      <c r="H304" s="1" t="s">
        <v>583</v>
      </c>
      <c r="I304" s="1">
        <v>41512.699999999997</v>
      </c>
      <c r="J304" s="1">
        <v>16714</v>
      </c>
      <c r="K304" s="1">
        <v>24798.7</v>
      </c>
      <c r="L304" s="1">
        <v>240</v>
      </c>
      <c r="M304" s="1">
        <v>600</v>
      </c>
      <c r="N304" s="1">
        <v>12087.6</v>
      </c>
      <c r="O304" s="1">
        <v>17709.099999999999</v>
      </c>
      <c r="P304" s="1">
        <v>29796.7</v>
      </c>
      <c r="Q304" s="1">
        <v>3411.5</v>
      </c>
      <c r="R304" s="1">
        <v>802.9</v>
      </c>
      <c r="S304" s="1">
        <v>4214.3999999999996</v>
      </c>
      <c r="T304" s="1">
        <v>18.07</v>
      </c>
      <c r="U304" s="1">
        <v>0.01</v>
      </c>
      <c r="V304" s="1">
        <v>782.1</v>
      </c>
      <c r="W304" s="1">
        <v>4193.6000000000004</v>
      </c>
      <c r="X304" s="1">
        <v>600.01</v>
      </c>
      <c r="Y304" s="1">
        <v>240</v>
      </c>
      <c r="Z304" s="1">
        <v>33990.300000000003</v>
      </c>
      <c r="AA304" s="1">
        <v>18.12</v>
      </c>
      <c r="AB304" s="1">
        <v>800</v>
      </c>
    </row>
    <row r="305" spans="1:28" x14ac:dyDescent="0.4">
      <c r="A305" s="1" t="s">
        <v>185</v>
      </c>
      <c r="B305" s="1">
        <v>800</v>
      </c>
      <c r="C305" s="1">
        <v>0.2</v>
      </c>
      <c r="D305" s="1">
        <v>0.5</v>
      </c>
      <c r="E305" s="1">
        <v>500</v>
      </c>
      <c r="F305" s="1">
        <v>1</v>
      </c>
      <c r="G305" s="1">
        <v>4</v>
      </c>
      <c r="H305" s="1" t="s">
        <v>583</v>
      </c>
      <c r="I305" s="1">
        <v>44381.599999999999</v>
      </c>
      <c r="J305" s="1">
        <v>18877.900000000001</v>
      </c>
      <c r="K305" s="1">
        <v>25503.7</v>
      </c>
      <c r="L305" s="1">
        <v>240</v>
      </c>
      <c r="M305" s="1">
        <v>600</v>
      </c>
      <c r="N305" s="1">
        <v>13617.5</v>
      </c>
      <c r="O305" s="1">
        <v>18863.5</v>
      </c>
      <c r="P305" s="1">
        <v>32481</v>
      </c>
      <c r="Q305" s="1">
        <v>3431.9</v>
      </c>
      <c r="R305" s="1">
        <v>827.6</v>
      </c>
      <c r="S305" s="1">
        <v>4259.5</v>
      </c>
      <c r="T305" s="1">
        <v>17.22</v>
      </c>
      <c r="U305" s="1">
        <v>0.01</v>
      </c>
      <c r="V305" s="1">
        <v>804</v>
      </c>
      <c r="W305" s="1">
        <v>4235.8999999999996</v>
      </c>
      <c r="X305" s="1">
        <v>600.02</v>
      </c>
      <c r="Y305" s="1">
        <v>240</v>
      </c>
      <c r="Z305" s="1">
        <v>36716.9</v>
      </c>
      <c r="AA305" s="1">
        <v>17.27</v>
      </c>
      <c r="AB305" s="1">
        <v>800</v>
      </c>
    </row>
    <row r="306" spans="1:28" x14ac:dyDescent="0.4">
      <c r="A306" s="1" t="s">
        <v>186</v>
      </c>
      <c r="B306" s="1">
        <v>800</v>
      </c>
      <c r="C306" s="1">
        <v>0.2</v>
      </c>
      <c r="D306" s="1">
        <v>0.5</v>
      </c>
      <c r="E306" s="1">
        <v>500</v>
      </c>
      <c r="F306" s="1">
        <v>1</v>
      </c>
      <c r="G306" s="1">
        <v>5</v>
      </c>
      <c r="H306" s="1" t="s">
        <v>583</v>
      </c>
      <c r="I306" s="1">
        <v>42373.3</v>
      </c>
      <c r="J306" s="1">
        <v>16880</v>
      </c>
      <c r="K306" s="1">
        <v>25493.3</v>
      </c>
      <c r="L306" s="1">
        <v>240</v>
      </c>
      <c r="M306" s="1">
        <v>600</v>
      </c>
      <c r="N306" s="1">
        <v>12049.7</v>
      </c>
      <c r="O306" s="1">
        <v>18108.2</v>
      </c>
      <c r="P306" s="1">
        <v>30157.9</v>
      </c>
      <c r="Q306" s="1">
        <v>3354.6</v>
      </c>
      <c r="R306" s="1">
        <v>775.6</v>
      </c>
      <c r="S306" s="1">
        <v>4130.2</v>
      </c>
      <c r="T306" s="1">
        <v>19.079999999999998</v>
      </c>
      <c r="U306" s="1">
        <v>0.01</v>
      </c>
      <c r="V306" s="1">
        <v>770.1</v>
      </c>
      <c r="W306" s="1">
        <v>4124.7</v>
      </c>
      <c r="X306" s="1">
        <v>600.02</v>
      </c>
      <c r="Y306" s="1">
        <v>240</v>
      </c>
      <c r="Z306" s="1">
        <v>34282.6</v>
      </c>
      <c r="AA306" s="1">
        <v>19.09</v>
      </c>
      <c r="AB306" s="1">
        <v>800</v>
      </c>
    </row>
    <row r="307" spans="1:28" x14ac:dyDescent="0.4">
      <c r="A307" s="1" t="s">
        <v>187</v>
      </c>
      <c r="B307" s="1">
        <v>800</v>
      </c>
      <c r="C307" s="1">
        <v>0.2</v>
      </c>
      <c r="D307" s="1">
        <v>0.5</v>
      </c>
      <c r="E307" s="1">
        <v>500</v>
      </c>
      <c r="F307" s="1">
        <v>2</v>
      </c>
      <c r="G307" s="1">
        <v>1</v>
      </c>
      <c r="H307" s="1" t="s">
        <v>583</v>
      </c>
      <c r="I307" s="1">
        <v>58760.1</v>
      </c>
      <c r="J307" s="1">
        <v>23869.599999999999</v>
      </c>
      <c r="K307" s="1">
        <v>34890.5</v>
      </c>
      <c r="L307" s="1">
        <v>240</v>
      </c>
      <c r="M307" s="1">
        <v>600</v>
      </c>
      <c r="N307" s="1">
        <v>17666</v>
      </c>
      <c r="O307" s="1">
        <v>25402.6</v>
      </c>
      <c r="P307" s="1">
        <v>43068.6</v>
      </c>
      <c r="Q307" s="1">
        <v>3487.9</v>
      </c>
      <c r="R307" s="1">
        <v>940</v>
      </c>
      <c r="S307" s="1">
        <v>4427.8999999999996</v>
      </c>
      <c r="T307" s="1">
        <v>19.170000000000002</v>
      </c>
      <c r="U307" s="1">
        <v>0.02</v>
      </c>
      <c r="V307" s="1">
        <v>905.2</v>
      </c>
      <c r="W307" s="1">
        <v>4393.1000000000004</v>
      </c>
      <c r="X307" s="1">
        <v>600.02</v>
      </c>
      <c r="Y307" s="1">
        <v>240</v>
      </c>
      <c r="Z307" s="1">
        <v>47461.7</v>
      </c>
      <c r="AA307" s="1">
        <v>19.23</v>
      </c>
      <c r="AB307" s="1">
        <v>800</v>
      </c>
    </row>
    <row r="308" spans="1:28" x14ac:dyDescent="0.4">
      <c r="A308" s="1" t="s">
        <v>188</v>
      </c>
      <c r="B308" s="1">
        <v>800</v>
      </c>
      <c r="C308" s="1">
        <v>0.2</v>
      </c>
      <c r="D308" s="1">
        <v>0.5</v>
      </c>
      <c r="E308" s="1">
        <v>500</v>
      </c>
      <c r="F308" s="1">
        <v>2</v>
      </c>
      <c r="G308" s="1">
        <v>2</v>
      </c>
      <c r="H308" s="1" t="s">
        <v>583</v>
      </c>
      <c r="I308" s="1">
        <v>61570.7</v>
      </c>
      <c r="J308" s="1">
        <v>26005.7</v>
      </c>
      <c r="K308" s="1">
        <v>35565</v>
      </c>
      <c r="L308" s="1">
        <v>240</v>
      </c>
      <c r="M308" s="1">
        <v>600</v>
      </c>
      <c r="N308" s="1">
        <v>18795</v>
      </c>
      <c r="O308" s="1">
        <v>26001.4</v>
      </c>
      <c r="P308" s="1">
        <v>44796.4</v>
      </c>
      <c r="Q308" s="1">
        <v>3359.5</v>
      </c>
      <c r="R308" s="1">
        <v>930.3</v>
      </c>
      <c r="S308" s="1">
        <v>4289.8</v>
      </c>
      <c r="T308" s="1">
        <v>20.28</v>
      </c>
      <c r="U308" s="1">
        <v>0.02</v>
      </c>
      <c r="V308" s="1">
        <v>877.6</v>
      </c>
      <c r="W308" s="1">
        <v>4237.1000000000004</v>
      </c>
      <c r="X308" s="1">
        <v>600.02</v>
      </c>
      <c r="Y308" s="1">
        <v>240</v>
      </c>
      <c r="Z308" s="1">
        <v>49033.5</v>
      </c>
      <c r="AA308" s="1">
        <v>20.36</v>
      </c>
      <c r="AB308" s="1">
        <v>800</v>
      </c>
    </row>
    <row r="309" spans="1:28" x14ac:dyDescent="0.4">
      <c r="A309" s="1" t="s">
        <v>189</v>
      </c>
      <c r="B309" s="1">
        <v>800</v>
      </c>
      <c r="C309" s="1">
        <v>0.2</v>
      </c>
      <c r="D309" s="1">
        <v>0.5</v>
      </c>
      <c r="E309" s="1">
        <v>500</v>
      </c>
      <c r="F309" s="1">
        <v>2</v>
      </c>
      <c r="G309" s="1">
        <v>3</v>
      </c>
      <c r="H309" s="1" t="s">
        <v>583</v>
      </c>
      <c r="I309" s="1">
        <v>63072.5</v>
      </c>
      <c r="J309" s="1">
        <v>23232.1</v>
      </c>
      <c r="K309" s="1">
        <v>39840.400000000001</v>
      </c>
      <c r="L309" s="1">
        <v>240</v>
      </c>
      <c r="M309" s="1">
        <v>600</v>
      </c>
      <c r="N309" s="1">
        <v>17244.599999999999</v>
      </c>
      <c r="O309" s="1">
        <v>29683.599999999999</v>
      </c>
      <c r="P309" s="1">
        <v>46928.2</v>
      </c>
      <c r="Q309" s="1">
        <v>3523.4</v>
      </c>
      <c r="R309" s="1">
        <v>967.4</v>
      </c>
      <c r="S309" s="1">
        <v>4490.8</v>
      </c>
      <c r="T309" s="1">
        <v>18.48</v>
      </c>
      <c r="U309" s="1">
        <v>0.02</v>
      </c>
      <c r="V309" s="1">
        <v>960.5</v>
      </c>
      <c r="W309" s="1">
        <v>4483.8999999999996</v>
      </c>
      <c r="X309" s="1">
        <v>600.02</v>
      </c>
      <c r="Y309" s="1">
        <v>240</v>
      </c>
      <c r="Z309" s="1">
        <v>51412.1</v>
      </c>
      <c r="AA309" s="1">
        <v>18.489999999999998</v>
      </c>
      <c r="AB309" s="1">
        <v>800</v>
      </c>
    </row>
    <row r="310" spans="1:28" x14ac:dyDescent="0.4">
      <c r="A310" s="1" t="s">
        <v>190</v>
      </c>
      <c r="B310" s="1">
        <v>800</v>
      </c>
      <c r="C310" s="1">
        <v>0.2</v>
      </c>
      <c r="D310" s="1">
        <v>0.5</v>
      </c>
      <c r="E310" s="1">
        <v>500</v>
      </c>
      <c r="F310" s="1">
        <v>2</v>
      </c>
      <c r="G310" s="1">
        <v>4</v>
      </c>
      <c r="H310" s="1" t="s">
        <v>583</v>
      </c>
      <c r="I310" s="1">
        <v>62339.8</v>
      </c>
      <c r="J310" s="1">
        <v>25439</v>
      </c>
      <c r="K310" s="1">
        <v>36900.800000000003</v>
      </c>
      <c r="L310" s="1">
        <v>240</v>
      </c>
      <c r="M310" s="1">
        <v>600</v>
      </c>
      <c r="N310" s="1">
        <v>18736.3</v>
      </c>
      <c r="O310" s="1">
        <v>27341.4</v>
      </c>
      <c r="P310" s="1">
        <v>46077.7</v>
      </c>
      <c r="Q310" s="1">
        <v>3486.9</v>
      </c>
      <c r="R310" s="1">
        <v>911</v>
      </c>
      <c r="S310" s="1">
        <v>4397.8999999999996</v>
      </c>
      <c r="T310" s="1">
        <v>19.03</v>
      </c>
      <c r="U310" s="1">
        <v>0.02</v>
      </c>
      <c r="V310" s="1">
        <v>876.7</v>
      </c>
      <c r="W310" s="1">
        <v>4363.6000000000004</v>
      </c>
      <c r="X310" s="1">
        <v>600.02</v>
      </c>
      <c r="Y310" s="1">
        <v>240</v>
      </c>
      <c r="Z310" s="1">
        <v>50441.3</v>
      </c>
      <c r="AA310" s="1">
        <v>19.09</v>
      </c>
      <c r="AB310" s="1">
        <v>800</v>
      </c>
    </row>
    <row r="311" spans="1:28" x14ac:dyDescent="0.4">
      <c r="A311" s="1" t="s">
        <v>191</v>
      </c>
      <c r="B311" s="1">
        <v>800</v>
      </c>
      <c r="C311" s="1">
        <v>0.2</v>
      </c>
      <c r="D311" s="1">
        <v>0.5</v>
      </c>
      <c r="E311" s="1">
        <v>500</v>
      </c>
      <c r="F311" s="1">
        <v>2</v>
      </c>
      <c r="G311" s="1">
        <v>5</v>
      </c>
      <c r="H311" s="1" t="s">
        <v>583</v>
      </c>
      <c r="I311" s="1">
        <v>64404.800000000003</v>
      </c>
      <c r="J311" s="1">
        <v>25541.1</v>
      </c>
      <c r="K311" s="1">
        <v>38863.699999999997</v>
      </c>
      <c r="L311" s="1">
        <v>240</v>
      </c>
      <c r="M311" s="1">
        <v>600</v>
      </c>
      <c r="N311" s="1">
        <v>18646</v>
      </c>
      <c r="O311" s="1">
        <v>28579.4</v>
      </c>
      <c r="P311" s="1">
        <v>47225.4</v>
      </c>
      <c r="Q311" s="1">
        <v>3388.9</v>
      </c>
      <c r="R311" s="1">
        <v>833.2</v>
      </c>
      <c r="S311" s="1">
        <v>4222.1000000000004</v>
      </c>
      <c r="T311" s="1">
        <v>20.12</v>
      </c>
      <c r="U311" s="1">
        <v>0.02</v>
      </c>
      <c r="V311" s="1">
        <v>816.7</v>
      </c>
      <c r="W311" s="1">
        <v>4205.6000000000004</v>
      </c>
      <c r="X311" s="1">
        <v>600.02</v>
      </c>
      <c r="Y311" s="1">
        <v>240</v>
      </c>
      <c r="Z311" s="1">
        <v>51431</v>
      </c>
      <c r="AA311" s="1">
        <v>20.14</v>
      </c>
      <c r="AB311" s="1">
        <v>800</v>
      </c>
    </row>
    <row r="312" spans="1:28" x14ac:dyDescent="0.4">
      <c r="A312" s="1" t="s">
        <v>192</v>
      </c>
      <c r="B312" s="1">
        <v>800</v>
      </c>
      <c r="C312" s="1">
        <v>0.2</v>
      </c>
      <c r="D312" s="1">
        <v>0.5</v>
      </c>
      <c r="E312" s="1">
        <v>500</v>
      </c>
      <c r="F312" s="1">
        <v>3</v>
      </c>
      <c r="G312" s="1">
        <v>1</v>
      </c>
      <c r="H312" s="1" t="s">
        <v>583</v>
      </c>
      <c r="I312" s="1">
        <v>79313.899999999994</v>
      </c>
      <c r="J312" s="1">
        <v>31214.7</v>
      </c>
      <c r="K312" s="1">
        <v>48099.199999999997</v>
      </c>
      <c r="L312" s="1">
        <v>240</v>
      </c>
      <c r="M312" s="1">
        <v>600</v>
      </c>
      <c r="N312" s="1">
        <v>23468.799999999999</v>
      </c>
      <c r="O312" s="1">
        <v>35560.300000000003</v>
      </c>
      <c r="P312" s="1">
        <v>59029.1</v>
      </c>
      <c r="Q312" s="1">
        <v>3524.4</v>
      </c>
      <c r="R312" s="1">
        <v>1019</v>
      </c>
      <c r="S312" s="1">
        <v>4543.3999999999996</v>
      </c>
      <c r="T312" s="1">
        <v>19.850000000000001</v>
      </c>
      <c r="U312" s="1">
        <v>0.02</v>
      </c>
      <c r="V312" s="1">
        <v>979.3</v>
      </c>
      <c r="W312" s="1">
        <v>4503.7</v>
      </c>
      <c r="X312" s="1">
        <v>600.02</v>
      </c>
      <c r="Y312" s="1">
        <v>240</v>
      </c>
      <c r="Z312" s="1">
        <v>63532.800000000003</v>
      </c>
      <c r="AA312" s="1">
        <v>19.899999999999999</v>
      </c>
      <c r="AB312" s="1">
        <v>800</v>
      </c>
    </row>
    <row r="313" spans="1:28" x14ac:dyDescent="0.4">
      <c r="A313" s="1" t="s">
        <v>193</v>
      </c>
      <c r="B313" s="1">
        <v>800</v>
      </c>
      <c r="C313" s="1">
        <v>0.2</v>
      </c>
      <c r="D313" s="1">
        <v>0.5</v>
      </c>
      <c r="E313" s="1">
        <v>500</v>
      </c>
      <c r="F313" s="1">
        <v>3</v>
      </c>
      <c r="G313" s="1">
        <v>2</v>
      </c>
      <c r="H313" s="1" t="s">
        <v>583</v>
      </c>
      <c r="I313" s="1">
        <v>79561.8</v>
      </c>
      <c r="J313" s="1">
        <v>30927.7</v>
      </c>
      <c r="K313" s="1">
        <v>48634.1</v>
      </c>
      <c r="L313" s="1">
        <v>240</v>
      </c>
      <c r="M313" s="1">
        <v>600</v>
      </c>
      <c r="N313" s="1">
        <v>22977.5</v>
      </c>
      <c r="O313" s="1">
        <v>36778.400000000001</v>
      </c>
      <c r="P313" s="1">
        <v>59755.9</v>
      </c>
      <c r="Q313" s="1">
        <v>3317.7</v>
      </c>
      <c r="R313" s="1">
        <v>826.1</v>
      </c>
      <c r="S313" s="1">
        <v>4143.8</v>
      </c>
      <c r="T313" s="1">
        <v>19.690000000000001</v>
      </c>
      <c r="U313" s="1">
        <v>0.02</v>
      </c>
      <c r="V313" s="1">
        <v>788.4</v>
      </c>
      <c r="W313" s="1">
        <v>4106.1000000000004</v>
      </c>
      <c r="X313" s="1">
        <v>600.02</v>
      </c>
      <c r="Y313" s="1">
        <v>240</v>
      </c>
      <c r="Z313" s="1">
        <v>63862</v>
      </c>
      <c r="AA313" s="1">
        <v>19.73</v>
      </c>
      <c r="AB313" s="1">
        <v>800</v>
      </c>
    </row>
    <row r="314" spans="1:28" x14ac:dyDescent="0.4">
      <c r="A314" s="1" t="s">
        <v>194</v>
      </c>
      <c r="B314" s="1">
        <v>800</v>
      </c>
      <c r="C314" s="1">
        <v>0.2</v>
      </c>
      <c r="D314" s="1">
        <v>0.5</v>
      </c>
      <c r="E314" s="1">
        <v>500</v>
      </c>
      <c r="F314" s="1">
        <v>3</v>
      </c>
      <c r="G314" s="1">
        <v>3</v>
      </c>
      <c r="H314" s="1" t="s">
        <v>583</v>
      </c>
      <c r="I314" s="1">
        <v>73403.7</v>
      </c>
      <c r="J314" s="1">
        <v>31356.799999999999</v>
      </c>
      <c r="K314" s="1">
        <v>42046.9</v>
      </c>
      <c r="L314" s="1">
        <v>240</v>
      </c>
      <c r="M314" s="1">
        <v>600</v>
      </c>
      <c r="N314" s="1">
        <v>22562.3</v>
      </c>
      <c r="O314" s="1">
        <v>30622.799999999999</v>
      </c>
      <c r="P314" s="1">
        <v>53185.1</v>
      </c>
      <c r="Q314" s="1">
        <v>3351.8</v>
      </c>
      <c r="R314" s="1">
        <v>872.2</v>
      </c>
      <c r="S314" s="1">
        <v>4224</v>
      </c>
      <c r="T314" s="1">
        <v>21.79</v>
      </c>
      <c r="U314" s="1">
        <v>0.02</v>
      </c>
      <c r="V314" s="1">
        <v>849.9</v>
      </c>
      <c r="W314" s="1">
        <v>4201.7</v>
      </c>
      <c r="X314" s="1">
        <v>600.02</v>
      </c>
      <c r="Y314" s="1">
        <v>240</v>
      </c>
      <c r="Z314" s="1">
        <v>57386.8</v>
      </c>
      <c r="AA314" s="1">
        <v>21.82</v>
      </c>
      <c r="AB314" s="1">
        <v>800</v>
      </c>
    </row>
    <row r="315" spans="1:28" x14ac:dyDescent="0.4">
      <c r="A315" s="1" t="s">
        <v>195</v>
      </c>
      <c r="B315" s="1">
        <v>800</v>
      </c>
      <c r="C315" s="1">
        <v>0.2</v>
      </c>
      <c r="D315" s="1">
        <v>0.5</v>
      </c>
      <c r="E315" s="1">
        <v>500</v>
      </c>
      <c r="F315" s="1">
        <v>3</v>
      </c>
      <c r="G315" s="1">
        <v>4</v>
      </c>
      <c r="H315" s="1" t="s">
        <v>583</v>
      </c>
      <c r="I315" s="1">
        <v>79997</v>
      </c>
      <c r="J315" s="1">
        <v>32625.7</v>
      </c>
      <c r="K315" s="1">
        <v>47371.3</v>
      </c>
      <c r="L315" s="1">
        <v>240</v>
      </c>
      <c r="M315" s="1">
        <v>600.01</v>
      </c>
      <c r="N315" s="1">
        <v>23845.4</v>
      </c>
      <c r="O315" s="1">
        <v>34254.9</v>
      </c>
      <c r="P315" s="1">
        <v>58100.3</v>
      </c>
      <c r="Q315" s="1">
        <v>3321.1</v>
      </c>
      <c r="R315" s="1">
        <v>872.7</v>
      </c>
      <c r="S315" s="1">
        <v>4193.8</v>
      </c>
      <c r="T315" s="1">
        <v>22.13</v>
      </c>
      <c r="U315" s="1">
        <v>0.02</v>
      </c>
      <c r="V315" s="1">
        <v>811.3</v>
      </c>
      <c r="W315" s="1">
        <v>4132.3999999999996</v>
      </c>
      <c r="X315" s="1">
        <v>600.02</v>
      </c>
      <c r="Y315" s="1">
        <v>240</v>
      </c>
      <c r="Z315" s="1">
        <v>62232.7</v>
      </c>
      <c r="AA315" s="1">
        <v>22.21</v>
      </c>
      <c r="AB315" s="1">
        <v>800</v>
      </c>
    </row>
    <row r="316" spans="1:28" x14ac:dyDescent="0.4">
      <c r="A316" s="1" t="s">
        <v>196</v>
      </c>
      <c r="B316" s="1">
        <v>800</v>
      </c>
      <c r="C316" s="1">
        <v>0.2</v>
      </c>
      <c r="D316" s="1">
        <v>0.5</v>
      </c>
      <c r="E316" s="1">
        <v>500</v>
      </c>
      <c r="F316" s="1">
        <v>3</v>
      </c>
      <c r="G316" s="1">
        <v>5</v>
      </c>
      <c r="H316" s="1" t="s">
        <v>583</v>
      </c>
      <c r="I316" s="1">
        <v>79466.7</v>
      </c>
      <c r="J316" s="1">
        <v>34632.300000000003</v>
      </c>
      <c r="K316" s="1">
        <v>44834.400000000001</v>
      </c>
      <c r="L316" s="1">
        <v>240</v>
      </c>
      <c r="M316" s="1">
        <v>600.01</v>
      </c>
      <c r="N316" s="1">
        <v>25427</v>
      </c>
      <c r="O316" s="1">
        <v>33415.199999999997</v>
      </c>
      <c r="P316" s="1">
        <v>58842.2</v>
      </c>
      <c r="Q316" s="1">
        <v>3512.1</v>
      </c>
      <c r="R316" s="1">
        <v>872.4</v>
      </c>
      <c r="S316" s="1">
        <v>4384.5</v>
      </c>
      <c r="T316" s="1">
        <v>20.440000000000001</v>
      </c>
      <c r="U316" s="1">
        <v>0.02</v>
      </c>
      <c r="V316" s="1">
        <v>836</v>
      </c>
      <c r="W316" s="1">
        <v>4348.1000000000004</v>
      </c>
      <c r="X316" s="1">
        <v>600.03</v>
      </c>
      <c r="Y316" s="1">
        <v>240</v>
      </c>
      <c r="Z316" s="1">
        <v>63190.3</v>
      </c>
      <c r="AA316" s="1">
        <v>20.48</v>
      </c>
      <c r="AB316" s="1">
        <v>800</v>
      </c>
    </row>
    <row r="317" spans="1:28" x14ac:dyDescent="0.4">
      <c r="A317" s="1" t="s">
        <v>197</v>
      </c>
      <c r="B317" s="1">
        <v>800</v>
      </c>
      <c r="C317" s="1">
        <v>0.3</v>
      </c>
      <c r="D317" s="1">
        <v>0.5</v>
      </c>
      <c r="E317" s="1">
        <v>1000</v>
      </c>
      <c r="F317" s="1">
        <v>1</v>
      </c>
      <c r="G317" s="1">
        <v>1</v>
      </c>
      <c r="H317" s="1" t="s">
        <v>583</v>
      </c>
      <c r="I317" s="1">
        <v>84653.3</v>
      </c>
      <c r="J317" s="1">
        <v>35326.1</v>
      </c>
      <c r="K317" s="1">
        <v>49327.199999999997</v>
      </c>
      <c r="L317" s="1">
        <v>240</v>
      </c>
      <c r="M317" s="1">
        <v>600</v>
      </c>
      <c r="N317" s="1">
        <v>24538.5</v>
      </c>
      <c r="O317" s="1">
        <v>35087.1</v>
      </c>
      <c r="P317" s="1">
        <v>59625.599999999999</v>
      </c>
      <c r="Q317" s="1">
        <v>3597.5</v>
      </c>
      <c r="R317" s="1">
        <v>1234.5</v>
      </c>
      <c r="S317" s="1">
        <v>4832</v>
      </c>
      <c r="T317" s="1">
        <v>23.86</v>
      </c>
      <c r="U317" s="1">
        <v>0.03</v>
      </c>
      <c r="V317" s="1">
        <v>1222.2</v>
      </c>
      <c r="W317" s="1">
        <v>4819.7</v>
      </c>
      <c r="X317" s="1">
        <v>600.03</v>
      </c>
      <c r="Y317" s="1">
        <v>240</v>
      </c>
      <c r="Z317" s="1">
        <v>64445.3</v>
      </c>
      <c r="AA317" s="1">
        <v>23.87</v>
      </c>
      <c r="AB317" s="1">
        <v>800</v>
      </c>
    </row>
    <row r="318" spans="1:28" x14ac:dyDescent="0.4">
      <c r="A318" s="1" t="s">
        <v>198</v>
      </c>
      <c r="B318" s="1">
        <v>800</v>
      </c>
      <c r="C318" s="1">
        <v>0.3</v>
      </c>
      <c r="D318" s="1">
        <v>0.5</v>
      </c>
      <c r="E318" s="1">
        <v>1000</v>
      </c>
      <c r="F318" s="1">
        <v>1</v>
      </c>
      <c r="G318" s="1">
        <v>2</v>
      </c>
      <c r="H318" s="1" t="s">
        <v>583</v>
      </c>
      <c r="I318" s="1">
        <v>82666.2</v>
      </c>
      <c r="J318" s="1">
        <v>34357</v>
      </c>
      <c r="K318" s="1">
        <v>48309.2</v>
      </c>
      <c r="L318" s="1">
        <v>240</v>
      </c>
      <c r="M318" s="1">
        <v>600</v>
      </c>
      <c r="N318" s="1">
        <v>23943.7</v>
      </c>
      <c r="O318" s="1">
        <v>34543.1</v>
      </c>
      <c r="P318" s="1">
        <v>58486.8</v>
      </c>
      <c r="Q318" s="1">
        <v>3341.1</v>
      </c>
      <c r="R318" s="1">
        <v>1281.8</v>
      </c>
      <c r="S318" s="1">
        <v>4622.8999999999996</v>
      </c>
      <c r="T318" s="1">
        <v>23.66</v>
      </c>
      <c r="U318" s="1">
        <v>0.03</v>
      </c>
      <c r="V318" s="1">
        <v>1243.8</v>
      </c>
      <c r="W318" s="1">
        <v>4584.8999999999996</v>
      </c>
      <c r="X318" s="1">
        <v>600.03</v>
      </c>
      <c r="Y318" s="1">
        <v>240</v>
      </c>
      <c r="Z318" s="1">
        <v>63071.7</v>
      </c>
      <c r="AA318" s="1">
        <v>23.7</v>
      </c>
      <c r="AB318" s="1">
        <v>800</v>
      </c>
    </row>
    <row r="319" spans="1:28" x14ac:dyDescent="0.4">
      <c r="A319" s="1" t="s">
        <v>199</v>
      </c>
      <c r="B319" s="1">
        <v>800</v>
      </c>
      <c r="C319" s="1">
        <v>0.3</v>
      </c>
      <c r="D319" s="1">
        <v>0.5</v>
      </c>
      <c r="E319" s="1">
        <v>1000</v>
      </c>
      <c r="F319" s="1">
        <v>1</v>
      </c>
      <c r="G319" s="1">
        <v>3</v>
      </c>
      <c r="H319" s="1" t="s">
        <v>583</v>
      </c>
      <c r="I319" s="1">
        <v>85677.4</v>
      </c>
      <c r="J319" s="1">
        <v>34507</v>
      </c>
      <c r="K319" s="1">
        <v>51170.400000000001</v>
      </c>
      <c r="L319" s="1">
        <v>240</v>
      </c>
      <c r="M319" s="1">
        <v>600.01</v>
      </c>
      <c r="N319" s="1">
        <v>23943.9</v>
      </c>
      <c r="O319" s="1">
        <v>35908.1</v>
      </c>
      <c r="P319" s="1">
        <v>59852</v>
      </c>
      <c r="Q319" s="1">
        <v>3473.6</v>
      </c>
      <c r="R319" s="1">
        <v>1168.7</v>
      </c>
      <c r="S319" s="1">
        <v>4642.3</v>
      </c>
      <c r="T319" s="1">
        <v>24.72</v>
      </c>
      <c r="U319" s="1">
        <v>0.03</v>
      </c>
      <c r="V319" s="1">
        <v>1138.2</v>
      </c>
      <c r="W319" s="1">
        <v>4611.8</v>
      </c>
      <c r="X319" s="1">
        <v>600.04</v>
      </c>
      <c r="Y319" s="1">
        <v>240</v>
      </c>
      <c r="Z319" s="1">
        <v>64463.8</v>
      </c>
      <c r="AA319" s="1">
        <v>24.76</v>
      </c>
      <c r="AB319" s="1">
        <v>800</v>
      </c>
    </row>
    <row r="320" spans="1:28" x14ac:dyDescent="0.4">
      <c r="A320" s="1" t="s">
        <v>200</v>
      </c>
      <c r="B320" s="1">
        <v>800</v>
      </c>
      <c r="C320" s="1">
        <v>0.3</v>
      </c>
      <c r="D320" s="1">
        <v>0.5</v>
      </c>
      <c r="E320" s="1">
        <v>1000</v>
      </c>
      <c r="F320" s="1">
        <v>1</v>
      </c>
      <c r="G320" s="1">
        <v>4</v>
      </c>
      <c r="H320" s="1" t="s">
        <v>583</v>
      </c>
      <c r="I320" s="1">
        <v>83697.600000000006</v>
      </c>
      <c r="J320" s="1">
        <v>35227.4</v>
      </c>
      <c r="K320" s="1">
        <v>48470.2</v>
      </c>
      <c r="L320" s="1">
        <v>240</v>
      </c>
      <c r="M320" s="1">
        <v>600</v>
      </c>
      <c r="N320" s="1">
        <v>24702.6</v>
      </c>
      <c r="O320" s="1">
        <v>35025.9</v>
      </c>
      <c r="P320" s="1">
        <v>59728.5</v>
      </c>
      <c r="Q320" s="1">
        <v>3601.9</v>
      </c>
      <c r="R320" s="1">
        <v>1419</v>
      </c>
      <c r="S320" s="1">
        <v>5020.8999999999996</v>
      </c>
      <c r="T320" s="1">
        <v>22.64</v>
      </c>
      <c r="U320" s="1">
        <v>0.04</v>
      </c>
      <c r="V320" s="1">
        <v>1406.8</v>
      </c>
      <c r="W320" s="1">
        <v>5008.7</v>
      </c>
      <c r="X320" s="1">
        <v>600.04</v>
      </c>
      <c r="Y320" s="1">
        <v>240</v>
      </c>
      <c r="Z320" s="1">
        <v>64737.2</v>
      </c>
      <c r="AA320" s="1">
        <v>22.65</v>
      </c>
      <c r="AB320" s="1">
        <v>800</v>
      </c>
    </row>
    <row r="321" spans="1:28" x14ac:dyDescent="0.4">
      <c r="A321" s="1" t="s">
        <v>201</v>
      </c>
      <c r="B321" s="1">
        <v>800</v>
      </c>
      <c r="C321" s="1">
        <v>0.3</v>
      </c>
      <c r="D321" s="1">
        <v>0.5</v>
      </c>
      <c r="E321" s="1">
        <v>1000</v>
      </c>
      <c r="F321" s="1">
        <v>1</v>
      </c>
      <c r="G321" s="1">
        <v>5</v>
      </c>
      <c r="H321" s="1" t="s">
        <v>583</v>
      </c>
      <c r="I321" s="1">
        <v>84517.4</v>
      </c>
      <c r="J321" s="1">
        <v>33762.1</v>
      </c>
      <c r="K321" s="1">
        <v>50755.3</v>
      </c>
      <c r="L321" s="1">
        <v>240</v>
      </c>
      <c r="M321" s="1">
        <v>600.01</v>
      </c>
      <c r="N321" s="1">
        <v>23951.8</v>
      </c>
      <c r="O321" s="1">
        <v>36353.1</v>
      </c>
      <c r="P321" s="1">
        <v>60304.9</v>
      </c>
      <c r="Q321" s="1">
        <v>3502.2</v>
      </c>
      <c r="R321" s="1">
        <v>1361.4</v>
      </c>
      <c r="S321" s="1">
        <v>4863.6000000000004</v>
      </c>
      <c r="T321" s="1">
        <v>22.89</v>
      </c>
      <c r="U321" s="1">
        <v>0.03</v>
      </c>
      <c r="V321" s="1">
        <v>1345</v>
      </c>
      <c r="W321" s="1">
        <v>4847.2</v>
      </c>
      <c r="X321" s="1">
        <v>600.04</v>
      </c>
      <c r="Y321" s="1">
        <v>240</v>
      </c>
      <c r="Z321" s="1">
        <v>65152.1</v>
      </c>
      <c r="AA321" s="1">
        <v>22.91</v>
      </c>
      <c r="AB321" s="1">
        <v>800</v>
      </c>
    </row>
    <row r="322" spans="1:28" x14ac:dyDescent="0.4">
      <c r="A322" s="1" t="s">
        <v>202</v>
      </c>
      <c r="B322" s="1">
        <v>800</v>
      </c>
      <c r="C322" s="1">
        <v>0.3</v>
      </c>
      <c r="D322" s="1">
        <v>0.5</v>
      </c>
      <c r="E322" s="1">
        <v>1000</v>
      </c>
      <c r="F322" s="1">
        <v>2</v>
      </c>
      <c r="G322" s="1">
        <v>1</v>
      </c>
      <c r="H322" s="1" t="s">
        <v>583</v>
      </c>
      <c r="I322" s="1">
        <v>123870.9</v>
      </c>
      <c r="J322" s="1">
        <v>51589.4</v>
      </c>
      <c r="K322" s="1">
        <v>72281.5</v>
      </c>
      <c r="L322" s="1">
        <v>240</v>
      </c>
      <c r="M322" s="1">
        <v>600.01</v>
      </c>
      <c r="N322" s="1">
        <v>36017.300000000003</v>
      </c>
      <c r="O322" s="1">
        <v>51352.800000000003</v>
      </c>
      <c r="P322" s="1">
        <v>87370.1</v>
      </c>
      <c r="Q322" s="1">
        <v>3267.8</v>
      </c>
      <c r="R322" s="1">
        <v>1217.0999999999999</v>
      </c>
      <c r="S322" s="1">
        <v>4484.8999999999996</v>
      </c>
      <c r="T322" s="1">
        <v>25.85</v>
      </c>
      <c r="U322" s="1">
        <v>0.05</v>
      </c>
      <c r="V322" s="1">
        <v>1186.8</v>
      </c>
      <c r="W322" s="1">
        <v>4454.6000000000004</v>
      </c>
      <c r="X322" s="1">
        <v>600.05999999999995</v>
      </c>
      <c r="Y322" s="1">
        <v>240</v>
      </c>
      <c r="Z322" s="1">
        <v>91824.7</v>
      </c>
      <c r="AA322" s="1">
        <v>25.87</v>
      </c>
      <c r="AB322" s="1">
        <v>800</v>
      </c>
    </row>
    <row r="323" spans="1:28" x14ac:dyDescent="0.4">
      <c r="A323" s="1" t="s">
        <v>203</v>
      </c>
      <c r="B323" s="1">
        <v>800</v>
      </c>
      <c r="C323" s="1">
        <v>0.3</v>
      </c>
      <c r="D323" s="1">
        <v>0.5</v>
      </c>
      <c r="E323" s="1">
        <v>1000</v>
      </c>
      <c r="F323" s="1">
        <v>2</v>
      </c>
      <c r="G323" s="1">
        <v>2</v>
      </c>
      <c r="H323" s="1" t="s">
        <v>583</v>
      </c>
      <c r="I323" s="1">
        <v>123697.2</v>
      </c>
      <c r="J323" s="1">
        <v>50663.4</v>
      </c>
      <c r="K323" s="1">
        <v>73033.8</v>
      </c>
      <c r="L323" s="1">
        <v>240</v>
      </c>
      <c r="M323" s="1">
        <v>600.01</v>
      </c>
      <c r="N323" s="1">
        <v>36715.699999999997</v>
      </c>
      <c r="O323" s="1">
        <v>52320.3</v>
      </c>
      <c r="P323" s="1">
        <v>89036</v>
      </c>
      <c r="Q323" s="1">
        <v>3342.6</v>
      </c>
      <c r="R323" s="1">
        <v>1050.4000000000001</v>
      </c>
      <c r="S323" s="1">
        <v>4393</v>
      </c>
      <c r="T323" s="1">
        <v>24.47</v>
      </c>
      <c r="U323" s="1">
        <v>0.04</v>
      </c>
      <c r="V323" s="1">
        <v>988.8</v>
      </c>
      <c r="W323" s="1">
        <v>4331.3999999999996</v>
      </c>
      <c r="X323" s="1">
        <v>600.04</v>
      </c>
      <c r="Y323" s="1">
        <v>240</v>
      </c>
      <c r="Z323" s="1">
        <v>93367.4</v>
      </c>
      <c r="AA323" s="1">
        <v>24.52</v>
      </c>
      <c r="AB323" s="1">
        <v>800</v>
      </c>
    </row>
    <row r="324" spans="1:28" x14ac:dyDescent="0.4">
      <c r="A324" s="1" t="s">
        <v>204</v>
      </c>
      <c r="B324" s="1">
        <v>800</v>
      </c>
      <c r="C324" s="1">
        <v>0.3</v>
      </c>
      <c r="D324" s="1">
        <v>0.5</v>
      </c>
      <c r="E324" s="1">
        <v>1000</v>
      </c>
      <c r="F324" s="1">
        <v>2</v>
      </c>
      <c r="G324" s="1">
        <v>3</v>
      </c>
      <c r="H324" s="1" t="s">
        <v>583</v>
      </c>
      <c r="I324" s="1">
        <v>126029.9</v>
      </c>
      <c r="J324" s="1">
        <v>50118.3</v>
      </c>
      <c r="K324" s="1">
        <v>75911.600000000006</v>
      </c>
      <c r="L324" s="1">
        <v>240</v>
      </c>
      <c r="M324" s="1">
        <v>600</v>
      </c>
      <c r="N324" s="1">
        <v>36507.199999999997</v>
      </c>
      <c r="O324" s="1">
        <v>54269.8</v>
      </c>
      <c r="P324" s="1">
        <v>90777</v>
      </c>
      <c r="Q324" s="1">
        <v>3399.8</v>
      </c>
      <c r="R324" s="1">
        <v>1211.5999999999999</v>
      </c>
      <c r="S324" s="1">
        <v>4611.3999999999996</v>
      </c>
      <c r="T324" s="1">
        <v>24.31</v>
      </c>
      <c r="U324" s="1">
        <v>0.05</v>
      </c>
      <c r="V324" s="1">
        <v>1193.9000000000001</v>
      </c>
      <c r="W324" s="1">
        <v>4593.7</v>
      </c>
      <c r="X324" s="1">
        <v>600.04999999999995</v>
      </c>
      <c r="Y324" s="1">
        <v>240</v>
      </c>
      <c r="Z324" s="1">
        <v>95370.7</v>
      </c>
      <c r="AA324" s="1">
        <v>24.33</v>
      </c>
      <c r="AB324" s="1">
        <v>800</v>
      </c>
    </row>
    <row r="325" spans="1:28" x14ac:dyDescent="0.4">
      <c r="A325" s="1" t="s">
        <v>205</v>
      </c>
      <c r="B325" s="1">
        <v>800</v>
      </c>
      <c r="C325" s="1">
        <v>0.3</v>
      </c>
      <c r="D325" s="1">
        <v>0.5</v>
      </c>
      <c r="E325" s="1">
        <v>1000</v>
      </c>
      <c r="F325" s="1">
        <v>2</v>
      </c>
      <c r="G325" s="1">
        <v>4</v>
      </c>
      <c r="H325" s="1" t="s">
        <v>583</v>
      </c>
      <c r="I325" s="1">
        <v>124838.2</v>
      </c>
      <c r="J325" s="1">
        <v>49077.599999999999</v>
      </c>
      <c r="K325" s="1">
        <v>75760.600000000006</v>
      </c>
      <c r="L325" s="1">
        <v>240</v>
      </c>
      <c r="M325" s="1">
        <v>600.02</v>
      </c>
      <c r="N325" s="1">
        <v>34478.400000000001</v>
      </c>
      <c r="O325" s="1">
        <v>54170.3</v>
      </c>
      <c r="P325" s="1">
        <v>88648.7</v>
      </c>
      <c r="Q325" s="1">
        <v>3426.1</v>
      </c>
      <c r="R325" s="1">
        <v>1230.7</v>
      </c>
      <c r="S325" s="1">
        <v>4656.8</v>
      </c>
      <c r="T325" s="1">
        <v>25.26</v>
      </c>
      <c r="U325" s="1">
        <v>0.03</v>
      </c>
      <c r="V325" s="1">
        <v>1209.8</v>
      </c>
      <c r="W325" s="1">
        <v>4635.8999999999996</v>
      </c>
      <c r="X325" s="1">
        <v>600.04999999999995</v>
      </c>
      <c r="Y325" s="1">
        <v>240</v>
      </c>
      <c r="Z325" s="1">
        <v>93284.6</v>
      </c>
      <c r="AA325" s="1">
        <v>25.28</v>
      </c>
      <c r="AB325" s="1">
        <v>800</v>
      </c>
    </row>
    <row r="326" spans="1:28" x14ac:dyDescent="0.4">
      <c r="A326" s="1" t="s">
        <v>206</v>
      </c>
      <c r="B326" s="1">
        <v>800</v>
      </c>
      <c r="C326" s="1">
        <v>0.3</v>
      </c>
      <c r="D326" s="1">
        <v>0.5</v>
      </c>
      <c r="E326" s="1">
        <v>1000</v>
      </c>
      <c r="F326" s="1">
        <v>2</v>
      </c>
      <c r="G326" s="1">
        <v>5</v>
      </c>
      <c r="H326" s="1" t="s">
        <v>583</v>
      </c>
      <c r="I326" s="1">
        <v>130583.5</v>
      </c>
      <c r="J326" s="1">
        <v>53589.9</v>
      </c>
      <c r="K326" s="1">
        <v>76993.600000000006</v>
      </c>
      <c r="L326" s="1">
        <v>240</v>
      </c>
      <c r="M326" s="1">
        <v>600</v>
      </c>
      <c r="N326" s="1">
        <v>37919</v>
      </c>
      <c r="O326" s="1">
        <v>54150</v>
      </c>
      <c r="P326" s="1">
        <v>92069</v>
      </c>
      <c r="Q326" s="1">
        <v>3442.9</v>
      </c>
      <c r="R326" s="1">
        <v>1220.0999999999999</v>
      </c>
      <c r="S326" s="1">
        <v>4663</v>
      </c>
      <c r="T326" s="1">
        <v>25.92</v>
      </c>
      <c r="U326" s="1">
        <v>0.05</v>
      </c>
      <c r="V326" s="1">
        <v>1174.9000000000001</v>
      </c>
      <c r="W326" s="1">
        <v>4617.8</v>
      </c>
      <c r="X326" s="1">
        <v>600.04999999999995</v>
      </c>
      <c r="Y326" s="1">
        <v>240</v>
      </c>
      <c r="Z326" s="1">
        <v>96686.8</v>
      </c>
      <c r="AA326" s="1">
        <v>25.96</v>
      </c>
      <c r="AB326" s="1">
        <v>800</v>
      </c>
    </row>
    <row r="327" spans="1:28" x14ac:dyDescent="0.4">
      <c r="A327" s="1" t="s">
        <v>207</v>
      </c>
      <c r="B327" s="1">
        <v>800</v>
      </c>
      <c r="C327" s="1">
        <v>0.3</v>
      </c>
      <c r="D327" s="1">
        <v>0.5</v>
      </c>
      <c r="E327" s="1">
        <v>1000</v>
      </c>
      <c r="F327" s="1">
        <v>3</v>
      </c>
      <c r="G327" s="1">
        <v>1</v>
      </c>
      <c r="H327" s="1" t="s">
        <v>583</v>
      </c>
      <c r="I327" s="1">
        <v>165838</v>
      </c>
      <c r="J327" s="1">
        <v>67188.399999999994</v>
      </c>
      <c r="K327" s="1">
        <v>98649.600000000006</v>
      </c>
      <c r="L327" s="1">
        <v>240</v>
      </c>
      <c r="M327" s="1">
        <v>600.01</v>
      </c>
      <c r="N327" s="1">
        <v>50322.2</v>
      </c>
      <c r="O327" s="1">
        <v>70558.7</v>
      </c>
      <c r="P327" s="1">
        <v>120880.9</v>
      </c>
      <c r="Q327" s="1">
        <v>3410.9</v>
      </c>
      <c r="R327" s="1">
        <v>1306.4000000000001</v>
      </c>
      <c r="S327" s="1">
        <v>4717.3</v>
      </c>
      <c r="T327" s="1">
        <v>24.26</v>
      </c>
      <c r="U327" s="1">
        <v>0.06</v>
      </c>
      <c r="V327" s="1">
        <v>1293.9000000000001</v>
      </c>
      <c r="W327" s="1">
        <v>4704.8</v>
      </c>
      <c r="X327" s="1">
        <v>600.07000000000005</v>
      </c>
      <c r="Y327" s="1">
        <v>240</v>
      </c>
      <c r="Z327" s="1">
        <v>125585.7</v>
      </c>
      <c r="AA327" s="1">
        <v>24.27</v>
      </c>
      <c r="AB327" s="1">
        <v>800</v>
      </c>
    </row>
    <row r="328" spans="1:28" x14ac:dyDescent="0.4">
      <c r="A328" s="1" t="s">
        <v>208</v>
      </c>
      <c r="B328" s="1">
        <v>800</v>
      </c>
      <c r="C328" s="1">
        <v>0.3</v>
      </c>
      <c r="D328" s="1">
        <v>0.5</v>
      </c>
      <c r="E328" s="1">
        <v>1000</v>
      </c>
      <c r="F328" s="1">
        <v>3</v>
      </c>
      <c r="G328" s="1">
        <v>2</v>
      </c>
      <c r="H328" s="1" t="s">
        <v>583</v>
      </c>
      <c r="I328" s="1">
        <v>157725.29999999999</v>
      </c>
      <c r="J328" s="1">
        <v>62671.7</v>
      </c>
      <c r="K328" s="1">
        <v>95053.6</v>
      </c>
      <c r="L328" s="1">
        <v>240</v>
      </c>
      <c r="M328" s="1">
        <v>600.01</v>
      </c>
      <c r="N328" s="1">
        <v>45295.1</v>
      </c>
      <c r="O328" s="1">
        <v>69366.399999999994</v>
      </c>
      <c r="P328" s="1">
        <v>114661.5</v>
      </c>
      <c r="Q328" s="1">
        <v>3440.7</v>
      </c>
      <c r="R328" s="1">
        <v>1182.5999999999999</v>
      </c>
      <c r="S328" s="1">
        <v>4623.3</v>
      </c>
      <c r="T328" s="1">
        <v>24.37</v>
      </c>
      <c r="U328" s="1">
        <v>0.03</v>
      </c>
      <c r="V328" s="1">
        <v>1174.3</v>
      </c>
      <c r="W328" s="1">
        <v>4615</v>
      </c>
      <c r="X328" s="1">
        <v>600.04</v>
      </c>
      <c r="Y328" s="1">
        <v>240</v>
      </c>
      <c r="Z328" s="1">
        <v>119276.5</v>
      </c>
      <c r="AA328" s="1">
        <v>24.38</v>
      </c>
      <c r="AB328" s="1">
        <v>800</v>
      </c>
    </row>
    <row r="329" spans="1:28" x14ac:dyDescent="0.4">
      <c r="A329" s="1" t="s">
        <v>209</v>
      </c>
      <c r="B329" s="1">
        <v>800</v>
      </c>
      <c r="C329" s="1">
        <v>0.3</v>
      </c>
      <c r="D329" s="1">
        <v>0.5</v>
      </c>
      <c r="E329" s="1">
        <v>1000</v>
      </c>
      <c r="F329" s="1">
        <v>3</v>
      </c>
      <c r="G329" s="1">
        <v>3</v>
      </c>
      <c r="H329" s="1" t="s">
        <v>583</v>
      </c>
      <c r="I329" s="1">
        <v>158113.60000000001</v>
      </c>
      <c r="J329" s="1">
        <v>62217.4</v>
      </c>
      <c r="K329" s="1">
        <v>95896.2</v>
      </c>
      <c r="L329" s="1">
        <v>240</v>
      </c>
      <c r="M329" s="1">
        <v>600.01</v>
      </c>
      <c r="N329" s="1">
        <v>44489.5</v>
      </c>
      <c r="O329" s="1">
        <v>67740.600000000006</v>
      </c>
      <c r="P329" s="1">
        <v>112230.1</v>
      </c>
      <c r="Q329" s="1">
        <v>3274.9</v>
      </c>
      <c r="R329" s="1">
        <v>1140</v>
      </c>
      <c r="S329" s="1">
        <v>4414.8999999999996</v>
      </c>
      <c r="T329" s="1">
        <v>26.23</v>
      </c>
      <c r="U329" s="1">
        <v>0.02</v>
      </c>
      <c r="V329" s="1">
        <v>1127.7</v>
      </c>
      <c r="W329" s="1">
        <v>4402.6000000000004</v>
      </c>
      <c r="X329" s="1">
        <v>600.04</v>
      </c>
      <c r="Y329" s="1">
        <v>240</v>
      </c>
      <c r="Z329" s="1">
        <v>116632.7</v>
      </c>
      <c r="AA329" s="1">
        <v>26.23</v>
      </c>
      <c r="AB329" s="1">
        <v>800</v>
      </c>
    </row>
    <row r="330" spans="1:28" x14ac:dyDescent="0.4">
      <c r="A330" s="1" t="s">
        <v>210</v>
      </c>
      <c r="B330" s="1">
        <v>800</v>
      </c>
      <c r="C330" s="1">
        <v>0.3</v>
      </c>
      <c r="D330" s="1">
        <v>0.5</v>
      </c>
      <c r="E330" s="1">
        <v>1000</v>
      </c>
      <c r="F330" s="1">
        <v>3</v>
      </c>
      <c r="G330" s="1">
        <v>4</v>
      </c>
      <c r="H330" s="1" t="s">
        <v>583</v>
      </c>
      <c r="I330" s="1">
        <v>152442.79999999999</v>
      </c>
      <c r="J330" s="1">
        <v>62484.3</v>
      </c>
      <c r="K330" s="1">
        <v>89958.5</v>
      </c>
      <c r="L330" s="1">
        <v>240</v>
      </c>
      <c r="M330" s="1">
        <v>600.01</v>
      </c>
      <c r="N330" s="1">
        <v>45193.3</v>
      </c>
      <c r="O330" s="1">
        <v>64466.400000000001</v>
      </c>
      <c r="P330" s="1">
        <v>109659.7</v>
      </c>
      <c r="Q330" s="1">
        <v>3425.5</v>
      </c>
      <c r="R330" s="1">
        <v>1182.8</v>
      </c>
      <c r="S330" s="1">
        <v>4608.3</v>
      </c>
      <c r="T330" s="1">
        <v>25.04</v>
      </c>
      <c r="U330" s="1">
        <v>0.03</v>
      </c>
      <c r="V330" s="1">
        <v>1147.4000000000001</v>
      </c>
      <c r="W330" s="1">
        <v>4572.8999999999996</v>
      </c>
      <c r="X330" s="1">
        <v>600.04999999999995</v>
      </c>
      <c r="Y330" s="1">
        <v>240</v>
      </c>
      <c r="Z330" s="1">
        <v>114232.6</v>
      </c>
      <c r="AA330" s="1">
        <v>25.07</v>
      </c>
      <c r="AB330" s="1">
        <v>800</v>
      </c>
    </row>
    <row r="331" spans="1:28" x14ac:dyDescent="0.4">
      <c r="A331" s="1" t="s">
        <v>211</v>
      </c>
      <c r="B331" s="1">
        <v>800</v>
      </c>
      <c r="C331" s="1">
        <v>0.3</v>
      </c>
      <c r="D331" s="1">
        <v>0.5</v>
      </c>
      <c r="E331" s="1">
        <v>1000</v>
      </c>
      <c r="F331" s="1">
        <v>3</v>
      </c>
      <c r="G331" s="1">
        <v>5</v>
      </c>
      <c r="H331" s="1" t="s">
        <v>583</v>
      </c>
      <c r="I331" s="1">
        <v>155852.5</v>
      </c>
      <c r="J331" s="1">
        <v>62377.7</v>
      </c>
      <c r="K331" s="1">
        <v>93474.8</v>
      </c>
      <c r="L331" s="1">
        <v>240</v>
      </c>
      <c r="M331" s="1">
        <v>600</v>
      </c>
      <c r="N331" s="1">
        <v>45473.1</v>
      </c>
      <c r="O331" s="1">
        <v>65543.399999999994</v>
      </c>
      <c r="P331" s="1">
        <v>111016.5</v>
      </c>
      <c r="Q331" s="1">
        <v>3415.8</v>
      </c>
      <c r="R331" s="1">
        <v>1208.2</v>
      </c>
      <c r="S331" s="1">
        <v>4624</v>
      </c>
      <c r="T331" s="1">
        <v>25.8</v>
      </c>
      <c r="U331" s="1">
        <v>0.03</v>
      </c>
      <c r="V331" s="1">
        <v>1179.2</v>
      </c>
      <c r="W331" s="1">
        <v>4595</v>
      </c>
      <c r="X331" s="1">
        <v>600.03</v>
      </c>
      <c r="Y331" s="1">
        <v>240</v>
      </c>
      <c r="Z331" s="1">
        <v>115611.5</v>
      </c>
      <c r="AA331" s="1">
        <v>25.82</v>
      </c>
      <c r="AB331" s="1">
        <v>800</v>
      </c>
    </row>
    <row r="332" spans="1:28" x14ac:dyDescent="0.4">
      <c r="A332" s="1" t="s">
        <v>212</v>
      </c>
      <c r="B332" s="1">
        <v>800</v>
      </c>
      <c r="C332" s="1">
        <v>0.3</v>
      </c>
      <c r="D332" s="1">
        <v>0.5</v>
      </c>
      <c r="E332" s="1">
        <v>2000</v>
      </c>
      <c r="F332" s="1">
        <v>1</v>
      </c>
      <c r="G332" s="1">
        <v>1</v>
      </c>
      <c r="H332" s="1" t="s">
        <v>583</v>
      </c>
      <c r="I332" s="1">
        <v>171006.7</v>
      </c>
      <c r="J332" s="1">
        <v>71207.600000000006</v>
      </c>
      <c r="K332" s="1">
        <v>99799.1</v>
      </c>
      <c r="L332" s="1">
        <v>240</v>
      </c>
      <c r="M332" s="1">
        <v>600</v>
      </c>
      <c r="N332" s="1">
        <v>50954.5</v>
      </c>
      <c r="O332" s="1">
        <v>71788.5</v>
      </c>
      <c r="P332" s="1">
        <v>122743</v>
      </c>
      <c r="Q332" s="1">
        <v>3481.4</v>
      </c>
      <c r="R332" s="1">
        <v>1403.6</v>
      </c>
      <c r="S332" s="1">
        <v>4885</v>
      </c>
      <c r="T332" s="1">
        <v>25.37</v>
      </c>
      <c r="U332" s="1">
        <v>0.03</v>
      </c>
      <c r="V332" s="1">
        <v>1371.6</v>
      </c>
      <c r="W332" s="1">
        <v>4853</v>
      </c>
      <c r="X332" s="1">
        <v>600.03</v>
      </c>
      <c r="Y332" s="1">
        <v>240</v>
      </c>
      <c r="Z332" s="1">
        <v>127596</v>
      </c>
      <c r="AA332" s="1">
        <v>25.39</v>
      </c>
      <c r="AB332" s="1">
        <v>800</v>
      </c>
    </row>
    <row r="333" spans="1:28" x14ac:dyDescent="0.4">
      <c r="A333" s="1" t="s">
        <v>213</v>
      </c>
      <c r="B333" s="1">
        <v>800</v>
      </c>
      <c r="C333" s="1">
        <v>0.3</v>
      </c>
      <c r="D333" s="1">
        <v>0.5</v>
      </c>
      <c r="E333" s="1">
        <v>2000</v>
      </c>
      <c r="F333" s="1">
        <v>1</v>
      </c>
      <c r="G333" s="1">
        <v>2</v>
      </c>
      <c r="H333" s="1" t="s">
        <v>583</v>
      </c>
      <c r="I333" s="1">
        <v>172500.6</v>
      </c>
      <c r="J333" s="1">
        <v>71637.7</v>
      </c>
      <c r="K333" s="1">
        <v>100862.9</v>
      </c>
      <c r="L333" s="1">
        <v>240</v>
      </c>
      <c r="M333" s="1">
        <v>600.01</v>
      </c>
      <c r="N333" s="1">
        <v>51359.9</v>
      </c>
      <c r="O333" s="1">
        <v>74507.899999999994</v>
      </c>
      <c r="P333" s="1">
        <v>125867.8</v>
      </c>
      <c r="Q333" s="1">
        <v>3557.2</v>
      </c>
      <c r="R333" s="1">
        <v>1290.4000000000001</v>
      </c>
      <c r="S333" s="1">
        <v>4847.6000000000004</v>
      </c>
      <c r="T333" s="1">
        <v>24.22</v>
      </c>
      <c r="U333" s="1">
        <v>0.05</v>
      </c>
      <c r="V333" s="1">
        <v>1282.3</v>
      </c>
      <c r="W333" s="1">
        <v>4839.5</v>
      </c>
      <c r="X333" s="1">
        <v>600.05999999999995</v>
      </c>
      <c r="Y333" s="1">
        <v>240</v>
      </c>
      <c r="Z333" s="1">
        <v>130707.3</v>
      </c>
      <c r="AA333" s="1">
        <v>24.23</v>
      </c>
      <c r="AB333" s="1">
        <v>800</v>
      </c>
    </row>
    <row r="334" spans="1:28" x14ac:dyDescent="0.4">
      <c r="A334" s="1" t="s">
        <v>214</v>
      </c>
      <c r="B334" s="1">
        <v>800</v>
      </c>
      <c r="C334" s="1">
        <v>0.3</v>
      </c>
      <c r="D334" s="1">
        <v>0.5</v>
      </c>
      <c r="E334" s="1">
        <v>2000</v>
      </c>
      <c r="F334" s="1">
        <v>1</v>
      </c>
      <c r="G334" s="1">
        <v>3</v>
      </c>
      <c r="H334" s="1" t="s">
        <v>583</v>
      </c>
      <c r="I334" s="1">
        <v>168558.4</v>
      </c>
      <c r="J334" s="1">
        <v>67244.600000000006</v>
      </c>
      <c r="K334" s="1">
        <v>101313.8</v>
      </c>
      <c r="L334" s="1">
        <v>240</v>
      </c>
      <c r="M334" s="1">
        <v>600.01</v>
      </c>
      <c r="N334" s="1">
        <v>49091.9</v>
      </c>
      <c r="O334" s="1">
        <v>74448.800000000003</v>
      </c>
      <c r="P334" s="1">
        <v>123540.7</v>
      </c>
      <c r="Q334" s="1">
        <v>3664.1</v>
      </c>
      <c r="R334" s="1">
        <v>1393.3</v>
      </c>
      <c r="S334" s="1">
        <v>5057.3999999999996</v>
      </c>
      <c r="T334" s="1">
        <v>23.71</v>
      </c>
      <c r="U334" s="1">
        <v>0.04</v>
      </c>
      <c r="V334" s="1">
        <v>1378.2</v>
      </c>
      <c r="W334" s="1">
        <v>5042.3</v>
      </c>
      <c r="X334" s="1">
        <v>600.04999999999995</v>
      </c>
      <c r="Y334" s="1">
        <v>240</v>
      </c>
      <c r="Z334" s="1">
        <v>128583</v>
      </c>
      <c r="AA334" s="1">
        <v>23.72</v>
      </c>
      <c r="AB334" s="1">
        <v>800</v>
      </c>
    </row>
    <row r="335" spans="1:28" x14ac:dyDescent="0.4">
      <c r="A335" s="1" t="s">
        <v>215</v>
      </c>
      <c r="B335" s="1">
        <v>800</v>
      </c>
      <c r="C335" s="1">
        <v>0.3</v>
      </c>
      <c r="D335" s="1">
        <v>0.5</v>
      </c>
      <c r="E335" s="1">
        <v>2000</v>
      </c>
      <c r="F335" s="1">
        <v>1</v>
      </c>
      <c r="G335" s="1">
        <v>4</v>
      </c>
      <c r="H335" s="1" t="s">
        <v>583</v>
      </c>
      <c r="I335" s="1">
        <v>176111.9</v>
      </c>
      <c r="J335" s="1">
        <v>72025.8</v>
      </c>
      <c r="K335" s="1">
        <v>104086.1</v>
      </c>
      <c r="L335" s="1">
        <v>240</v>
      </c>
      <c r="M335" s="1">
        <v>600</v>
      </c>
      <c r="N335" s="1">
        <v>52197.599999999999</v>
      </c>
      <c r="O335" s="1">
        <v>74469</v>
      </c>
      <c r="P335" s="1">
        <v>126666.6</v>
      </c>
      <c r="Q335" s="1">
        <v>3494.9</v>
      </c>
      <c r="R335" s="1">
        <v>1321.6</v>
      </c>
      <c r="S335" s="1">
        <v>4816.5</v>
      </c>
      <c r="T335" s="1">
        <v>25.34</v>
      </c>
      <c r="U335" s="1">
        <v>0.04</v>
      </c>
      <c r="V335" s="1">
        <v>1304.2</v>
      </c>
      <c r="W335" s="1">
        <v>4799.1000000000004</v>
      </c>
      <c r="X335" s="1">
        <v>600.04</v>
      </c>
      <c r="Y335" s="1">
        <v>240</v>
      </c>
      <c r="Z335" s="1">
        <v>131465.70000000001</v>
      </c>
      <c r="AA335" s="1">
        <v>25.35</v>
      </c>
      <c r="AB335" s="1">
        <v>800</v>
      </c>
    </row>
    <row r="336" spans="1:28" x14ac:dyDescent="0.4">
      <c r="A336" s="1" t="s">
        <v>216</v>
      </c>
      <c r="B336" s="1">
        <v>800</v>
      </c>
      <c r="C336" s="1">
        <v>0.3</v>
      </c>
      <c r="D336" s="1">
        <v>0.5</v>
      </c>
      <c r="E336" s="1">
        <v>2000</v>
      </c>
      <c r="F336" s="1">
        <v>1</v>
      </c>
      <c r="G336" s="1">
        <v>5</v>
      </c>
      <c r="H336" s="1" t="s">
        <v>583</v>
      </c>
      <c r="I336" s="1">
        <v>169328.4</v>
      </c>
      <c r="J336" s="1">
        <v>68708.100000000006</v>
      </c>
      <c r="K336" s="1">
        <v>100620.3</v>
      </c>
      <c r="L336" s="1">
        <v>240</v>
      </c>
      <c r="M336" s="1">
        <v>600.01</v>
      </c>
      <c r="N336" s="1">
        <v>49950.9</v>
      </c>
      <c r="O336" s="1">
        <v>73947.100000000006</v>
      </c>
      <c r="P336" s="1">
        <v>123898</v>
      </c>
      <c r="Q336" s="1">
        <v>3492.8</v>
      </c>
      <c r="R336" s="1">
        <v>1419.1</v>
      </c>
      <c r="S336" s="1">
        <v>4911.8999999999996</v>
      </c>
      <c r="T336" s="1">
        <v>23.93</v>
      </c>
      <c r="U336" s="1">
        <v>0.05</v>
      </c>
      <c r="V336" s="1">
        <v>1399.9</v>
      </c>
      <c r="W336" s="1">
        <v>4892.7</v>
      </c>
      <c r="X336" s="1">
        <v>600.04999999999995</v>
      </c>
      <c r="Y336" s="1">
        <v>240</v>
      </c>
      <c r="Z336" s="1">
        <v>128790.7</v>
      </c>
      <c r="AA336" s="1">
        <v>23.94</v>
      </c>
      <c r="AB336" s="1">
        <v>800</v>
      </c>
    </row>
    <row r="337" spans="1:28" x14ac:dyDescent="0.4">
      <c r="A337" s="1" t="s">
        <v>217</v>
      </c>
      <c r="B337" s="1">
        <v>800</v>
      </c>
      <c r="C337" s="1">
        <v>0.3</v>
      </c>
      <c r="D337" s="1">
        <v>0.5</v>
      </c>
      <c r="E337" s="1">
        <v>2000</v>
      </c>
      <c r="F337" s="1">
        <v>2</v>
      </c>
      <c r="G337" s="1">
        <v>1</v>
      </c>
      <c r="H337" s="1" t="s">
        <v>583</v>
      </c>
      <c r="I337" s="1">
        <v>248948.8</v>
      </c>
      <c r="J337" s="1">
        <v>101892.4</v>
      </c>
      <c r="K337" s="1">
        <v>147056.4</v>
      </c>
      <c r="L337" s="1">
        <v>240</v>
      </c>
      <c r="M337" s="1">
        <v>600.01</v>
      </c>
      <c r="N337" s="1">
        <v>73930.7</v>
      </c>
      <c r="O337" s="1">
        <v>105619.8</v>
      </c>
      <c r="P337" s="1">
        <v>179550.5</v>
      </c>
      <c r="Q337" s="1">
        <v>3419.8</v>
      </c>
      <c r="R337" s="1">
        <v>1288.8</v>
      </c>
      <c r="S337" s="1">
        <v>4708.6000000000004</v>
      </c>
      <c r="T337" s="1">
        <v>25.99</v>
      </c>
      <c r="U337" s="1">
        <v>0.04</v>
      </c>
      <c r="V337" s="1">
        <v>1272.3</v>
      </c>
      <c r="W337" s="1">
        <v>4692.1000000000004</v>
      </c>
      <c r="X337" s="1">
        <v>600.04999999999995</v>
      </c>
      <c r="Y337" s="1">
        <v>240</v>
      </c>
      <c r="Z337" s="1">
        <v>184242.6</v>
      </c>
      <c r="AA337" s="1">
        <v>25.99</v>
      </c>
      <c r="AB337" s="1">
        <v>800</v>
      </c>
    </row>
    <row r="338" spans="1:28" x14ac:dyDescent="0.4">
      <c r="A338" s="1" t="s">
        <v>218</v>
      </c>
      <c r="B338" s="1">
        <v>800</v>
      </c>
      <c r="C338" s="1">
        <v>0.3</v>
      </c>
      <c r="D338" s="1">
        <v>0.5</v>
      </c>
      <c r="E338" s="1">
        <v>2000</v>
      </c>
      <c r="F338" s="1">
        <v>2</v>
      </c>
      <c r="G338" s="1">
        <v>2</v>
      </c>
      <c r="H338" s="1" t="s">
        <v>583</v>
      </c>
      <c r="I338" s="1">
        <v>251798.1</v>
      </c>
      <c r="J338" s="1">
        <v>99478.3</v>
      </c>
      <c r="K338" s="1">
        <v>152319.79999999999</v>
      </c>
      <c r="L338" s="1">
        <v>240</v>
      </c>
      <c r="M338" s="1">
        <v>600.01</v>
      </c>
      <c r="N338" s="1">
        <v>73174.600000000006</v>
      </c>
      <c r="O338" s="1">
        <v>110195.2</v>
      </c>
      <c r="P338" s="1">
        <v>183369.8</v>
      </c>
      <c r="Q338" s="1">
        <v>3491.3</v>
      </c>
      <c r="R338" s="1">
        <v>1401.6</v>
      </c>
      <c r="S338" s="1">
        <v>4892.8999999999996</v>
      </c>
      <c r="T338" s="1">
        <v>25.23</v>
      </c>
      <c r="U338" s="1">
        <v>0.04</v>
      </c>
      <c r="V338" s="1">
        <v>1383.5</v>
      </c>
      <c r="W338" s="1">
        <v>4874.8</v>
      </c>
      <c r="X338" s="1">
        <v>600.04999999999995</v>
      </c>
      <c r="Y338" s="1">
        <v>240</v>
      </c>
      <c r="Z338" s="1">
        <v>188244.6</v>
      </c>
      <c r="AA338" s="1">
        <v>25.24</v>
      </c>
      <c r="AB338" s="1">
        <v>800</v>
      </c>
    </row>
    <row r="339" spans="1:28" x14ac:dyDescent="0.4">
      <c r="A339" s="1" t="s">
        <v>219</v>
      </c>
      <c r="B339" s="1">
        <v>800</v>
      </c>
      <c r="C339" s="1">
        <v>0.3</v>
      </c>
      <c r="D339" s="1">
        <v>0.5</v>
      </c>
      <c r="E339" s="1">
        <v>2000</v>
      </c>
      <c r="F339" s="1">
        <v>2</v>
      </c>
      <c r="G339" s="1">
        <v>3</v>
      </c>
      <c r="H339" s="1" t="s">
        <v>583</v>
      </c>
      <c r="I339" s="1">
        <v>256798.8</v>
      </c>
      <c r="J339" s="1">
        <v>104496.9</v>
      </c>
      <c r="K339" s="1">
        <v>152301.9</v>
      </c>
      <c r="L339" s="1">
        <v>240</v>
      </c>
      <c r="M339" s="1">
        <v>600.01</v>
      </c>
      <c r="N339" s="1">
        <v>75245.3</v>
      </c>
      <c r="O339" s="1">
        <v>108780</v>
      </c>
      <c r="P339" s="1">
        <v>184025.3</v>
      </c>
      <c r="Q339" s="1">
        <v>3429.4</v>
      </c>
      <c r="R339" s="1">
        <v>1087.5999999999999</v>
      </c>
      <c r="S339" s="1">
        <v>4517</v>
      </c>
      <c r="T339" s="1">
        <v>26.58</v>
      </c>
      <c r="U339" s="1">
        <v>0.05</v>
      </c>
      <c r="V339" s="1">
        <v>1062</v>
      </c>
      <c r="W339" s="1">
        <v>4491.3999999999996</v>
      </c>
      <c r="X339" s="1">
        <v>600.04999999999995</v>
      </c>
      <c r="Y339" s="1">
        <v>240</v>
      </c>
      <c r="Z339" s="1">
        <v>188516.7</v>
      </c>
      <c r="AA339" s="1">
        <v>26.59</v>
      </c>
      <c r="AB339" s="1">
        <v>800</v>
      </c>
    </row>
    <row r="340" spans="1:28" x14ac:dyDescent="0.4">
      <c r="A340" s="1" t="s">
        <v>220</v>
      </c>
      <c r="B340" s="1">
        <v>800</v>
      </c>
      <c r="C340" s="1">
        <v>0.3</v>
      </c>
      <c r="D340" s="1">
        <v>0.5</v>
      </c>
      <c r="E340" s="1">
        <v>2000</v>
      </c>
      <c r="F340" s="1">
        <v>2</v>
      </c>
      <c r="G340" s="1">
        <v>4</v>
      </c>
      <c r="H340" s="1" t="s">
        <v>583</v>
      </c>
      <c r="I340" s="1">
        <v>253933.9</v>
      </c>
      <c r="J340" s="1">
        <v>102202.1</v>
      </c>
      <c r="K340" s="1">
        <v>151731.79999999999</v>
      </c>
      <c r="L340" s="1">
        <v>240</v>
      </c>
      <c r="M340" s="1">
        <v>600.01</v>
      </c>
      <c r="N340" s="1">
        <v>75140.100000000006</v>
      </c>
      <c r="O340" s="1">
        <v>109748.6</v>
      </c>
      <c r="P340" s="1">
        <v>184888.7</v>
      </c>
      <c r="Q340" s="1">
        <v>3418.7</v>
      </c>
      <c r="R340" s="1">
        <v>1157.5</v>
      </c>
      <c r="S340" s="1">
        <v>4576.2</v>
      </c>
      <c r="T340" s="1">
        <v>25.39</v>
      </c>
      <c r="U340" s="1">
        <v>0.04</v>
      </c>
      <c r="V340" s="1">
        <v>1125.9000000000001</v>
      </c>
      <c r="W340" s="1">
        <v>4544.6000000000004</v>
      </c>
      <c r="X340" s="1">
        <v>600.04999999999995</v>
      </c>
      <c r="Y340" s="1">
        <v>240</v>
      </c>
      <c r="Z340" s="1">
        <v>189433.3</v>
      </c>
      <c r="AA340" s="1">
        <v>25.4</v>
      </c>
      <c r="AB340" s="1">
        <v>800</v>
      </c>
    </row>
    <row r="341" spans="1:28" x14ac:dyDescent="0.4">
      <c r="A341" s="1" t="s">
        <v>221</v>
      </c>
      <c r="B341" s="1">
        <v>800</v>
      </c>
      <c r="C341" s="1">
        <v>0.3</v>
      </c>
      <c r="D341" s="1">
        <v>0.5</v>
      </c>
      <c r="E341" s="1">
        <v>2000</v>
      </c>
      <c r="F341" s="1">
        <v>2</v>
      </c>
      <c r="G341" s="1">
        <v>5</v>
      </c>
      <c r="H341" s="1" t="s">
        <v>583</v>
      </c>
      <c r="I341" s="1">
        <v>249086.1</v>
      </c>
      <c r="J341" s="1">
        <v>101164.3</v>
      </c>
      <c r="K341" s="1">
        <v>147921.79999999999</v>
      </c>
      <c r="L341" s="1">
        <v>240</v>
      </c>
      <c r="M341" s="1">
        <v>600.01</v>
      </c>
      <c r="N341" s="1">
        <v>73509.7</v>
      </c>
      <c r="O341" s="1">
        <v>106735.7</v>
      </c>
      <c r="P341" s="1">
        <v>180245.4</v>
      </c>
      <c r="Q341" s="1">
        <v>3305.8</v>
      </c>
      <c r="R341" s="1">
        <v>1135</v>
      </c>
      <c r="S341" s="1">
        <v>4440.8</v>
      </c>
      <c r="T341" s="1">
        <v>25.85</v>
      </c>
      <c r="U341" s="1">
        <v>0.04</v>
      </c>
      <c r="V341" s="1">
        <v>1124.0999999999999</v>
      </c>
      <c r="W341" s="1">
        <v>4429.8999999999996</v>
      </c>
      <c r="X341" s="1">
        <v>600.04</v>
      </c>
      <c r="Y341" s="1">
        <v>240</v>
      </c>
      <c r="Z341" s="1">
        <v>184675.3</v>
      </c>
      <c r="AA341" s="1">
        <v>25.86</v>
      </c>
      <c r="AB341" s="1">
        <v>800</v>
      </c>
    </row>
    <row r="342" spans="1:28" x14ac:dyDescent="0.4">
      <c r="A342" s="1" t="s">
        <v>222</v>
      </c>
      <c r="B342" s="1">
        <v>800</v>
      </c>
      <c r="C342" s="1">
        <v>0.3</v>
      </c>
      <c r="D342" s="1">
        <v>0.5</v>
      </c>
      <c r="E342" s="1">
        <v>2000</v>
      </c>
      <c r="F342" s="1">
        <v>3</v>
      </c>
      <c r="G342" s="1">
        <v>1</v>
      </c>
      <c r="H342" s="1" t="s">
        <v>583</v>
      </c>
      <c r="I342" s="1">
        <v>310754.59999999998</v>
      </c>
      <c r="J342" s="1">
        <v>128361.4</v>
      </c>
      <c r="K342" s="1">
        <v>182393.2</v>
      </c>
      <c r="L342" s="1">
        <v>240</v>
      </c>
      <c r="M342" s="1">
        <v>600.02</v>
      </c>
      <c r="N342" s="1">
        <v>95177.600000000006</v>
      </c>
      <c r="O342" s="1">
        <v>132880.4</v>
      </c>
      <c r="P342" s="1">
        <v>228058</v>
      </c>
      <c r="Q342" s="1">
        <v>3512.2</v>
      </c>
      <c r="R342" s="1">
        <v>1323.1</v>
      </c>
      <c r="S342" s="1">
        <v>4835.3</v>
      </c>
      <c r="T342" s="1">
        <v>25.06</v>
      </c>
      <c r="U342" s="1">
        <v>0.04</v>
      </c>
      <c r="V342" s="1">
        <v>1298</v>
      </c>
      <c r="W342" s="1">
        <v>4810.2</v>
      </c>
      <c r="X342" s="1">
        <v>600.05999999999995</v>
      </c>
      <c r="Y342" s="1">
        <v>240</v>
      </c>
      <c r="Z342" s="1">
        <v>232868.2</v>
      </c>
      <c r="AA342" s="1">
        <v>25.06</v>
      </c>
      <c r="AB342" s="1">
        <v>800</v>
      </c>
    </row>
    <row r="343" spans="1:28" x14ac:dyDescent="0.4">
      <c r="A343" s="1" t="s">
        <v>223</v>
      </c>
      <c r="B343" s="1">
        <v>800</v>
      </c>
      <c r="C343" s="1">
        <v>0.3</v>
      </c>
      <c r="D343" s="1">
        <v>0.5</v>
      </c>
      <c r="E343" s="1">
        <v>2000</v>
      </c>
      <c r="F343" s="1">
        <v>3</v>
      </c>
      <c r="G343" s="1">
        <v>2</v>
      </c>
      <c r="H343" s="1" t="s">
        <v>583</v>
      </c>
      <c r="I343" s="1">
        <v>313880.8</v>
      </c>
      <c r="J343" s="1">
        <v>128693.3</v>
      </c>
      <c r="K343" s="1">
        <v>185187.5</v>
      </c>
      <c r="L343" s="1">
        <v>240</v>
      </c>
      <c r="M343" s="1">
        <v>600</v>
      </c>
      <c r="N343" s="1">
        <v>96925.8</v>
      </c>
      <c r="O343" s="1">
        <v>135458.29999999999</v>
      </c>
      <c r="P343" s="1">
        <v>232384.1</v>
      </c>
      <c r="Q343" s="1">
        <v>3418.1</v>
      </c>
      <c r="R343" s="1">
        <v>1461.4</v>
      </c>
      <c r="S343" s="1">
        <v>4879.5</v>
      </c>
      <c r="T343" s="1">
        <v>24.41</v>
      </c>
      <c r="U343" s="1">
        <v>0.04</v>
      </c>
      <c r="V343" s="1">
        <v>1426.8</v>
      </c>
      <c r="W343" s="1">
        <v>4844.8999999999996</v>
      </c>
      <c r="X343" s="1">
        <v>600.04</v>
      </c>
      <c r="Y343" s="1">
        <v>240</v>
      </c>
      <c r="Z343" s="1">
        <v>237229</v>
      </c>
      <c r="AA343" s="1">
        <v>24.42</v>
      </c>
      <c r="AB343" s="1">
        <v>800</v>
      </c>
    </row>
    <row r="344" spans="1:28" x14ac:dyDescent="0.4">
      <c r="A344" s="1" t="s">
        <v>224</v>
      </c>
      <c r="B344" s="1">
        <v>800</v>
      </c>
      <c r="C344" s="1">
        <v>0.3</v>
      </c>
      <c r="D344" s="1">
        <v>0.5</v>
      </c>
      <c r="E344" s="1">
        <v>2000</v>
      </c>
      <c r="F344" s="1">
        <v>3</v>
      </c>
      <c r="G344" s="1">
        <v>3</v>
      </c>
      <c r="H344" s="1" t="s">
        <v>583</v>
      </c>
      <c r="I344" s="1">
        <v>309386.8</v>
      </c>
      <c r="J344" s="1">
        <v>122023.6</v>
      </c>
      <c r="K344" s="1">
        <v>187363.20000000001</v>
      </c>
      <c r="L344" s="1">
        <v>240</v>
      </c>
      <c r="M344" s="1">
        <v>600.02</v>
      </c>
      <c r="N344" s="1">
        <v>90086.2</v>
      </c>
      <c r="O344" s="1">
        <v>136246</v>
      </c>
      <c r="P344" s="1">
        <v>226332.2</v>
      </c>
      <c r="Q344" s="1">
        <v>3510.9</v>
      </c>
      <c r="R344" s="1">
        <v>1410.7</v>
      </c>
      <c r="S344" s="1">
        <v>4921.6000000000004</v>
      </c>
      <c r="T344" s="1">
        <v>25.25</v>
      </c>
      <c r="U344" s="1">
        <v>0.03</v>
      </c>
      <c r="V344" s="1">
        <v>1388.7</v>
      </c>
      <c r="W344" s="1">
        <v>4899.6000000000004</v>
      </c>
      <c r="X344" s="1">
        <v>600.04999999999995</v>
      </c>
      <c r="Y344" s="1">
        <v>240</v>
      </c>
      <c r="Z344" s="1">
        <v>231231.8</v>
      </c>
      <c r="AA344" s="1">
        <v>25.26</v>
      </c>
      <c r="AB344" s="1">
        <v>800</v>
      </c>
    </row>
    <row r="345" spans="1:28" x14ac:dyDescent="0.4">
      <c r="A345" s="1" t="s">
        <v>225</v>
      </c>
      <c r="B345" s="1">
        <v>800</v>
      </c>
      <c r="C345" s="1">
        <v>0.3</v>
      </c>
      <c r="D345" s="1">
        <v>0.5</v>
      </c>
      <c r="E345" s="1">
        <v>2000</v>
      </c>
      <c r="F345" s="1">
        <v>3</v>
      </c>
      <c r="G345" s="1">
        <v>4</v>
      </c>
      <c r="H345" s="1" t="s">
        <v>583</v>
      </c>
      <c r="I345" s="1">
        <v>310158.2</v>
      </c>
      <c r="J345" s="1">
        <v>127750.1</v>
      </c>
      <c r="K345" s="1">
        <v>182408.1</v>
      </c>
      <c r="L345" s="1">
        <v>240</v>
      </c>
      <c r="M345" s="1">
        <v>600.01</v>
      </c>
      <c r="N345" s="1">
        <v>92994.6</v>
      </c>
      <c r="O345" s="1">
        <v>130630</v>
      </c>
      <c r="P345" s="1">
        <v>223624.6</v>
      </c>
      <c r="Q345" s="1">
        <v>3293.6</v>
      </c>
      <c r="R345" s="1">
        <v>1166.9000000000001</v>
      </c>
      <c r="S345" s="1">
        <v>4460.5</v>
      </c>
      <c r="T345" s="1">
        <v>26.46</v>
      </c>
      <c r="U345" s="1">
        <v>0.04</v>
      </c>
      <c r="V345" s="1">
        <v>1110</v>
      </c>
      <c r="W345" s="1">
        <v>4403.6000000000004</v>
      </c>
      <c r="X345" s="1">
        <v>600.04</v>
      </c>
      <c r="Y345" s="1">
        <v>240</v>
      </c>
      <c r="Z345" s="1">
        <v>228028.2</v>
      </c>
      <c r="AA345" s="1">
        <v>26.48</v>
      </c>
      <c r="AB345" s="1">
        <v>800</v>
      </c>
    </row>
    <row r="346" spans="1:28" x14ac:dyDescent="0.4">
      <c r="A346" s="1" t="s">
        <v>226</v>
      </c>
      <c r="B346" s="1">
        <v>800</v>
      </c>
      <c r="C346" s="1">
        <v>0.3</v>
      </c>
      <c r="D346" s="1">
        <v>0.5</v>
      </c>
      <c r="E346" s="1">
        <v>2000</v>
      </c>
      <c r="F346" s="1">
        <v>3</v>
      </c>
      <c r="G346" s="1">
        <v>5</v>
      </c>
      <c r="H346" s="1" t="s">
        <v>583</v>
      </c>
      <c r="I346" s="1">
        <v>314621.59999999998</v>
      </c>
      <c r="J346" s="1">
        <v>129787.3</v>
      </c>
      <c r="K346" s="1">
        <v>184834.3</v>
      </c>
      <c r="L346" s="1">
        <v>240</v>
      </c>
      <c r="M346" s="1">
        <v>600.01</v>
      </c>
      <c r="N346" s="1">
        <v>94382.2</v>
      </c>
      <c r="O346" s="1">
        <v>134745.9</v>
      </c>
      <c r="P346" s="1">
        <v>229128.1</v>
      </c>
      <c r="Q346" s="1">
        <v>3514.4</v>
      </c>
      <c r="R346" s="1">
        <v>1328.5</v>
      </c>
      <c r="S346" s="1">
        <v>4842.8999999999996</v>
      </c>
      <c r="T346" s="1">
        <v>25.63</v>
      </c>
      <c r="U346" s="1">
        <v>0.05</v>
      </c>
      <c r="V346" s="1">
        <v>1307.7</v>
      </c>
      <c r="W346" s="1">
        <v>4822.1000000000004</v>
      </c>
      <c r="X346" s="1">
        <v>600.05999999999995</v>
      </c>
      <c r="Y346" s="1">
        <v>240</v>
      </c>
      <c r="Z346" s="1">
        <v>233950.2</v>
      </c>
      <c r="AA346" s="1">
        <v>25.64</v>
      </c>
      <c r="AB346" s="1">
        <v>800</v>
      </c>
    </row>
    <row r="347" spans="1:28" x14ac:dyDescent="0.4">
      <c r="A347" s="1" t="s">
        <v>227</v>
      </c>
      <c r="B347" s="1">
        <v>800</v>
      </c>
      <c r="C347" s="1">
        <v>0.3</v>
      </c>
      <c r="D347" s="1">
        <v>0.5</v>
      </c>
      <c r="E347" s="1">
        <v>500</v>
      </c>
      <c r="F347" s="1">
        <v>1</v>
      </c>
      <c r="G347" s="1">
        <v>1</v>
      </c>
      <c r="H347" s="1" t="s">
        <v>583</v>
      </c>
      <c r="I347" s="1">
        <v>42104.1</v>
      </c>
      <c r="J347" s="1">
        <v>17539.8</v>
      </c>
      <c r="K347" s="1">
        <v>24564.3</v>
      </c>
      <c r="L347" s="1">
        <v>240</v>
      </c>
      <c r="M347" s="1">
        <v>600</v>
      </c>
      <c r="N347" s="1">
        <v>11758</v>
      </c>
      <c r="O347" s="1">
        <v>16496.400000000001</v>
      </c>
      <c r="P347" s="1">
        <v>28254.400000000001</v>
      </c>
      <c r="Q347" s="1">
        <v>3666.3</v>
      </c>
      <c r="R347" s="1">
        <v>1293.8</v>
      </c>
      <c r="S347" s="1">
        <v>4960.1000000000004</v>
      </c>
      <c r="T347" s="1">
        <v>21.11</v>
      </c>
      <c r="U347" s="1">
        <v>0.03</v>
      </c>
      <c r="V347" s="1">
        <v>1249.3</v>
      </c>
      <c r="W347" s="1">
        <v>4915.6000000000004</v>
      </c>
      <c r="X347" s="1">
        <v>600.03</v>
      </c>
      <c r="Y347" s="1">
        <v>240</v>
      </c>
      <c r="Z347" s="1">
        <v>33170</v>
      </c>
      <c r="AA347" s="1">
        <v>21.22</v>
      </c>
      <c r="AB347" s="1">
        <v>800</v>
      </c>
    </row>
    <row r="348" spans="1:28" x14ac:dyDescent="0.4">
      <c r="A348" s="1" t="s">
        <v>228</v>
      </c>
      <c r="B348" s="1">
        <v>800</v>
      </c>
      <c r="C348" s="1">
        <v>0.3</v>
      </c>
      <c r="D348" s="1">
        <v>0.5</v>
      </c>
      <c r="E348" s="1">
        <v>500</v>
      </c>
      <c r="F348" s="1">
        <v>1</v>
      </c>
      <c r="G348" s="1">
        <v>2</v>
      </c>
      <c r="H348" s="1" t="s">
        <v>583</v>
      </c>
      <c r="I348" s="1">
        <v>41779.599999999999</v>
      </c>
      <c r="J348" s="1">
        <v>17994.900000000001</v>
      </c>
      <c r="K348" s="1">
        <v>23784.7</v>
      </c>
      <c r="L348" s="1">
        <v>240</v>
      </c>
      <c r="M348" s="1">
        <v>600</v>
      </c>
      <c r="N348" s="1">
        <v>12332.1</v>
      </c>
      <c r="O348" s="1">
        <v>16317.2</v>
      </c>
      <c r="P348" s="1">
        <v>28649.3</v>
      </c>
      <c r="Q348" s="1">
        <v>3533.6</v>
      </c>
      <c r="R348" s="1">
        <v>1212.5999999999999</v>
      </c>
      <c r="S348" s="1">
        <v>4746.2</v>
      </c>
      <c r="T348" s="1">
        <v>20.07</v>
      </c>
      <c r="U348" s="1">
        <v>0.03</v>
      </c>
      <c r="V348" s="1">
        <v>1181.5</v>
      </c>
      <c r="W348" s="1">
        <v>4715.1000000000004</v>
      </c>
      <c r="X348" s="1">
        <v>600.03</v>
      </c>
      <c r="Y348" s="1">
        <v>240</v>
      </c>
      <c r="Z348" s="1">
        <v>33364.400000000001</v>
      </c>
      <c r="AA348" s="1">
        <v>20.14</v>
      </c>
      <c r="AB348" s="1">
        <v>800</v>
      </c>
    </row>
    <row r="349" spans="1:28" x14ac:dyDescent="0.4">
      <c r="A349" s="1" t="s">
        <v>229</v>
      </c>
      <c r="B349" s="1">
        <v>800</v>
      </c>
      <c r="C349" s="1">
        <v>0.3</v>
      </c>
      <c r="D349" s="1">
        <v>0.5</v>
      </c>
      <c r="E349" s="1">
        <v>500</v>
      </c>
      <c r="F349" s="1">
        <v>1</v>
      </c>
      <c r="G349" s="1">
        <v>3</v>
      </c>
      <c r="H349" s="1" t="s">
        <v>583</v>
      </c>
      <c r="I349" s="1">
        <v>40950.1</v>
      </c>
      <c r="J349" s="1">
        <v>17179.099999999999</v>
      </c>
      <c r="K349" s="1">
        <v>23771</v>
      </c>
      <c r="L349" s="1">
        <v>240</v>
      </c>
      <c r="M349" s="1">
        <v>600</v>
      </c>
      <c r="N349" s="1">
        <v>11289.2</v>
      </c>
      <c r="O349" s="1">
        <v>16222.4</v>
      </c>
      <c r="P349" s="1">
        <v>27511.599999999999</v>
      </c>
      <c r="Q349" s="1">
        <v>3640.5</v>
      </c>
      <c r="R349" s="1">
        <v>1213.2</v>
      </c>
      <c r="S349" s="1">
        <v>4853.7</v>
      </c>
      <c r="T349" s="1">
        <v>20.96</v>
      </c>
      <c r="U349" s="1">
        <v>0.03</v>
      </c>
      <c r="V349" s="1">
        <v>1188.5999999999999</v>
      </c>
      <c r="W349" s="1">
        <v>4829.1000000000004</v>
      </c>
      <c r="X349" s="1">
        <v>600.03</v>
      </c>
      <c r="Y349" s="1">
        <v>240</v>
      </c>
      <c r="Z349" s="1">
        <v>32340.7</v>
      </c>
      <c r="AA349" s="1">
        <v>21.02</v>
      </c>
      <c r="AB349" s="1">
        <v>800</v>
      </c>
    </row>
    <row r="350" spans="1:28" x14ac:dyDescent="0.4">
      <c r="A350" s="1" t="s">
        <v>230</v>
      </c>
      <c r="B350" s="1">
        <v>800</v>
      </c>
      <c r="C350" s="1">
        <v>0.3</v>
      </c>
      <c r="D350" s="1">
        <v>0.5</v>
      </c>
      <c r="E350" s="1">
        <v>500</v>
      </c>
      <c r="F350" s="1">
        <v>1</v>
      </c>
      <c r="G350" s="1">
        <v>4</v>
      </c>
      <c r="H350" s="1" t="s">
        <v>583</v>
      </c>
      <c r="I350" s="1">
        <v>41546.400000000001</v>
      </c>
      <c r="J350" s="1">
        <v>16396.099999999999</v>
      </c>
      <c r="K350" s="1">
        <v>25150.3</v>
      </c>
      <c r="L350" s="1">
        <v>240</v>
      </c>
      <c r="M350" s="1">
        <v>600</v>
      </c>
      <c r="N350" s="1">
        <v>10991.7</v>
      </c>
      <c r="O350" s="1">
        <v>16977</v>
      </c>
      <c r="P350" s="1">
        <v>27968.7</v>
      </c>
      <c r="Q350" s="1">
        <v>3427.9</v>
      </c>
      <c r="R350" s="1">
        <v>1118.0999999999999</v>
      </c>
      <c r="S350" s="1">
        <v>4546</v>
      </c>
      <c r="T350" s="1">
        <v>21.74</v>
      </c>
      <c r="U350" s="1">
        <v>0.03</v>
      </c>
      <c r="V350" s="1">
        <v>1112.7</v>
      </c>
      <c r="W350" s="1">
        <v>4540.6000000000004</v>
      </c>
      <c r="X350" s="1">
        <v>600.03</v>
      </c>
      <c r="Y350" s="1">
        <v>240</v>
      </c>
      <c r="Z350" s="1">
        <v>32509.3</v>
      </c>
      <c r="AA350" s="1">
        <v>21.75</v>
      </c>
      <c r="AB350" s="1">
        <v>800</v>
      </c>
    </row>
    <row r="351" spans="1:28" x14ac:dyDescent="0.4">
      <c r="A351" s="1" t="s">
        <v>231</v>
      </c>
      <c r="B351" s="1">
        <v>800</v>
      </c>
      <c r="C351" s="1">
        <v>0.3</v>
      </c>
      <c r="D351" s="1">
        <v>0.5</v>
      </c>
      <c r="E351" s="1">
        <v>500</v>
      </c>
      <c r="F351" s="1">
        <v>1</v>
      </c>
      <c r="G351" s="1">
        <v>5</v>
      </c>
      <c r="H351" s="1" t="s">
        <v>583</v>
      </c>
      <c r="I351" s="1">
        <v>42722</v>
      </c>
      <c r="J351" s="1">
        <v>18044.599999999999</v>
      </c>
      <c r="K351" s="1">
        <v>24677.4</v>
      </c>
      <c r="L351" s="1">
        <v>240</v>
      </c>
      <c r="M351" s="1">
        <v>600</v>
      </c>
      <c r="N351" s="1">
        <v>12287.2</v>
      </c>
      <c r="O351" s="1">
        <v>16697.400000000001</v>
      </c>
      <c r="P351" s="1">
        <v>28984.6</v>
      </c>
      <c r="Q351" s="1">
        <v>3469.7</v>
      </c>
      <c r="R351" s="1">
        <v>1078.9000000000001</v>
      </c>
      <c r="S351" s="1">
        <v>4548.6000000000004</v>
      </c>
      <c r="T351" s="1">
        <v>21.51</v>
      </c>
      <c r="U351" s="1">
        <v>0.03</v>
      </c>
      <c r="V351" s="1">
        <v>1074.7</v>
      </c>
      <c r="W351" s="1">
        <v>4544.3999999999996</v>
      </c>
      <c r="X351" s="1">
        <v>600.03</v>
      </c>
      <c r="Y351" s="1">
        <v>240</v>
      </c>
      <c r="Z351" s="1">
        <v>33529</v>
      </c>
      <c r="AA351" s="1">
        <v>21.52</v>
      </c>
      <c r="AB351" s="1">
        <v>800</v>
      </c>
    </row>
    <row r="352" spans="1:28" x14ac:dyDescent="0.4">
      <c r="A352" s="1" t="s">
        <v>232</v>
      </c>
      <c r="B352" s="1">
        <v>800</v>
      </c>
      <c r="C352" s="1">
        <v>0.3</v>
      </c>
      <c r="D352" s="1">
        <v>0.5</v>
      </c>
      <c r="E352" s="1">
        <v>500</v>
      </c>
      <c r="F352" s="1">
        <v>2</v>
      </c>
      <c r="G352" s="1">
        <v>1</v>
      </c>
      <c r="H352" s="1" t="s">
        <v>583</v>
      </c>
      <c r="I352" s="1">
        <v>60998.8</v>
      </c>
      <c r="J352" s="1">
        <v>24909.4</v>
      </c>
      <c r="K352" s="1">
        <v>36089.4</v>
      </c>
      <c r="L352" s="1">
        <v>240</v>
      </c>
      <c r="M352" s="1">
        <v>600</v>
      </c>
      <c r="N352" s="1">
        <v>17049.8</v>
      </c>
      <c r="O352" s="1">
        <v>25027.200000000001</v>
      </c>
      <c r="P352" s="1">
        <v>42077</v>
      </c>
      <c r="Q352" s="1">
        <v>3548.2</v>
      </c>
      <c r="R352" s="1">
        <v>1225.0999999999999</v>
      </c>
      <c r="S352" s="1">
        <v>4773.3</v>
      </c>
      <c r="T352" s="1">
        <v>23.19</v>
      </c>
      <c r="U352" s="1">
        <v>0.04</v>
      </c>
      <c r="V352" s="1">
        <v>1208.5999999999999</v>
      </c>
      <c r="W352" s="1">
        <v>4756.8</v>
      </c>
      <c r="X352" s="1">
        <v>600.04</v>
      </c>
      <c r="Y352" s="1">
        <v>240</v>
      </c>
      <c r="Z352" s="1">
        <v>46833.8</v>
      </c>
      <c r="AA352" s="1">
        <v>23.22</v>
      </c>
      <c r="AB352" s="1">
        <v>800</v>
      </c>
    </row>
    <row r="353" spans="1:28" x14ac:dyDescent="0.4">
      <c r="A353" s="1" t="s">
        <v>233</v>
      </c>
      <c r="B353" s="1">
        <v>800</v>
      </c>
      <c r="C353" s="1">
        <v>0.3</v>
      </c>
      <c r="D353" s="1">
        <v>0.5</v>
      </c>
      <c r="E353" s="1">
        <v>500</v>
      </c>
      <c r="F353" s="1">
        <v>2</v>
      </c>
      <c r="G353" s="1">
        <v>2</v>
      </c>
      <c r="H353" s="1" t="s">
        <v>583</v>
      </c>
      <c r="I353" s="1">
        <v>64804.6</v>
      </c>
      <c r="J353" s="1">
        <v>25518.2</v>
      </c>
      <c r="K353" s="1">
        <v>39286.400000000001</v>
      </c>
      <c r="L353" s="1">
        <v>240</v>
      </c>
      <c r="M353" s="1">
        <v>600</v>
      </c>
      <c r="N353" s="1">
        <v>17428.599999999999</v>
      </c>
      <c r="O353" s="1">
        <v>26570.400000000001</v>
      </c>
      <c r="P353" s="1">
        <v>43999</v>
      </c>
      <c r="Q353" s="1">
        <v>3502</v>
      </c>
      <c r="R353" s="1">
        <v>1113.5</v>
      </c>
      <c r="S353" s="1">
        <v>4615.5</v>
      </c>
      <c r="T353" s="1">
        <v>24.98</v>
      </c>
      <c r="U353" s="1">
        <v>0.04</v>
      </c>
      <c r="V353" s="1">
        <v>1079</v>
      </c>
      <c r="W353" s="1">
        <v>4581</v>
      </c>
      <c r="X353" s="1">
        <v>600.04</v>
      </c>
      <c r="Y353" s="1">
        <v>240</v>
      </c>
      <c r="Z353" s="1">
        <v>48580</v>
      </c>
      <c r="AA353" s="1">
        <v>25.04</v>
      </c>
      <c r="AB353" s="1">
        <v>800</v>
      </c>
    </row>
    <row r="354" spans="1:28" x14ac:dyDescent="0.4">
      <c r="A354" s="1" t="s">
        <v>234</v>
      </c>
      <c r="B354" s="1">
        <v>800</v>
      </c>
      <c r="C354" s="1">
        <v>0.3</v>
      </c>
      <c r="D354" s="1">
        <v>0.5</v>
      </c>
      <c r="E354" s="1">
        <v>500</v>
      </c>
      <c r="F354" s="1">
        <v>2</v>
      </c>
      <c r="G354" s="1">
        <v>3</v>
      </c>
      <c r="H354" s="1" t="s">
        <v>583</v>
      </c>
      <c r="I354" s="1">
        <v>63051.4</v>
      </c>
      <c r="J354" s="1">
        <v>26785.9</v>
      </c>
      <c r="K354" s="1">
        <v>36265.5</v>
      </c>
      <c r="L354" s="1">
        <v>240</v>
      </c>
      <c r="M354" s="1">
        <v>600</v>
      </c>
      <c r="N354" s="1">
        <v>18376.8</v>
      </c>
      <c r="O354" s="1">
        <v>24990.6</v>
      </c>
      <c r="P354" s="1">
        <v>43367.4</v>
      </c>
      <c r="Q354" s="1">
        <v>3391.2</v>
      </c>
      <c r="R354" s="1">
        <v>1147</v>
      </c>
      <c r="S354" s="1">
        <v>4538.2</v>
      </c>
      <c r="T354" s="1">
        <v>24.02</v>
      </c>
      <c r="U354" s="1">
        <v>0.04</v>
      </c>
      <c r="V354" s="1">
        <v>1105.3</v>
      </c>
      <c r="W354" s="1">
        <v>4496.5</v>
      </c>
      <c r="X354" s="1">
        <v>600.04</v>
      </c>
      <c r="Y354" s="1">
        <v>240</v>
      </c>
      <c r="Z354" s="1">
        <v>47863.9</v>
      </c>
      <c r="AA354" s="1">
        <v>24.09</v>
      </c>
      <c r="AB354" s="1">
        <v>800</v>
      </c>
    </row>
    <row r="355" spans="1:28" x14ac:dyDescent="0.4">
      <c r="A355" s="1" t="s">
        <v>235</v>
      </c>
      <c r="B355" s="1">
        <v>800</v>
      </c>
      <c r="C355" s="1">
        <v>0.3</v>
      </c>
      <c r="D355" s="1">
        <v>0.5</v>
      </c>
      <c r="E355" s="1">
        <v>500</v>
      </c>
      <c r="F355" s="1">
        <v>2</v>
      </c>
      <c r="G355" s="1">
        <v>4</v>
      </c>
      <c r="H355" s="1" t="s">
        <v>583</v>
      </c>
      <c r="I355" s="1">
        <v>62455.6</v>
      </c>
      <c r="J355" s="1">
        <v>24925.4</v>
      </c>
      <c r="K355" s="1">
        <v>37530.199999999997</v>
      </c>
      <c r="L355" s="1">
        <v>240</v>
      </c>
      <c r="M355" s="1">
        <v>600</v>
      </c>
      <c r="N355" s="1">
        <v>17037.3</v>
      </c>
      <c r="O355" s="1">
        <v>25964.400000000001</v>
      </c>
      <c r="P355" s="1">
        <v>43001.7</v>
      </c>
      <c r="Q355" s="1">
        <v>3458.1</v>
      </c>
      <c r="R355" s="1">
        <v>1267.5999999999999</v>
      </c>
      <c r="S355" s="1">
        <v>4725.7</v>
      </c>
      <c r="T355" s="1">
        <v>23.58</v>
      </c>
      <c r="U355" s="1">
        <v>0.02</v>
      </c>
      <c r="V355" s="1">
        <v>1254</v>
      </c>
      <c r="W355" s="1">
        <v>4712.1000000000004</v>
      </c>
      <c r="X355" s="1">
        <v>600.02</v>
      </c>
      <c r="Y355" s="1">
        <v>240</v>
      </c>
      <c r="Z355" s="1">
        <v>47713.8</v>
      </c>
      <c r="AA355" s="1">
        <v>23.6</v>
      </c>
      <c r="AB355" s="1">
        <v>800</v>
      </c>
    </row>
    <row r="356" spans="1:28" x14ac:dyDescent="0.4">
      <c r="A356" s="1" t="s">
        <v>236</v>
      </c>
      <c r="B356" s="1">
        <v>800</v>
      </c>
      <c r="C356" s="1">
        <v>0.3</v>
      </c>
      <c r="D356" s="1">
        <v>0.5</v>
      </c>
      <c r="E356" s="1">
        <v>500</v>
      </c>
      <c r="F356" s="1">
        <v>2</v>
      </c>
      <c r="G356" s="1">
        <v>5</v>
      </c>
      <c r="H356" s="1" t="s">
        <v>583</v>
      </c>
      <c r="I356" s="1">
        <v>63319.6</v>
      </c>
      <c r="J356" s="1">
        <v>28112.7</v>
      </c>
      <c r="K356" s="1">
        <v>35206.9</v>
      </c>
      <c r="L356" s="1">
        <v>240</v>
      </c>
      <c r="M356" s="1">
        <v>600</v>
      </c>
      <c r="N356" s="1">
        <v>18918.5</v>
      </c>
      <c r="O356" s="1">
        <v>24027.599999999999</v>
      </c>
      <c r="P356" s="1">
        <v>42946.1</v>
      </c>
      <c r="Q356" s="1">
        <v>3414.3</v>
      </c>
      <c r="R356" s="1">
        <v>1238.0999999999999</v>
      </c>
      <c r="S356" s="1">
        <v>4652.3999999999996</v>
      </c>
      <c r="T356" s="1">
        <v>24.83</v>
      </c>
      <c r="U356" s="1">
        <v>0.04</v>
      </c>
      <c r="V356" s="1">
        <v>1206.8</v>
      </c>
      <c r="W356" s="1">
        <v>4621.1000000000004</v>
      </c>
      <c r="X356" s="1">
        <v>600.04</v>
      </c>
      <c r="Y356" s="1">
        <v>240</v>
      </c>
      <c r="Z356" s="1">
        <v>47567.199999999997</v>
      </c>
      <c r="AA356" s="1">
        <v>24.88</v>
      </c>
      <c r="AB356" s="1">
        <v>800</v>
      </c>
    </row>
    <row r="357" spans="1:28" x14ac:dyDescent="0.4">
      <c r="A357" s="1" t="s">
        <v>237</v>
      </c>
      <c r="B357" s="1">
        <v>800</v>
      </c>
      <c r="C357" s="1">
        <v>0.3</v>
      </c>
      <c r="D357" s="1">
        <v>0.5</v>
      </c>
      <c r="E357" s="1">
        <v>500</v>
      </c>
      <c r="F357" s="1">
        <v>3</v>
      </c>
      <c r="G357" s="1">
        <v>1</v>
      </c>
      <c r="H357" s="1" t="s">
        <v>583</v>
      </c>
      <c r="I357" s="1">
        <v>76825.100000000006</v>
      </c>
      <c r="J357" s="1">
        <v>32308.5</v>
      </c>
      <c r="K357" s="1">
        <v>44516.6</v>
      </c>
      <c r="L357" s="1">
        <v>240</v>
      </c>
      <c r="M357" s="1">
        <v>600</v>
      </c>
      <c r="N357" s="1">
        <v>22377.4</v>
      </c>
      <c r="O357" s="1">
        <v>31106.9</v>
      </c>
      <c r="P357" s="1">
        <v>53484.3</v>
      </c>
      <c r="Q357" s="1">
        <v>3429.4</v>
      </c>
      <c r="R357" s="1">
        <v>1095.5</v>
      </c>
      <c r="S357" s="1">
        <v>4524.8999999999996</v>
      </c>
      <c r="T357" s="1">
        <v>24.49</v>
      </c>
      <c r="U357" s="1">
        <v>0.03</v>
      </c>
      <c r="V357" s="1">
        <v>1048.0999999999999</v>
      </c>
      <c r="W357" s="1">
        <v>4477.5</v>
      </c>
      <c r="X357" s="1">
        <v>600.04</v>
      </c>
      <c r="Y357" s="1">
        <v>240</v>
      </c>
      <c r="Z357" s="1">
        <v>57961.8</v>
      </c>
      <c r="AA357" s="1">
        <v>24.55</v>
      </c>
      <c r="AB357" s="1">
        <v>800</v>
      </c>
    </row>
    <row r="358" spans="1:28" x14ac:dyDescent="0.4">
      <c r="A358" s="1" t="s">
        <v>238</v>
      </c>
      <c r="B358" s="1">
        <v>800</v>
      </c>
      <c r="C358" s="1">
        <v>0.3</v>
      </c>
      <c r="D358" s="1">
        <v>0.5</v>
      </c>
      <c r="E358" s="1">
        <v>500</v>
      </c>
      <c r="F358" s="1">
        <v>3</v>
      </c>
      <c r="G358" s="1">
        <v>2</v>
      </c>
      <c r="H358" s="1" t="s">
        <v>583</v>
      </c>
      <c r="I358" s="1">
        <v>79939</v>
      </c>
      <c r="J358" s="1">
        <v>31659.1</v>
      </c>
      <c r="K358" s="1">
        <v>48279.9</v>
      </c>
      <c r="L358" s="1">
        <v>240</v>
      </c>
      <c r="M358" s="1">
        <v>600</v>
      </c>
      <c r="N358" s="1">
        <v>22021.200000000001</v>
      </c>
      <c r="O358" s="1">
        <v>33413.9</v>
      </c>
      <c r="P358" s="1">
        <v>55435.1</v>
      </c>
      <c r="Q358" s="1">
        <v>3406.5</v>
      </c>
      <c r="R358" s="1">
        <v>1264.5</v>
      </c>
      <c r="S358" s="1">
        <v>4671</v>
      </c>
      <c r="T358" s="1">
        <v>24.81</v>
      </c>
      <c r="U358" s="1">
        <v>0.05</v>
      </c>
      <c r="V358" s="1">
        <v>1229</v>
      </c>
      <c r="W358" s="1">
        <v>4635.5</v>
      </c>
      <c r="X358" s="1">
        <v>600.04999999999995</v>
      </c>
      <c r="Y358" s="1">
        <v>240</v>
      </c>
      <c r="Z358" s="1">
        <v>60070.6</v>
      </c>
      <c r="AA358" s="1">
        <v>24.85</v>
      </c>
      <c r="AB358" s="1">
        <v>800</v>
      </c>
    </row>
    <row r="359" spans="1:28" x14ac:dyDescent="0.4">
      <c r="A359" s="1" t="s">
        <v>239</v>
      </c>
      <c r="B359" s="1">
        <v>800</v>
      </c>
      <c r="C359" s="1">
        <v>0.3</v>
      </c>
      <c r="D359" s="1">
        <v>0.5</v>
      </c>
      <c r="E359" s="1">
        <v>500</v>
      </c>
      <c r="F359" s="1">
        <v>3</v>
      </c>
      <c r="G359" s="1">
        <v>3</v>
      </c>
      <c r="H359" s="1" t="s">
        <v>583</v>
      </c>
      <c r="I359" s="1">
        <v>79677.899999999994</v>
      </c>
      <c r="J359" s="1">
        <v>32024.3</v>
      </c>
      <c r="K359" s="1">
        <v>47653.599999999999</v>
      </c>
      <c r="L359" s="1">
        <v>240</v>
      </c>
      <c r="M359" s="1">
        <v>600</v>
      </c>
      <c r="N359" s="1">
        <v>21709.8</v>
      </c>
      <c r="O359" s="1">
        <v>32413.7</v>
      </c>
      <c r="P359" s="1">
        <v>54123.5</v>
      </c>
      <c r="Q359" s="1">
        <v>3508.2</v>
      </c>
      <c r="R359" s="1">
        <v>1174.7</v>
      </c>
      <c r="S359" s="1">
        <v>4682.8999999999996</v>
      </c>
      <c r="T359" s="1">
        <v>26.19</v>
      </c>
      <c r="U359" s="1">
        <v>0.05</v>
      </c>
      <c r="V359" s="1">
        <v>1162.2</v>
      </c>
      <c r="W359" s="1">
        <v>4670.3999999999996</v>
      </c>
      <c r="X359" s="1">
        <v>600.04999999999995</v>
      </c>
      <c r="Y359" s="1">
        <v>240</v>
      </c>
      <c r="Z359" s="1">
        <v>58793.9</v>
      </c>
      <c r="AA359" s="1">
        <v>26.21</v>
      </c>
      <c r="AB359" s="1">
        <v>800</v>
      </c>
    </row>
    <row r="360" spans="1:28" x14ac:dyDescent="0.4">
      <c r="A360" s="1" t="s">
        <v>240</v>
      </c>
      <c r="B360" s="1">
        <v>800</v>
      </c>
      <c r="C360" s="1">
        <v>0.3</v>
      </c>
      <c r="D360" s="1">
        <v>0.5</v>
      </c>
      <c r="E360" s="1">
        <v>500</v>
      </c>
      <c r="F360" s="1">
        <v>3</v>
      </c>
      <c r="G360" s="1">
        <v>4</v>
      </c>
      <c r="H360" s="1" t="s">
        <v>583</v>
      </c>
      <c r="I360" s="1">
        <v>78989.600000000006</v>
      </c>
      <c r="J360" s="1">
        <v>31902.7</v>
      </c>
      <c r="K360" s="1">
        <v>47086.9</v>
      </c>
      <c r="L360" s="1">
        <v>240</v>
      </c>
      <c r="M360" s="1">
        <v>600.01</v>
      </c>
      <c r="N360" s="1">
        <v>22089.5</v>
      </c>
      <c r="O360" s="1">
        <v>32499.9</v>
      </c>
      <c r="P360" s="1">
        <v>54589.4</v>
      </c>
      <c r="Q360" s="1">
        <v>3436.1</v>
      </c>
      <c r="R360" s="1">
        <v>1327.1</v>
      </c>
      <c r="S360" s="1">
        <v>4763.2</v>
      </c>
      <c r="T360" s="1">
        <v>24.86</v>
      </c>
      <c r="U360" s="1">
        <v>0.03</v>
      </c>
      <c r="V360" s="1">
        <v>1299.5999999999999</v>
      </c>
      <c r="W360" s="1">
        <v>4735.7</v>
      </c>
      <c r="X360" s="1">
        <v>600.04</v>
      </c>
      <c r="Y360" s="1">
        <v>240</v>
      </c>
      <c r="Z360" s="1">
        <v>59325.1</v>
      </c>
      <c r="AA360" s="1">
        <v>24.9</v>
      </c>
      <c r="AB360" s="1">
        <v>800</v>
      </c>
    </row>
    <row r="361" spans="1:28" x14ac:dyDescent="0.4">
      <c r="A361" s="1" t="s">
        <v>241</v>
      </c>
      <c r="B361" s="1">
        <v>800</v>
      </c>
      <c r="C361" s="1">
        <v>0.3</v>
      </c>
      <c r="D361" s="1">
        <v>0.5</v>
      </c>
      <c r="E361" s="1">
        <v>500</v>
      </c>
      <c r="F361" s="1">
        <v>3</v>
      </c>
      <c r="G361" s="1">
        <v>5</v>
      </c>
      <c r="H361" s="1" t="s">
        <v>583</v>
      </c>
      <c r="I361" s="1">
        <v>80569.2</v>
      </c>
      <c r="J361" s="1">
        <v>33784.800000000003</v>
      </c>
      <c r="K361" s="1">
        <v>46784.4</v>
      </c>
      <c r="L361" s="1">
        <v>240</v>
      </c>
      <c r="M361" s="1">
        <v>600.01</v>
      </c>
      <c r="N361" s="1">
        <v>23688</v>
      </c>
      <c r="O361" s="1">
        <v>32786</v>
      </c>
      <c r="P361" s="1">
        <v>56474</v>
      </c>
      <c r="Q361" s="1">
        <v>3456.4</v>
      </c>
      <c r="R361" s="1">
        <v>1309.5</v>
      </c>
      <c r="S361" s="1">
        <v>4765.8999999999996</v>
      </c>
      <c r="T361" s="1">
        <v>23.99</v>
      </c>
      <c r="U361" s="1">
        <v>0.05</v>
      </c>
      <c r="V361" s="1">
        <v>1290.3</v>
      </c>
      <c r="W361" s="1">
        <v>4746.7</v>
      </c>
      <c r="X361" s="1">
        <v>600.05999999999995</v>
      </c>
      <c r="Y361" s="1">
        <v>240</v>
      </c>
      <c r="Z361" s="1">
        <v>61220.7</v>
      </c>
      <c r="AA361" s="1">
        <v>24.01</v>
      </c>
      <c r="AB361" s="1">
        <v>800</v>
      </c>
    </row>
    <row r="362" spans="1:28" x14ac:dyDescent="0.4">
      <c r="A362" s="1" t="s">
        <v>242</v>
      </c>
      <c r="B362" s="1">
        <v>800</v>
      </c>
      <c r="C362" s="1">
        <v>0.4</v>
      </c>
      <c r="D362" s="1">
        <v>0.5</v>
      </c>
      <c r="E362" s="1">
        <v>1000</v>
      </c>
      <c r="F362" s="1">
        <v>1</v>
      </c>
      <c r="G362" s="1">
        <v>1</v>
      </c>
      <c r="H362" s="1" t="s">
        <v>583</v>
      </c>
      <c r="I362" s="1">
        <v>86875.5</v>
      </c>
      <c r="J362" s="1">
        <v>35462.5</v>
      </c>
      <c r="K362" s="1">
        <v>51413</v>
      </c>
      <c r="L362" s="1">
        <v>240</v>
      </c>
      <c r="M362" s="1">
        <v>600</v>
      </c>
      <c r="N362" s="1">
        <v>24030.9</v>
      </c>
      <c r="O362" s="1">
        <v>35662.400000000001</v>
      </c>
      <c r="P362" s="1">
        <v>59693.3</v>
      </c>
      <c r="Q362" s="1">
        <v>3436</v>
      </c>
      <c r="R362" s="1">
        <v>1556.7</v>
      </c>
      <c r="S362" s="1">
        <v>4992.7</v>
      </c>
      <c r="T362" s="1">
        <v>25.54</v>
      </c>
      <c r="U362" s="1">
        <v>0.04</v>
      </c>
      <c r="V362" s="1">
        <v>1552.5</v>
      </c>
      <c r="W362" s="1">
        <v>4988.5</v>
      </c>
      <c r="X362" s="1">
        <v>600.04</v>
      </c>
      <c r="Y362" s="1">
        <v>240</v>
      </c>
      <c r="Z362" s="1">
        <v>64681.8</v>
      </c>
      <c r="AA362" s="1">
        <v>25.55</v>
      </c>
      <c r="AB362" s="1">
        <v>800</v>
      </c>
    </row>
    <row r="363" spans="1:28" x14ac:dyDescent="0.4">
      <c r="A363" s="1" t="s">
        <v>243</v>
      </c>
      <c r="B363" s="1">
        <v>800</v>
      </c>
      <c r="C363" s="1">
        <v>0.4</v>
      </c>
      <c r="D363" s="1">
        <v>0.5</v>
      </c>
      <c r="E363" s="1">
        <v>1000</v>
      </c>
      <c r="F363" s="1">
        <v>1</v>
      </c>
      <c r="G363" s="1">
        <v>2</v>
      </c>
      <c r="H363" s="1" t="s">
        <v>583</v>
      </c>
      <c r="I363" s="1">
        <v>87343.7</v>
      </c>
      <c r="J363" s="1">
        <v>35450.300000000003</v>
      </c>
      <c r="K363" s="1">
        <v>51893.4</v>
      </c>
      <c r="L363" s="1">
        <v>240</v>
      </c>
      <c r="M363" s="1">
        <v>600</v>
      </c>
      <c r="N363" s="1">
        <v>22932.5</v>
      </c>
      <c r="O363" s="1">
        <v>34730.300000000003</v>
      </c>
      <c r="P363" s="1">
        <v>57662.8</v>
      </c>
      <c r="Q363" s="1">
        <v>3500.2</v>
      </c>
      <c r="R363" s="1">
        <v>1474.5</v>
      </c>
      <c r="S363" s="1">
        <v>4974.7</v>
      </c>
      <c r="T363" s="1">
        <v>28.29</v>
      </c>
      <c r="U363" s="1">
        <v>0.04</v>
      </c>
      <c r="V363" s="1">
        <v>1455.8</v>
      </c>
      <c r="W363" s="1">
        <v>4956</v>
      </c>
      <c r="X363" s="1">
        <v>600.04</v>
      </c>
      <c r="Y363" s="1">
        <v>240</v>
      </c>
      <c r="Z363" s="1">
        <v>62618.8</v>
      </c>
      <c r="AA363" s="1">
        <v>28.31</v>
      </c>
      <c r="AB363" s="1">
        <v>800</v>
      </c>
    </row>
    <row r="364" spans="1:28" x14ac:dyDescent="0.4">
      <c r="A364" s="1" t="s">
        <v>244</v>
      </c>
      <c r="B364" s="1">
        <v>800</v>
      </c>
      <c r="C364" s="1">
        <v>0.4</v>
      </c>
      <c r="D364" s="1">
        <v>0.5</v>
      </c>
      <c r="E364" s="1">
        <v>1000</v>
      </c>
      <c r="F364" s="1">
        <v>1</v>
      </c>
      <c r="G364" s="1">
        <v>3</v>
      </c>
      <c r="H364" s="1" t="s">
        <v>583</v>
      </c>
      <c r="I364" s="1">
        <v>86584.4</v>
      </c>
      <c r="J364" s="1">
        <v>35892.6</v>
      </c>
      <c r="K364" s="1">
        <v>50691.8</v>
      </c>
      <c r="L364" s="1">
        <v>240</v>
      </c>
      <c r="M364" s="1">
        <v>600.01</v>
      </c>
      <c r="N364" s="1">
        <v>23401.5</v>
      </c>
      <c r="O364" s="1">
        <v>34123.199999999997</v>
      </c>
      <c r="P364" s="1">
        <v>57524.7</v>
      </c>
      <c r="Q364" s="1">
        <v>3511.2</v>
      </c>
      <c r="R364" s="1">
        <v>1502.9</v>
      </c>
      <c r="S364" s="1">
        <v>5014.1000000000004</v>
      </c>
      <c r="T364" s="1">
        <v>27.77</v>
      </c>
      <c r="U364" s="1">
        <v>0.05</v>
      </c>
      <c r="V364" s="1">
        <v>1491.8</v>
      </c>
      <c r="W364" s="1">
        <v>5003</v>
      </c>
      <c r="X364" s="1">
        <v>600.05999999999995</v>
      </c>
      <c r="Y364" s="1">
        <v>240</v>
      </c>
      <c r="Z364" s="1">
        <v>62527.7</v>
      </c>
      <c r="AA364" s="1">
        <v>27.78</v>
      </c>
      <c r="AB364" s="1">
        <v>800</v>
      </c>
    </row>
    <row r="365" spans="1:28" x14ac:dyDescent="0.4">
      <c r="A365" s="1" t="s">
        <v>245</v>
      </c>
      <c r="B365" s="1">
        <v>800</v>
      </c>
      <c r="C365" s="1">
        <v>0.4</v>
      </c>
      <c r="D365" s="1">
        <v>0.5</v>
      </c>
      <c r="E365" s="1">
        <v>1000</v>
      </c>
      <c r="F365" s="1">
        <v>1</v>
      </c>
      <c r="G365" s="1">
        <v>4</v>
      </c>
      <c r="H365" s="1" t="s">
        <v>583</v>
      </c>
      <c r="I365" s="1">
        <v>84463.6</v>
      </c>
      <c r="J365" s="1">
        <v>34051.300000000003</v>
      </c>
      <c r="K365" s="1">
        <v>50412.3</v>
      </c>
      <c r="L365" s="1">
        <v>240</v>
      </c>
      <c r="M365" s="1">
        <v>600</v>
      </c>
      <c r="N365" s="1">
        <v>22618.1</v>
      </c>
      <c r="O365" s="1">
        <v>34156.6</v>
      </c>
      <c r="P365" s="1">
        <v>56774.7</v>
      </c>
      <c r="Q365" s="1">
        <v>3441.6</v>
      </c>
      <c r="R365" s="1">
        <v>1559.7</v>
      </c>
      <c r="S365" s="1">
        <v>5001.3</v>
      </c>
      <c r="T365" s="1">
        <v>26.86</v>
      </c>
      <c r="U365" s="1">
        <v>0.05</v>
      </c>
      <c r="V365" s="1">
        <v>1546</v>
      </c>
      <c r="W365" s="1">
        <v>4987.6000000000004</v>
      </c>
      <c r="X365" s="1">
        <v>600.04999999999995</v>
      </c>
      <c r="Y365" s="1">
        <v>240</v>
      </c>
      <c r="Z365" s="1">
        <v>61762.3</v>
      </c>
      <c r="AA365" s="1">
        <v>26.88</v>
      </c>
      <c r="AB365" s="1">
        <v>800</v>
      </c>
    </row>
    <row r="366" spans="1:28" x14ac:dyDescent="0.4">
      <c r="A366" s="1" t="s">
        <v>246</v>
      </c>
      <c r="B366" s="1">
        <v>800</v>
      </c>
      <c r="C366" s="1">
        <v>0.4</v>
      </c>
      <c r="D366" s="1">
        <v>0.5</v>
      </c>
      <c r="E366" s="1">
        <v>1000</v>
      </c>
      <c r="F366" s="1">
        <v>1</v>
      </c>
      <c r="G366" s="1">
        <v>5</v>
      </c>
      <c r="H366" s="1" t="s">
        <v>583</v>
      </c>
      <c r="I366" s="1">
        <v>85389.5</v>
      </c>
      <c r="J366" s="1">
        <v>35210.300000000003</v>
      </c>
      <c r="K366" s="1">
        <v>50179.199999999997</v>
      </c>
      <c r="L366" s="1">
        <v>240</v>
      </c>
      <c r="M366" s="1">
        <v>600</v>
      </c>
      <c r="N366" s="1">
        <v>23519.3</v>
      </c>
      <c r="O366" s="1">
        <v>33943</v>
      </c>
      <c r="P366" s="1">
        <v>57462.3</v>
      </c>
      <c r="Q366" s="1">
        <v>3627.6</v>
      </c>
      <c r="R366" s="1">
        <v>1607.7</v>
      </c>
      <c r="S366" s="1">
        <v>5235.3</v>
      </c>
      <c r="T366" s="1">
        <v>26.57</v>
      </c>
      <c r="U366" s="1">
        <v>0.06</v>
      </c>
      <c r="V366" s="1">
        <v>1596.6</v>
      </c>
      <c r="W366" s="1">
        <v>5224.2</v>
      </c>
      <c r="X366" s="1">
        <v>600.05999999999995</v>
      </c>
      <c r="Y366" s="1">
        <v>240</v>
      </c>
      <c r="Z366" s="1">
        <v>62686.5</v>
      </c>
      <c r="AA366" s="1">
        <v>26.59</v>
      </c>
      <c r="AB366" s="1">
        <v>800</v>
      </c>
    </row>
    <row r="367" spans="1:28" x14ac:dyDescent="0.4">
      <c r="A367" s="1" t="s">
        <v>247</v>
      </c>
      <c r="B367" s="1">
        <v>800</v>
      </c>
      <c r="C367" s="1">
        <v>0.4</v>
      </c>
      <c r="D367" s="1">
        <v>0.5</v>
      </c>
      <c r="E367" s="1">
        <v>1000</v>
      </c>
      <c r="F367" s="1">
        <v>2</v>
      </c>
      <c r="G367" s="1">
        <v>1</v>
      </c>
      <c r="H367" s="1" t="s">
        <v>583</v>
      </c>
      <c r="I367" s="1">
        <v>120010.4</v>
      </c>
      <c r="J367" s="1">
        <v>50108.7</v>
      </c>
      <c r="K367" s="1">
        <v>69901.7</v>
      </c>
      <c r="L367" s="1">
        <v>240</v>
      </c>
      <c r="M367" s="1">
        <v>600.01</v>
      </c>
      <c r="N367" s="1">
        <v>34687.699999999997</v>
      </c>
      <c r="O367" s="1">
        <v>47694.6</v>
      </c>
      <c r="P367" s="1">
        <v>82382.3</v>
      </c>
      <c r="Q367" s="1">
        <v>3410.3</v>
      </c>
      <c r="R367" s="1">
        <v>1375.3</v>
      </c>
      <c r="S367" s="1">
        <v>4785.6000000000004</v>
      </c>
      <c r="T367" s="1">
        <v>27.37</v>
      </c>
      <c r="U367" s="1">
        <v>0.06</v>
      </c>
      <c r="V367" s="1">
        <v>1345.9</v>
      </c>
      <c r="W367" s="1">
        <v>4756.2</v>
      </c>
      <c r="X367" s="1">
        <v>600.07000000000005</v>
      </c>
      <c r="Y367" s="1">
        <v>240</v>
      </c>
      <c r="Z367" s="1">
        <v>87138.5</v>
      </c>
      <c r="AA367" s="1">
        <v>27.39</v>
      </c>
      <c r="AB367" s="1">
        <v>800</v>
      </c>
    </row>
    <row r="368" spans="1:28" x14ac:dyDescent="0.4">
      <c r="A368" s="1" t="s">
        <v>248</v>
      </c>
      <c r="B368" s="1">
        <v>800</v>
      </c>
      <c r="C368" s="1">
        <v>0.4</v>
      </c>
      <c r="D368" s="1">
        <v>0.5</v>
      </c>
      <c r="E368" s="1">
        <v>1000</v>
      </c>
      <c r="F368" s="1">
        <v>2</v>
      </c>
      <c r="G368" s="1">
        <v>2</v>
      </c>
      <c r="H368" s="1" t="s">
        <v>583</v>
      </c>
      <c r="I368" s="1">
        <v>122422.7</v>
      </c>
      <c r="J368" s="1">
        <v>49651.199999999997</v>
      </c>
      <c r="K368" s="1">
        <v>72771.5</v>
      </c>
      <c r="L368" s="1">
        <v>240</v>
      </c>
      <c r="M368" s="1">
        <v>600</v>
      </c>
      <c r="N368" s="1">
        <v>35160.400000000001</v>
      </c>
      <c r="O368" s="1">
        <v>49756.4</v>
      </c>
      <c r="P368" s="1">
        <v>84916.800000000003</v>
      </c>
      <c r="Q368" s="1">
        <v>3254.4</v>
      </c>
      <c r="R368" s="1">
        <v>1520.2</v>
      </c>
      <c r="S368" s="1">
        <v>4774.6000000000004</v>
      </c>
      <c r="T368" s="1">
        <v>26.74</v>
      </c>
      <c r="U368" s="1">
        <v>7.0000000000000007E-2</v>
      </c>
      <c r="V368" s="1">
        <v>1500.3</v>
      </c>
      <c r="W368" s="1">
        <v>4754.7</v>
      </c>
      <c r="X368" s="1">
        <v>600.07000000000005</v>
      </c>
      <c r="Y368" s="1">
        <v>240</v>
      </c>
      <c r="Z368" s="1">
        <v>89671.5</v>
      </c>
      <c r="AA368" s="1">
        <v>26.75</v>
      </c>
      <c r="AB368" s="1">
        <v>800</v>
      </c>
    </row>
    <row r="369" spans="1:28" x14ac:dyDescent="0.4">
      <c r="A369" s="1" t="s">
        <v>249</v>
      </c>
      <c r="B369" s="1">
        <v>800</v>
      </c>
      <c r="C369" s="1">
        <v>0.4</v>
      </c>
      <c r="D369" s="1">
        <v>0.5</v>
      </c>
      <c r="E369" s="1">
        <v>1000</v>
      </c>
      <c r="F369" s="1">
        <v>2</v>
      </c>
      <c r="G369" s="1">
        <v>3</v>
      </c>
      <c r="H369" s="1" t="s">
        <v>583</v>
      </c>
      <c r="I369" s="1">
        <v>121057.1</v>
      </c>
      <c r="J369" s="1">
        <v>49231.7</v>
      </c>
      <c r="K369" s="1">
        <v>71825.399999999994</v>
      </c>
      <c r="L369" s="1">
        <v>240</v>
      </c>
      <c r="M369" s="1">
        <v>600.01</v>
      </c>
      <c r="N369" s="1">
        <v>33600.6</v>
      </c>
      <c r="O369" s="1">
        <v>49179.3</v>
      </c>
      <c r="P369" s="1">
        <v>82779.899999999994</v>
      </c>
      <c r="Q369" s="1">
        <v>3352.1</v>
      </c>
      <c r="R369" s="1">
        <v>1299.5999999999999</v>
      </c>
      <c r="S369" s="1">
        <v>4651.7</v>
      </c>
      <c r="T369" s="1">
        <v>27.78</v>
      </c>
      <c r="U369" s="1">
        <v>0.06</v>
      </c>
      <c r="V369" s="1">
        <v>1273.4000000000001</v>
      </c>
      <c r="W369" s="1">
        <v>4625.5</v>
      </c>
      <c r="X369" s="1">
        <v>600.05999999999995</v>
      </c>
      <c r="Y369" s="1">
        <v>240</v>
      </c>
      <c r="Z369" s="1">
        <v>87405.4</v>
      </c>
      <c r="AA369" s="1">
        <v>27.8</v>
      </c>
      <c r="AB369" s="1">
        <v>800</v>
      </c>
    </row>
    <row r="370" spans="1:28" x14ac:dyDescent="0.4">
      <c r="A370" s="1" t="s">
        <v>250</v>
      </c>
      <c r="B370" s="1">
        <v>800</v>
      </c>
      <c r="C370" s="1">
        <v>0.4</v>
      </c>
      <c r="D370" s="1">
        <v>0.5</v>
      </c>
      <c r="E370" s="1">
        <v>1000</v>
      </c>
      <c r="F370" s="1">
        <v>2</v>
      </c>
      <c r="G370" s="1">
        <v>4</v>
      </c>
      <c r="H370" s="1" t="s">
        <v>583</v>
      </c>
      <c r="I370" s="1">
        <v>123447.4</v>
      </c>
      <c r="J370" s="1">
        <v>51496.6</v>
      </c>
      <c r="K370" s="1">
        <v>71950.8</v>
      </c>
      <c r="L370" s="1">
        <v>240</v>
      </c>
      <c r="M370" s="1">
        <v>600.01</v>
      </c>
      <c r="N370" s="1">
        <v>34691.300000000003</v>
      </c>
      <c r="O370" s="1">
        <v>48046.400000000001</v>
      </c>
      <c r="P370" s="1">
        <v>82737.7</v>
      </c>
      <c r="Q370" s="1">
        <v>3526.1</v>
      </c>
      <c r="R370" s="1">
        <v>1523.4</v>
      </c>
      <c r="S370" s="1">
        <v>5049.5</v>
      </c>
      <c r="T370" s="1">
        <v>28.89</v>
      </c>
      <c r="U370" s="1">
        <v>7.0000000000000007E-2</v>
      </c>
      <c r="V370" s="1">
        <v>1516.5</v>
      </c>
      <c r="W370" s="1">
        <v>5042.6000000000004</v>
      </c>
      <c r="X370" s="1">
        <v>600.09</v>
      </c>
      <c r="Y370" s="1">
        <v>240</v>
      </c>
      <c r="Z370" s="1">
        <v>87780.3</v>
      </c>
      <c r="AA370" s="1">
        <v>28.89</v>
      </c>
      <c r="AB370" s="1">
        <v>800</v>
      </c>
    </row>
    <row r="371" spans="1:28" x14ac:dyDescent="0.4">
      <c r="A371" s="1" t="s">
        <v>251</v>
      </c>
      <c r="B371" s="1">
        <v>800</v>
      </c>
      <c r="C371" s="1">
        <v>0.4</v>
      </c>
      <c r="D371" s="1">
        <v>0.5</v>
      </c>
      <c r="E371" s="1">
        <v>1000</v>
      </c>
      <c r="F371" s="1">
        <v>2</v>
      </c>
      <c r="G371" s="1">
        <v>5</v>
      </c>
      <c r="H371" s="1" t="s">
        <v>583</v>
      </c>
      <c r="I371" s="1">
        <v>120041.2</v>
      </c>
      <c r="J371" s="1">
        <v>49650.400000000001</v>
      </c>
      <c r="K371" s="1">
        <v>70390.8</v>
      </c>
      <c r="L371" s="1">
        <v>240</v>
      </c>
      <c r="M371" s="1">
        <v>600</v>
      </c>
      <c r="N371" s="1">
        <v>34030.1</v>
      </c>
      <c r="O371" s="1">
        <v>46602.2</v>
      </c>
      <c r="P371" s="1">
        <v>80632.3</v>
      </c>
      <c r="Q371" s="1">
        <v>3444.4</v>
      </c>
      <c r="R371" s="1">
        <v>1497.1</v>
      </c>
      <c r="S371" s="1">
        <v>4941.5</v>
      </c>
      <c r="T371" s="1">
        <v>28.71</v>
      </c>
      <c r="U371" s="1">
        <v>7.0000000000000007E-2</v>
      </c>
      <c r="V371" s="1">
        <v>1475.9</v>
      </c>
      <c r="W371" s="1">
        <v>4920.3</v>
      </c>
      <c r="X371" s="1">
        <v>600.07000000000005</v>
      </c>
      <c r="Y371" s="1">
        <v>240</v>
      </c>
      <c r="Z371" s="1">
        <v>85552.6</v>
      </c>
      <c r="AA371" s="1">
        <v>28.73</v>
      </c>
      <c r="AB371" s="1">
        <v>800</v>
      </c>
    </row>
    <row r="372" spans="1:28" x14ac:dyDescent="0.4">
      <c r="A372" s="1" t="s">
        <v>252</v>
      </c>
      <c r="B372" s="1">
        <v>800</v>
      </c>
      <c r="C372" s="1">
        <v>0.4</v>
      </c>
      <c r="D372" s="1">
        <v>0.5</v>
      </c>
      <c r="E372" s="1">
        <v>1000</v>
      </c>
      <c r="F372" s="1">
        <v>3</v>
      </c>
      <c r="G372" s="1">
        <v>1</v>
      </c>
      <c r="H372" s="1" t="s">
        <v>583</v>
      </c>
      <c r="I372" s="1">
        <v>146868</v>
      </c>
      <c r="J372" s="1">
        <v>60175.9</v>
      </c>
      <c r="K372" s="1">
        <v>86692.1</v>
      </c>
      <c r="L372" s="1">
        <v>240</v>
      </c>
      <c r="M372" s="1">
        <v>600.02</v>
      </c>
      <c r="N372" s="1">
        <v>42249.1</v>
      </c>
      <c r="O372" s="1">
        <v>58882.9</v>
      </c>
      <c r="P372" s="1">
        <v>101132</v>
      </c>
      <c r="Q372" s="1">
        <v>3489.1</v>
      </c>
      <c r="R372" s="1">
        <v>1367</v>
      </c>
      <c r="S372" s="1">
        <v>4856.1000000000004</v>
      </c>
      <c r="T372" s="1">
        <v>27.83</v>
      </c>
      <c r="U372" s="1">
        <v>0.06</v>
      </c>
      <c r="V372" s="1">
        <v>1335.3</v>
      </c>
      <c r="W372" s="1">
        <v>4824.3999999999996</v>
      </c>
      <c r="X372" s="1">
        <v>600.08000000000004</v>
      </c>
      <c r="Y372" s="1">
        <v>240</v>
      </c>
      <c r="Z372" s="1">
        <v>105956.4</v>
      </c>
      <c r="AA372" s="1">
        <v>27.86</v>
      </c>
      <c r="AB372" s="1">
        <v>800</v>
      </c>
    </row>
    <row r="373" spans="1:28" x14ac:dyDescent="0.4">
      <c r="A373" s="1" t="s">
        <v>253</v>
      </c>
      <c r="B373" s="1">
        <v>800</v>
      </c>
      <c r="C373" s="1">
        <v>0.4</v>
      </c>
      <c r="D373" s="1">
        <v>0.5</v>
      </c>
      <c r="E373" s="1">
        <v>1000</v>
      </c>
      <c r="F373" s="1">
        <v>3</v>
      </c>
      <c r="G373" s="1">
        <v>2</v>
      </c>
      <c r="H373" s="1" t="s">
        <v>583</v>
      </c>
      <c r="I373" s="1">
        <v>152324.6</v>
      </c>
      <c r="J373" s="1">
        <v>62718.5</v>
      </c>
      <c r="K373" s="1">
        <v>89606.1</v>
      </c>
      <c r="L373" s="1">
        <v>240</v>
      </c>
      <c r="M373" s="1">
        <v>600.01</v>
      </c>
      <c r="N373" s="1">
        <v>43062</v>
      </c>
      <c r="O373" s="1">
        <v>59310.9</v>
      </c>
      <c r="P373" s="1">
        <v>102372.9</v>
      </c>
      <c r="Q373" s="1">
        <v>3490.2</v>
      </c>
      <c r="R373" s="1">
        <v>1462.5</v>
      </c>
      <c r="S373" s="1">
        <v>4952.7</v>
      </c>
      <c r="T373" s="1">
        <v>29.54</v>
      </c>
      <c r="U373" s="1">
        <v>0.05</v>
      </c>
      <c r="V373" s="1">
        <v>1440.6</v>
      </c>
      <c r="W373" s="1">
        <v>4930.8</v>
      </c>
      <c r="X373" s="1">
        <v>600.05999999999995</v>
      </c>
      <c r="Y373" s="1">
        <v>240</v>
      </c>
      <c r="Z373" s="1">
        <v>107303.7</v>
      </c>
      <c r="AA373" s="1">
        <v>29.56</v>
      </c>
      <c r="AB373" s="1">
        <v>800</v>
      </c>
    </row>
    <row r="374" spans="1:28" x14ac:dyDescent="0.4">
      <c r="A374" s="1" t="s">
        <v>254</v>
      </c>
      <c r="B374" s="1">
        <v>800</v>
      </c>
      <c r="C374" s="1">
        <v>0.4</v>
      </c>
      <c r="D374" s="1">
        <v>0.5</v>
      </c>
      <c r="E374" s="1">
        <v>1000</v>
      </c>
      <c r="F374" s="1">
        <v>3</v>
      </c>
      <c r="G374" s="1">
        <v>3</v>
      </c>
      <c r="H374" s="1" t="s">
        <v>583</v>
      </c>
      <c r="I374" s="1">
        <v>157468.70000000001</v>
      </c>
      <c r="J374" s="1">
        <v>63259.3</v>
      </c>
      <c r="K374" s="1">
        <v>94209.4</v>
      </c>
      <c r="L374" s="1">
        <v>240</v>
      </c>
      <c r="M374" s="1">
        <v>600.02</v>
      </c>
      <c r="N374" s="1">
        <v>44316.3</v>
      </c>
      <c r="O374" s="1">
        <v>62321.8</v>
      </c>
      <c r="P374" s="1">
        <v>106638.1</v>
      </c>
      <c r="Q374" s="1">
        <v>3474.5</v>
      </c>
      <c r="R374" s="1">
        <v>1519.3</v>
      </c>
      <c r="S374" s="1">
        <v>4993.8</v>
      </c>
      <c r="T374" s="1">
        <v>29.11</v>
      </c>
      <c r="U374" s="1">
        <v>0.06</v>
      </c>
      <c r="V374" s="1">
        <v>1493</v>
      </c>
      <c r="W374" s="1">
        <v>4967.5</v>
      </c>
      <c r="X374" s="1">
        <v>600.08000000000004</v>
      </c>
      <c r="Y374" s="1">
        <v>240</v>
      </c>
      <c r="Z374" s="1">
        <v>111605.6</v>
      </c>
      <c r="AA374" s="1">
        <v>29.13</v>
      </c>
      <c r="AB374" s="1">
        <v>800</v>
      </c>
    </row>
    <row r="375" spans="1:28" x14ac:dyDescent="0.4">
      <c r="A375" s="1" t="s">
        <v>255</v>
      </c>
      <c r="B375" s="1">
        <v>800</v>
      </c>
      <c r="C375" s="1">
        <v>0.4</v>
      </c>
      <c r="D375" s="1">
        <v>0.5</v>
      </c>
      <c r="E375" s="1">
        <v>1000</v>
      </c>
      <c r="F375" s="1">
        <v>3</v>
      </c>
      <c r="G375" s="1">
        <v>4</v>
      </c>
      <c r="H375" s="1" t="s">
        <v>583</v>
      </c>
      <c r="I375" s="1">
        <v>153712.1</v>
      </c>
      <c r="J375" s="1">
        <v>61756.6</v>
      </c>
      <c r="K375" s="1">
        <v>91955.5</v>
      </c>
      <c r="L375" s="1">
        <v>240</v>
      </c>
      <c r="M375" s="1">
        <v>600.01</v>
      </c>
      <c r="N375" s="1">
        <v>42457.5</v>
      </c>
      <c r="O375" s="1">
        <v>62521</v>
      </c>
      <c r="P375" s="1">
        <v>104978.5</v>
      </c>
      <c r="Q375" s="1">
        <v>3532.3</v>
      </c>
      <c r="R375" s="1">
        <v>1257.5999999999999</v>
      </c>
      <c r="S375" s="1">
        <v>4789.8999999999996</v>
      </c>
      <c r="T375" s="1">
        <v>28.59</v>
      </c>
      <c r="U375" s="1">
        <v>7.0000000000000007E-2</v>
      </c>
      <c r="V375" s="1">
        <v>1198</v>
      </c>
      <c r="W375" s="1">
        <v>4730.3</v>
      </c>
      <c r="X375" s="1">
        <v>600.08000000000004</v>
      </c>
      <c r="Y375" s="1">
        <v>240</v>
      </c>
      <c r="Z375" s="1">
        <v>109708.8</v>
      </c>
      <c r="AA375" s="1">
        <v>28.63</v>
      </c>
      <c r="AB375" s="1">
        <v>800</v>
      </c>
    </row>
    <row r="376" spans="1:28" x14ac:dyDescent="0.4">
      <c r="A376" s="1" t="s">
        <v>256</v>
      </c>
      <c r="B376" s="1">
        <v>800</v>
      </c>
      <c r="C376" s="1">
        <v>0.4</v>
      </c>
      <c r="D376" s="1">
        <v>0.5</v>
      </c>
      <c r="E376" s="1">
        <v>1000</v>
      </c>
      <c r="F376" s="1">
        <v>3</v>
      </c>
      <c r="G376" s="1">
        <v>5</v>
      </c>
      <c r="H376" s="1" t="s">
        <v>583</v>
      </c>
      <c r="I376" s="1">
        <v>154868.70000000001</v>
      </c>
      <c r="J376" s="1">
        <v>62106</v>
      </c>
      <c r="K376" s="1">
        <v>92762.7</v>
      </c>
      <c r="L376" s="1">
        <v>240</v>
      </c>
      <c r="M376" s="1">
        <v>600.02</v>
      </c>
      <c r="N376" s="1">
        <v>42890.3</v>
      </c>
      <c r="O376" s="1">
        <v>60833.8</v>
      </c>
      <c r="P376" s="1">
        <v>103724.1</v>
      </c>
      <c r="Q376" s="1">
        <v>3388.4</v>
      </c>
      <c r="R376" s="1">
        <v>1436.1</v>
      </c>
      <c r="S376" s="1">
        <v>4824.5</v>
      </c>
      <c r="T376" s="1">
        <v>29.91</v>
      </c>
      <c r="U376" s="1">
        <v>0.06</v>
      </c>
      <c r="V376" s="1">
        <v>1422.4</v>
      </c>
      <c r="W376" s="1">
        <v>4810.8</v>
      </c>
      <c r="X376" s="1">
        <v>600.08000000000004</v>
      </c>
      <c r="Y376" s="1">
        <v>240</v>
      </c>
      <c r="Z376" s="1">
        <v>108534.9</v>
      </c>
      <c r="AA376" s="1">
        <v>29.92</v>
      </c>
      <c r="AB376" s="1">
        <v>800</v>
      </c>
    </row>
    <row r="377" spans="1:28" x14ac:dyDescent="0.4">
      <c r="A377" s="1" t="s">
        <v>257</v>
      </c>
      <c r="B377" s="1">
        <v>800</v>
      </c>
      <c r="C377" s="1">
        <v>0.4</v>
      </c>
      <c r="D377" s="1">
        <v>0.5</v>
      </c>
      <c r="E377" s="1">
        <v>2000</v>
      </c>
      <c r="F377" s="1">
        <v>1</v>
      </c>
      <c r="G377" s="1">
        <v>1</v>
      </c>
      <c r="H377" s="1" t="s">
        <v>583</v>
      </c>
      <c r="I377" s="1">
        <v>170213.4</v>
      </c>
      <c r="J377" s="1">
        <v>69005.2</v>
      </c>
      <c r="K377" s="1">
        <v>101208.2</v>
      </c>
      <c r="L377" s="1">
        <v>240</v>
      </c>
      <c r="M377" s="1">
        <v>600.01</v>
      </c>
      <c r="N377" s="1">
        <v>47443.199999999997</v>
      </c>
      <c r="O377" s="1">
        <v>70272.399999999994</v>
      </c>
      <c r="P377" s="1">
        <v>117715.6</v>
      </c>
      <c r="Q377" s="1">
        <v>3540.2</v>
      </c>
      <c r="R377" s="1">
        <v>1606.6</v>
      </c>
      <c r="S377" s="1">
        <v>5146.8</v>
      </c>
      <c r="T377" s="1">
        <v>27.82</v>
      </c>
      <c r="U377" s="1">
        <v>0.05</v>
      </c>
      <c r="V377" s="1">
        <v>1599.6</v>
      </c>
      <c r="W377" s="1">
        <v>5139.8</v>
      </c>
      <c r="X377" s="1">
        <v>600.05999999999995</v>
      </c>
      <c r="Y377" s="1">
        <v>240</v>
      </c>
      <c r="Z377" s="1">
        <v>122855.4</v>
      </c>
      <c r="AA377" s="1">
        <v>27.82</v>
      </c>
      <c r="AB377" s="1">
        <v>800</v>
      </c>
    </row>
    <row r="378" spans="1:28" x14ac:dyDescent="0.4">
      <c r="A378" s="1" t="s">
        <v>258</v>
      </c>
      <c r="B378" s="1">
        <v>800</v>
      </c>
      <c r="C378" s="1">
        <v>0.4</v>
      </c>
      <c r="D378" s="1">
        <v>0.5</v>
      </c>
      <c r="E378" s="1">
        <v>2000</v>
      </c>
      <c r="F378" s="1">
        <v>1</v>
      </c>
      <c r="G378" s="1">
        <v>2</v>
      </c>
      <c r="H378" s="1" t="s">
        <v>583</v>
      </c>
      <c r="I378" s="1">
        <v>169988.2</v>
      </c>
      <c r="J378" s="1">
        <v>70466.899999999994</v>
      </c>
      <c r="K378" s="1">
        <v>99521.3</v>
      </c>
      <c r="L378" s="1">
        <v>240</v>
      </c>
      <c r="M378" s="1">
        <v>600</v>
      </c>
      <c r="N378" s="1">
        <v>48626.3</v>
      </c>
      <c r="O378" s="1">
        <v>70653</v>
      </c>
      <c r="P378" s="1">
        <v>119279.3</v>
      </c>
      <c r="Q378" s="1">
        <v>3528.9</v>
      </c>
      <c r="R378" s="1">
        <v>1707</v>
      </c>
      <c r="S378" s="1">
        <v>5235.8999999999996</v>
      </c>
      <c r="T378" s="1">
        <v>26.75</v>
      </c>
      <c r="U378" s="1">
        <v>0.05</v>
      </c>
      <c r="V378" s="1">
        <v>1693.2</v>
      </c>
      <c r="W378" s="1">
        <v>5222.1000000000004</v>
      </c>
      <c r="X378" s="1">
        <v>600.04999999999995</v>
      </c>
      <c r="Y378" s="1">
        <v>240</v>
      </c>
      <c r="Z378" s="1">
        <v>124501.4</v>
      </c>
      <c r="AA378" s="1">
        <v>26.76</v>
      </c>
      <c r="AB378" s="1">
        <v>800</v>
      </c>
    </row>
    <row r="379" spans="1:28" x14ac:dyDescent="0.4">
      <c r="A379" s="1" t="s">
        <v>259</v>
      </c>
      <c r="B379" s="1">
        <v>800</v>
      </c>
      <c r="C379" s="1">
        <v>0.4</v>
      </c>
      <c r="D379" s="1">
        <v>0.5</v>
      </c>
      <c r="E379" s="1">
        <v>2000</v>
      </c>
      <c r="F379" s="1">
        <v>1</v>
      </c>
      <c r="G379" s="1">
        <v>3</v>
      </c>
      <c r="H379" s="1" t="s">
        <v>583</v>
      </c>
      <c r="I379" s="1">
        <v>169951.6</v>
      </c>
      <c r="J379" s="1">
        <v>69481.600000000006</v>
      </c>
      <c r="K379" s="1">
        <v>100470</v>
      </c>
      <c r="L379" s="1">
        <v>240</v>
      </c>
      <c r="M379" s="1">
        <v>600</v>
      </c>
      <c r="N379" s="1">
        <v>47987</v>
      </c>
      <c r="O379" s="1">
        <v>71018.7</v>
      </c>
      <c r="P379" s="1">
        <v>119005.7</v>
      </c>
      <c r="Q379" s="1">
        <v>3545.4</v>
      </c>
      <c r="R379" s="1">
        <v>1670.5</v>
      </c>
      <c r="S379" s="1">
        <v>5215.8999999999996</v>
      </c>
      <c r="T379" s="1">
        <v>26.91</v>
      </c>
      <c r="U379" s="1">
        <v>0.05</v>
      </c>
      <c r="V379" s="1">
        <v>1643.3</v>
      </c>
      <c r="W379" s="1">
        <v>5188.7</v>
      </c>
      <c r="X379" s="1">
        <v>600.04999999999995</v>
      </c>
      <c r="Y379" s="1">
        <v>240</v>
      </c>
      <c r="Z379" s="1">
        <v>124194.4</v>
      </c>
      <c r="AA379" s="1">
        <v>26.92</v>
      </c>
      <c r="AB379" s="1">
        <v>800</v>
      </c>
    </row>
    <row r="380" spans="1:28" x14ac:dyDescent="0.4">
      <c r="A380" s="1" t="s">
        <v>260</v>
      </c>
      <c r="B380" s="1">
        <v>800</v>
      </c>
      <c r="C380" s="1">
        <v>0.4</v>
      </c>
      <c r="D380" s="1">
        <v>0.5</v>
      </c>
      <c r="E380" s="1">
        <v>2000</v>
      </c>
      <c r="F380" s="1">
        <v>1</v>
      </c>
      <c r="G380" s="1">
        <v>4</v>
      </c>
      <c r="H380" s="1" t="s">
        <v>583</v>
      </c>
      <c r="I380" s="1">
        <v>165701.20000000001</v>
      </c>
      <c r="J380" s="1">
        <v>67770.8</v>
      </c>
      <c r="K380" s="1">
        <v>97930.4</v>
      </c>
      <c r="L380" s="1">
        <v>240</v>
      </c>
      <c r="M380" s="1">
        <v>600.01</v>
      </c>
      <c r="N380" s="1">
        <v>47353.4</v>
      </c>
      <c r="O380" s="1">
        <v>69552.3</v>
      </c>
      <c r="P380" s="1">
        <v>116905.7</v>
      </c>
      <c r="Q380" s="1">
        <v>3441.8</v>
      </c>
      <c r="R380" s="1">
        <v>1622.3</v>
      </c>
      <c r="S380" s="1">
        <v>5064.1000000000004</v>
      </c>
      <c r="T380" s="1">
        <v>26.39</v>
      </c>
      <c r="U380" s="1">
        <v>0.04</v>
      </c>
      <c r="V380" s="1">
        <v>1594.5</v>
      </c>
      <c r="W380" s="1">
        <v>5036.3</v>
      </c>
      <c r="X380" s="1">
        <v>600.04999999999995</v>
      </c>
      <c r="Y380" s="1">
        <v>240</v>
      </c>
      <c r="Z380" s="1">
        <v>121942</v>
      </c>
      <c r="AA380" s="1">
        <v>26.41</v>
      </c>
      <c r="AB380" s="1">
        <v>800</v>
      </c>
    </row>
    <row r="381" spans="1:28" x14ac:dyDescent="0.4">
      <c r="A381" s="1" t="s">
        <v>261</v>
      </c>
      <c r="B381" s="1">
        <v>800</v>
      </c>
      <c r="C381" s="1">
        <v>0.4</v>
      </c>
      <c r="D381" s="1">
        <v>0.5</v>
      </c>
      <c r="E381" s="1">
        <v>2000</v>
      </c>
      <c r="F381" s="1">
        <v>1</v>
      </c>
      <c r="G381" s="1">
        <v>5</v>
      </c>
      <c r="H381" s="1" t="s">
        <v>583</v>
      </c>
      <c r="I381" s="1">
        <v>168020</v>
      </c>
      <c r="J381" s="1">
        <v>71133</v>
      </c>
      <c r="K381" s="1">
        <v>96887</v>
      </c>
      <c r="L381" s="1">
        <v>240</v>
      </c>
      <c r="M381" s="1">
        <v>600</v>
      </c>
      <c r="N381" s="1">
        <v>47677.8</v>
      </c>
      <c r="O381" s="1">
        <v>67384.2</v>
      </c>
      <c r="P381" s="1">
        <v>115062</v>
      </c>
      <c r="Q381" s="1">
        <v>3539</v>
      </c>
      <c r="R381" s="1">
        <v>1566.7</v>
      </c>
      <c r="S381" s="1">
        <v>5105.7</v>
      </c>
      <c r="T381" s="1">
        <v>28.48</v>
      </c>
      <c r="U381" s="1">
        <v>0.05</v>
      </c>
      <c r="V381" s="1">
        <v>1551.5</v>
      </c>
      <c r="W381" s="1">
        <v>5090.5</v>
      </c>
      <c r="X381" s="1">
        <v>600.04999999999995</v>
      </c>
      <c r="Y381" s="1">
        <v>240</v>
      </c>
      <c r="Z381" s="1">
        <v>120152.5</v>
      </c>
      <c r="AA381" s="1">
        <v>28.49</v>
      </c>
      <c r="AB381" s="1">
        <v>800</v>
      </c>
    </row>
    <row r="382" spans="1:28" x14ac:dyDescent="0.4">
      <c r="A382" s="1" t="s">
        <v>262</v>
      </c>
      <c r="B382" s="1">
        <v>800</v>
      </c>
      <c r="C382" s="1">
        <v>0.4</v>
      </c>
      <c r="D382" s="1">
        <v>0.5</v>
      </c>
      <c r="E382" s="1">
        <v>2000</v>
      </c>
      <c r="F382" s="1">
        <v>2</v>
      </c>
      <c r="G382" s="1">
        <v>1</v>
      </c>
      <c r="H382" s="1" t="s">
        <v>583</v>
      </c>
      <c r="I382" s="1">
        <v>250362.9</v>
      </c>
      <c r="J382" s="1">
        <v>98155.4</v>
      </c>
      <c r="K382" s="1">
        <v>152207.5</v>
      </c>
      <c r="L382" s="1">
        <v>240</v>
      </c>
      <c r="M382" s="1">
        <v>600.02</v>
      </c>
      <c r="N382" s="1">
        <v>69146.100000000006</v>
      </c>
      <c r="O382" s="1">
        <v>104854.3</v>
      </c>
      <c r="P382" s="1">
        <v>174000.4</v>
      </c>
      <c r="Q382" s="1">
        <v>3433.4</v>
      </c>
      <c r="R382" s="1">
        <v>1443.5</v>
      </c>
      <c r="S382" s="1">
        <v>4876.8999999999996</v>
      </c>
      <c r="T382" s="1">
        <v>28.55</v>
      </c>
      <c r="U382" s="1">
        <v>0.05</v>
      </c>
      <c r="V382" s="1">
        <v>1437.9</v>
      </c>
      <c r="W382" s="1">
        <v>4871.3</v>
      </c>
      <c r="X382" s="1">
        <v>600.05999999999995</v>
      </c>
      <c r="Y382" s="1">
        <v>240</v>
      </c>
      <c r="Z382" s="1">
        <v>178871.7</v>
      </c>
      <c r="AA382" s="1">
        <v>28.56</v>
      </c>
      <c r="AB382" s="1">
        <v>800</v>
      </c>
    </row>
    <row r="383" spans="1:28" x14ac:dyDescent="0.4">
      <c r="A383" s="1" t="s">
        <v>263</v>
      </c>
      <c r="B383" s="1">
        <v>800</v>
      </c>
      <c r="C383" s="1">
        <v>0.4</v>
      </c>
      <c r="D383" s="1">
        <v>0.5</v>
      </c>
      <c r="E383" s="1">
        <v>2000</v>
      </c>
      <c r="F383" s="1">
        <v>2</v>
      </c>
      <c r="G383" s="1">
        <v>2</v>
      </c>
      <c r="H383" s="1" t="s">
        <v>583</v>
      </c>
      <c r="I383" s="1">
        <v>250230.39999999999</v>
      </c>
      <c r="J383" s="1">
        <v>100944</v>
      </c>
      <c r="K383" s="1">
        <v>149286.39999999999</v>
      </c>
      <c r="L383" s="1">
        <v>240</v>
      </c>
      <c r="M383" s="1">
        <v>600.04</v>
      </c>
      <c r="N383" s="1">
        <v>70955</v>
      </c>
      <c r="O383" s="1">
        <v>101730.3</v>
      </c>
      <c r="P383" s="1">
        <v>172685.3</v>
      </c>
      <c r="Q383" s="1">
        <v>3446.7</v>
      </c>
      <c r="R383" s="1">
        <v>1504.5</v>
      </c>
      <c r="S383" s="1">
        <v>4951.2</v>
      </c>
      <c r="T383" s="1">
        <v>29.01</v>
      </c>
      <c r="U383" s="1">
        <v>0.08</v>
      </c>
      <c r="V383" s="1">
        <v>1491.9</v>
      </c>
      <c r="W383" s="1">
        <v>4938.6000000000004</v>
      </c>
      <c r="X383" s="1">
        <v>600.12</v>
      </c>
      <c r="Y383" s="1">
        <v>240</v>
      </c>
      <c r="Z383" s="1">
        <v>177623.9</v>
      </c>
      <c r="AA383" s="1">
        <v>29.02</v>
      </c>
      <c r="AB383" s="1">
        <v>800</v>
      </c>
    </row>
    <row r="384" spans="1:28" x14ac:dyDescent="0.4">
      <c r="A384" s="1" t="s">
        <v>264</v>
      </c>
      <c r="B384" s="1">
        <v>800</v>
      </c>
      <c r="C384" s="1">
        <v>0.4</v>
      </c>
      <c r="D384" s="1">
        <v>0.5</v>
      </c>
      <c r="E384" s="1">
        <v>2000</v>
      </c>
      <c r="F384" s="1">
        <v>2</v>
      </c>
      <c r="G384" s="1">
        <v>3</v>
      </c>
      <c r="H384" s="1" t="s">
        <v>583</v>
      </c>
      <c r="I384" s="1">
        <v>247828</v>
      </c>
      <c r="J384" s="1">
        <v>100347.6</v>
      </c>
      <c r="K384" s="1">
        <v>147480.4</v>
      </c>
      <c r="L384" s="1">
        <v>240</v>
      </c>
      <c r="M384" s="1">
        <v>600.01</v>
      </c>
      <c r="N384" s="1">
        <v>72179.100000000006</v>
      </c>
      <c r="O384" s="1">
        <v>100220.3</v>
      </c>
      <c r="P384" s="1">
        <v>172399.4</v>
      </c>
      <c r="Q384" s="1">
        <v>3396.9</v>
      </c>
      <c r="R384" s="1">
        <v>1454.9</v>
      </c>
      <c r="S384" s="1">
        <v>4851.8</v>
      </c>
      <c r="T384" s="1">
        <v>28.48</v>
      </c>
      <c r="U384" s="1">
        <v>0.05</v>
      </c>
      <c r="V384" s="1">
        <v>1427.2</v>
      </c>
      <c r="W384" s="1">
        <v>4824.1000000000004</v>
      </c>
      <c r="X384" s="1">
        <v>600.04999999999995</v>
      </c>
      <c r="Y384" s="1">
        <v>240</v>
      </c>
      <c r="Z384" s="1">
        <v>177223.5</v>
      </c>
      <c r="AA384" s="1">
        <v>28.49</v>
      </c>
      <c r="AB384" s="1">
        <v>800</v>
      </c>
    </row>
    <row r="385" spans="1:28" x14ac:dyDescent="0.4">
      <c r="A385" s="1" t="s">
        <v>265</v>
      </c>
      <c r="B385" s="1">
        <v>800</v>
      </c>
      <c r="C385" s="1">
        <v>0.4</v>
      </c>
      <c r="D385" s="1">
        <v>0.5</v>
      </c>
      <c r="E385" s="1">
        <v>2000</v>
      </c>
      <c r="F385" s="1">
        <v>2</v>
      </c>
      <c r="G385" s="1">
        <v>4</v>
      </c>
      <c r="H385" s="1" t="s">
        <v>583</v>
      </c>
      <c r="I385" s="1">
        <v>251946.4</v>
      </c>
      <c r="J385" s="1">
        <v>102935.6</v>
      </c>
      <c r="K385" s="1">
        <v>149010.79999999999</v>
      </c>
      <c r="L385" s="1">
        <v>240</v>
      </c>
      <c r="M385" s="1">
        <v>600.01</v>
      </c>
      <c r="N385" s="1">
        <v>69974</v>
      </c>
      <c r="O385" s="1">
        <v>101226.3</v>
      </c>
      <c r="P385" s="1">
        <v>171200.3</v>
      </c>
      <c r="Q385" s="1">
        <v>3498.3</v>
      </c>
      <c r="R385" s="1">
        <v>1487.9</v>
      </c>
      <c r="S385" s="1">
        <v>4986.2</v>
      </c>
      <c r="T385" s="1">
        <v>30.07</v>
      </c>
      <c r="U385" s="1">
        <v>0.06</v>
      </c>
      <c r="V385" s="1">
        <v>1482.3</v>
      </c>
      <c r="W385" s="1">
        <v>4980.6000000000004</v>
      </c>
      <c r="X385" s="1">
        <v>600.07000000000005</v>
      </c>
      <c r="Y385" s="1">
        <v>240</v>
      </c>
      <c r="Z385" s="1">
        <v>176180.9</v>
      </c>
      <c r="AA385" s="1">
        <v>30.07</v>
      </c>
      <c r="AB385" s="1">
        <v>800</v>
      </c>
    </row>
    <row r="386" spans="1:28" x14ac:dyDescent="0.4">
      <c r="A386" s="1" t="s">
        <v>266</v>
      </c>
      <c r="B386" s="1">
        <v>800</v>
      </c>
      <c r="C386" s="1">
        <v>0.4</v>
      </c>
      <c r="D386" s="1">
        <v>0.5</v>
      </c>
      <c r="E386" s="1">
        <v>2000</v>
      </c>
      <c r="F386" s="1">
        <v>2</v>
      </c>
      <c r="G386" s="1">
        <v>5</v>
      </c>
      <c r="H386" s="1" t="s">
        <v>583</v>
      </c>
      <c r="I386" s="1">
        <v>245726.4</v>
      </c>
      <c r="J386" s="1">
        <v>101268.2</v>
      </c>
      <c r="K386" s="1">
        <v>144458.20000000001</v>
      </c>
      <c r="L386" s="1">
        <v>240</v>
      </c>
      <c r="M386" s="1">
        <v>600.01</v>
      </c>
      <c r="N386" s="1">
        <v>70845</v>
      </c>
      <c r="O386" s="1">
        <v>99153.9</v>
      </c>
      <c r="P386" s="1">
        <v>169998.9</v>
      </c>
      <c r="Q386" s="1">
        <v>3520.3</v>
      </c>
      <c r="R386" s="1">
        <v>1487.3</v>
      </c>
      <c r="S386" s="1">
        <v>5007.6000000000004</v>
      </c>
      <c r="T386" s="1">
        <v>28.78</v>
      </c>
      <c r="U386" s="1">
        <v>7.0000000000000007E-2</v>
      </c>
      <c r="V386" s="1">
        <v>1487.3</v>
      </c>
      <c r="W386" s="1">
        <v>5007.6000000000004</v>
      </c>
      <c r="X386" s="1">
        <v>600.07000000000005</v>
      </c>
      <c r="Y386" s="1">
        <v>240</v>
      </c>
      <c r="Z386" s="1">
        <v>175006.5</v>
      </c>
      <c r="AA386" s="1">
        <v>28.78</v>
      </c>
      <c r="AB386" s="1">
        <v>800</v>
      </c>
    </row>
    <row r="387" spans="1:28" x14ac:dyDescent="0.4">
      <c r="A387" s="1" t="s">
        <v>267</v>
      </c>
      <c r="B387" s="1">
        <v>800</v>
      </c>
      <c r="C387" s="1">
        <v>0.4</v>
      </c>
      <c r="D387" s="1">
        <v>0.5</v>
      </c>
      <c r="E387" s="1">
        <v>2000</v>
      </c>
      <c r="F387" s="1">
        <v>3</v>
      </c>
      <c r="G387" s="1">
        <v>1</v>
      </c>
      <c r="H387" s="1" t="s">
        <v>583</v>
      </c>
      <c r="I387" s="1">
        <v>311641.90000000002</v>
      </c>
      <c r="J387" s="1">
        <v>130002.5</v>
      </c>
      <c r="K387" s="1">
        <v>181639.4</v>
      </c>
      <c r="L387" s="1">
        <v>240</v>
      </c>
      <c r="M387" s="1">
        <v>600.01</v>
      </c>
      <c r="N387" s="1">
        <v>90738.9</v>
      </c>
      <c r="O387" s="1">
        <v>122542.5</v>
      </c>
      <c r="P387" s="1">
        <v>213281.4</v>
      </c>
      <c r="Q387" s="1">
        <v>3576.7</v>
      </c>
      <c r="R387" s="1">
        <v>1352.5</v>
      </c>
      <c r="S387" s="1">
        <v>4929.2</v>
      </c>
      <c r="T387" s="1">
        <v>29.98</v>
      </c>
      <c r="U387" s="1">
        <v>7.0000000000000007E-2</v>
      </c>
      <c r="V387" s="1">
        <v>1311.6</v>
      </c>
      <c r="W387" s="1">
        <v>4888.3</v>
      </c>
      <c r="X387" s="1">
        <v>600.08000000000004</v>
      </c>
      <c r="Y387" s="1">
        <v>240</v>
      </c>
      <c r="Z387" s="1">
        <v>218169.7</v>
      </c>
      <c r="AA387" s="1">
        <v>29.99</v>
      </c>
      <c r="AB387" s="1">
        <v>800</v>
      </c>
    </row>
    <row r="388" spans="1:28" x14ac:dyDescent="0.4">
      <c r="A388" s="1" t="s">
        <v>268</v>
      </c>
      <c r="B388" s="1">
        <v>800</v>
      </c>
      <c r="C388" s="1">
        <v>0.4</v>
      </c>
      <c r="D388" s="1">
        <v>0.5</v>
      </c>
      <c r="E388" s="1">
        <v>2000</v>
      </c>
      <c r="F388" s="1">
        <v>3</v>
      </c>
      <c r="G388" s="1">
        <v>2</v>
      </c>
      <c r="H388" s="1" t="s">
        <v>583</v>
      </c>
      <c r="I388" s="1">
        <v>305552.90000000002</v>
      </c>
      <c r="J388" s="1">
        <v>126112.6</v>
      </c>
      <c r="K388" s="1">
        <v>179440.3</v>
      </c>
      <c r="L388" s="1">
        <v>240</v>
      </c>
      <c r="M388" s="1">
        <v>600.05999999999995</v>
      </c>
      <c r="N388" s="1">
        <v>87065.4</v>
      </c>
      <c r="O388" s="1">
        <v>121415.1</v>
      </c>
      <c r="P388" s="1">
        <v>208480.5</v>
      </c>
      <c r="Q388" s="1">
        <v>3472</v>
      </c>
      <c r="R388" s="1">
        <v>1307.7</v>
      </c>
      <c r="S388" s="1">
        <v>4779.7</v>
      </c>
      <c r="T388" s="1">
        <v>30.21</v>
      </c>
      <c r="U388" s="1">
        <v>0.06</v>
      </c>
      <c r="V388" s="1">
        <v>1277</v>
      </c>
      <c r="W388" s="1">
        <v>4749</v>
      </c>
      <c r="X388" s="1">
        <v>600.12</v>
      </c>
      <c r="Y388" s="1">
        <v>240</v>
      </c>
      <c r="Z388" s="1">
        <v>213229.5</v>
      </c>
      <c r="AA388" s="1">
        <v>30.22</v>
      </c>
      <c r="AB388" s="1">
        <v>800</v>
      </c>
    </row>
    <row r="389" spans="1:28" x14ac:dyDescent="0.4">
      <c r="A389" s="1" t="s">
        <v>269</v>
      </c>
      <c r="B389" s="1">
        <v>800</v>
      </c>
      <c r="C389" s="1">
        <v>0.4</v>
      </c>
      <c r="D389" s="1">
        <v>0.5</v>
      </c>
      <c r="E389" s="1">
        <v>2000</v>
      </c>
      <c r="F389" s="1">
        <v>3</v>
      </c>
      <c r="G389" s="1">
        <v>3</v>
      </c>
      <c r="H389" s="1" t="s">
        <v>583</v>
      </c>
      <c r="I389" s="1">
        <v>303425.09999999998</v>
      </c>
      <c r="J389" s="1">
        <v>122185.60000000001</v>
      </c>
      <c r="K389" s="1">
        <v>181239.5</v>
      </c>
      <c r="L389" s="1">
        <v>240</v>
      </c>
      <c r="M389" s="1">
        <v>600.01</v>
      </c>
      <c r="N389" s="1">
        <v>86489.1</v>
      </c>
      <c r="O389" s="1">
        <v>124209.5</v>
      </c>
      <c r="P389" s="1">
        <v>210698.6</v>
      </c>
      <c r="Q389" s="1">
        <v>3370.2</v>
      </c>
      <c r="R389" s="1">
        <v>1324.9</v>
      </c>
      <c r="S389" s="1">
        <v>4695.1000000000004</v>
      </c>
      <c r="T389" s="1">
        <v>29.01</v>
      </c>
      <c r="U389" s="1">
        <v>0.09</v>
      </c>
      <c r="V389" s="1">
        <v>1297.8</v>
      </c>
      <c r="W389" s="1">
        <v>4668</v>
      </c>
      <c r="X389" s="1">
        <v>600.1</v>
      </c>
      <c r="Y389" s="1">
        <v>240</v>
      </c>
      <c r="Z389" s="1">
        <v>215366.6</v>
      </c>
      <c r="AA389" s="1">
        <v>29.02</v>
      </c>
      <c r="AB389" s="1">
        <v>800</v>
      </c>
    </row>
    <row r="390" spans="1:28" x14ac:dyDescent="0.4">
      <c r="A390" s="1" t="s">
        <v>270</v>
      </c>
      <c r="B390" s="1">
        <v>800</v>
      </c>
      <c r="C390" s="1">
        <v>0.4</v>
      </c>
      <c r="D390" s="1">
        <v>0.5</v>
      </c>
      <c r="E390" s="1">
        <v>2000</v>
      </c>
      <c r="F390" s="1">
        <v>3</v>
      </c>
      <c r="G390" s="1">
        <v>4</v>
      </c>
      <c r="H390" s="1" t="s">
        <v>583</v>
      </c>
      <c r="I390" s="1">
        <v>313216.59999999998</v>
      </c>
      <c r="J390" s="1">
        <v>131697</v>
      </c>
      <c r="K390" s="1">
        <v>181519.6</v>
      </c>
      <c r="L390" s="1">
        <v>240</v>
      </c>
      <c r="M390" s="1">
        <v>600.01</v>
      </c>
      <c r="N390" s="1">
        <v>93267.7</v>
      </c>
      <c r="O390" s="1">
        <v>124001.2</v>
      </c>
      <c r="P390" s="1">
        <v>217268.9</v>
      </c>
      <c r="Q390" s="1">
        <v>3413.5</v>
      </c>
      <c r="R390" s="1">
        <v>1487.4</v>
      </c>
      <c r="S390" s="1">
        <v>4900.8999999999996</v>
      </c>
      <c r="T390" s="1">
        <v>29.07</v>
      </c>
      <c r="U390" s="1">
        <v>0.06</v>
      </c>
      <c r="V390" s="1">
        <v>1481.8</v>
      </c>
      <c r="W390" s="1">
        <v>4895.3</v>
      </c>
      <c r="X390" s="1">
        <v>600.07000000000005</v>
      </c>
      <c r="Y390" s="1">
        <v>240</v>
      </c>
      <c r="Z390" s="1">
        <v>222164.2</v>
      </c>
      <c r="AA390" s="1">
        <v>29.07</v>
      </c>
      <c r="AB390" s="1">
        <v>800</v>
      </c>
    </row>
    <row r="391" spans="1:28" x14ac:dyDescent="0.4">
      <c r="A391" s="1" t="s">
        <v>271</v>
      </c>
      <c r="B391" s="1">
        <v>800</v>
      </c>
      <c r="C391" s="1">
        <v>0.4</v>
      </c>
      <c r="D391" s="1">
        <v>0.5</v>
      </c>
      <c r="E391" s="1">
        <v>2000</v>
      </c>
      <c r="F391" s="1">
        <v>3</v>
      </c>
      <c r="G391" s="1">
        <v>5</v>
      </c>
      <c r="H391" s="1" t="s">
        <v>583</v>
      </c>
      <c r="I391" s="1">
        <v>303871.5</v>
      </c>
      <c r="J391" s="1">
        <v>126862.1</v>
      </c>
      <c r="K391" s="1">
        <v>177009.4</v>
      </c>
      <c r="L391" s="1">
        <v>240</v>
      </c>
      <c r="M391" s="1">
        <v>600.03</v>
      </c>
      <c r="N391" s="1">
        <v>89459.9</v>
      </c>
      <c r="O391" s="1">
        <v>118746.6</v>
      </c>
      <c r="P391" s="1">
        <v>208206.5</v>
      </c>
      <c r="Q391" s="1">
        <v>3479</v>
      </c>
      <c r="R391" s="1">
        <v>1499.3</v>
      </c>
      <c r="S391" s="1">
        <v>4978.3</v>
      </c>
      <c r="T391" s="1">
        <v>29.84</v>
      </c>
      <c r="U391" s="1">
        <v>7.0000000000000007E-2</v>
      </c>
      <c r="V391" s="1">
        <v>1486.8</v>
      </c>
      <c r="W391" s="1">
        <v>4965.8</v>
      </c>
      <c r="X391" s="1">
        <v>600.09</v>
      </c>
      <c r="Y391" s="1">
        <v>240</v>
      </c>
      <c r="Z391" s="1">
        <v>213172.3</v>
      </c>
      <c r="AA391" s="1">
        <v>29.85</v>
      </c>
      <c r="AB391" s="1">
        <v>800</v>
      </c>
    </row>
    <row r="392" spans="1:28" x14ac:dyDescent="0.4">
      <c r="A392" s="1" t="s">
        <v>272</v>
      </c>
      <c r="B392" s="1">
        <v>800</v>
      </c>
      <c r="C392" s="1">
        <v>0.4</v>
      </c>
      <c r="D392" s="1">
        <v>0.5</v>
      </c>
      <c r="E392" s="1">
        <v>500</v>
      </c>
      <c r="F392" s="1">
        <v>1</v>
      </c>
      <c r="G392" s="1">
        <v>1</v>
      </c>
      <c r="H392" s="1" t="s">
        <v>583</v>
      </c>
      <c r="I392" s="1">
        <v>40837.5</v>
      </c>
      <c r="J392" s="1">
        <v>17869.3</v>
      </c>
      <c r="K392" s="1">
        <v>22968.2</v>
      </c>
      <c r="L392" s="1">
        <v>240</v>
      </c>
      <c r="M392" s="1">
        <v>600</v>
      </c>
      <c r="N392" s="1">
        <v>11063.9</v>
      </c>
      <c r="O392" s="1">
        <v>14865</v>
      </c>
      <c r="P392" s="1">
        <v>25928.9</v>
      </c>
      <c r="Q392" s="1">
        <v>3589.4</v>
      </c>
      <c r="R392" s="1">
        <v>1482.2</v>
      </c>
      <c r="S392" s="1">
        <v>5071.6000000000004</v>
      </c>
      <c r="T392" s="1">
        <v>24.09</v>
      </c>
      <c r="U392" s="1">
        <v>0.03</v>
      </c>
      <c r="V392" s="1">
        <v>1475.3</v>
      </c>
      <c r="W392" s="1">
        <v>5064.7</v>
      </c>
      <c r="X392" s="1">
        <v>600.04</v>
      </c>
      <c r="Y392" s="1">
        <v>240</v>
      </c>
      <c r="Z392" s="1">
        <v>30993.599999999999</v>
      </c>
      <c r="AA392" s="1">
        <v>24.11</v>
      </c>
      <c r="AB392" s="1">
        <v>800</v>
      </c>
    </row>
    <row r="393" spans="1:28" x14ac:dyDescent="0.4">
      <c r="A393" s="1" t="s">
        <v>273</v>
      </c>
      <c r="B393" s="1">
        <v>800</v>
      </c>
      <c r="C393" s="1">
        <v>0.4</v>
      </c>
      <c r="D393" s="1">
        <v>0.5</v>
      </c>
      <c r="E393" s="1">
        <v>500</v>
      </c>
      <c r="F393" s="1">
        <v>1</v>
      </c>
      <c r="G393" s="1">
        <v>2</v>
      </c>
      <c r="H393" s="1" t="s">
        <v>583</v>
      </c>
      <c r="I393" s="1">
        <v>42627.6</v>
      </c>
      <c r="J393" s="1">
        <v>17237.8</v>
      </c>
      <c r="K393" s="1">
        <v>25389.8</v>
      </c>
      <c r="L393" s="1">
        <v>240</v>
      </c>
      <c r="M393" s="1">
        <v>600</v>
      </c>
      <c r="N393" s="1">
        <v>10604.7</v>
      </c>
      <c r="O393" s="1">
        <v>16225.5</v>
      </c>
      <c r="P393" s="1">
        <v>26830.2</v>
      </c>
      <c r="Q393" s="1">
        <v>3450.3</v>
      </c>
      <c r="R393" s="1">
        <v>1459</v>
      </c>
      <c r="S393" s="1">
        <v>4909.3</v>
      </c>
      <c r="T393" s="1">
        <v>25.54</v>
      </c>
      <c r="U393" s="1">
        <v>0.05</v>
      </c>
      <c r="V393" s="1">
        <v>1447.2</v>
      </c>
      <c r="W393" s="1">
        <v>4897.5</v>
      </c>
      <c r="X393" s="1">
        <v>600.04999999999995</v>
      </c>
      <c r="Y393" s="1">
        <v>240</v>
      </c>
      <c r="Z393" s="1">
        <v>31727.7</v>
      </c>
      <c r="AA393" s="1">
        <v>25.57</v>
      </c>
      <c r="AB393" s="1">
        <v>800</v>
      </c>
    </row>
    <row r="394" spans="1:28" x14ac:dyDescent="0.4">
      <c r="A394" s="1" t="s">
        <v>274</v>
      </c>
      <c r="B394" s="1">
        <v>800</v>
      </c>
      <c r="C394" s="1">
        <v>0.4</v>
      </c>
      <c r="D394" s="1">
        <v>0.5</v>
      </c>
      <c r="E394" s="1">
        <v>500</v>
      </c>
      <c r="F394" s="1">
        <v>1</v>
      </c>
      <c r="G394" s="1">
        <v>3</v>
      </c>
      <c r="H394" s="1" t="s">
        <v>583</v>
      </c>
      <c r="I394" s="1">
        <v>43861.8</v>
      </c>
      <c r="J394" s="1">
        <v>17522.599999999999</v>
      </c>
      <c r="K394" s="1">
        <v>26339.200000000001</v>
      </c>
      <c r="L394" s="1">
        <v>240</v>
      </c>
      <c r="M394" s="1">
        <v>600</v>
      </c>
      <c r="N394" s="1">
        <v>11006.3</v>
      </c>
      <c r="O394" s="1">
        <v>16284.4</v>
      </c>
      <c r="P394" s="1">
        <v>27290.7</v>
      </c>
      <c r="Q394" s="1">
        <v>3383</v>
      </c>
      <c r="R394" s="1">
        <v>1467.4</v>
      </c>
      <c r="S394" s="1">
        <v>4850.3999999999996</v>
      </c>
      <c r="T394" s="1">
        <v>26.72</v>
      </c>
      <c r="U394" s="1">
        <v>0.04</v>
      </c>
      <c r="V394" s="1">
        <v>1456.4</v>
      </c>
      <c r="W394" s="1">
        <v>4839.3999999999996</v>
      </c>
      <c r="X394" s="1">
        <v>600.04999999999995</v>
      </c>
      <c r="Y394" s="1">
        <v>240</v>
      </c>
      <c r="Z394" s="1">
        <v>32130.1</v>
      </c>
      <c r="AA394" s="1">
        <v>26.75</v>
      </c>
      <c r="AB394" s="1">
        <v>800</v>
      </c>
    </row>
    <row r="395" spans="1:28" x14ac:dyDescent="0.4">
      <c r="A395" s="1" t="s">
        <v>275</v>
      </c>
      <c r="B395" s="1">
        <v>800</v>
      </c>
      <c r="C395" s="1">
        <v>0.4</v>
      </c>
      <c r="D395" s="1">
        <v>0.5</v>
      </c>
      <c r="E395" s="1">
        <v>500</v>
      </c>
      <c r="F395" s="1">
        <v>1</v>
      </c>
      <c r="G395" s="1">
        <v>4</v>
      </c>
      <c r="H395" s="1" t="s">
        <v>583</v>
      </c>
      <c r="I395" s="1">
        <v>41801.800000000003</v>
      </c>
      <c r="J395" s="1">
        <v>16903</v>
      </c>
      <c r="K395" s="1">
        <v>24898.799999999999</v>
      </c>
      <c r="L395" s="1">
        <v>240</v>
      </c>
      <c r="M395" s="1">
        <v>600</v>
      </c>
      <c r="N395" s="1">
        <v>10829.3</v>
      </c>
      <c r="O395" s="1">
        <v>15812.4</v>
      </c>
      <c r="P395" s="1">
        <v>26641.7</v>
      </c>
      <c r="Q395" s="1">
        <v>3441.1</v>
      </c>
      <c r="R395" s="1">
        <v>1425.6</v>
      </c>
      <c r="S395" s="1">
        <v>4866.7</v>
      </c>
      <c r="T395" s="1">
        <v>24.62</v>
      </c>
      <c r="U395" s="1">
        <v>0.05</v>
      </c>
      <c r="V395" s="1">
        <v>1421.5</v>
      </c>
      <c r="W395" s="1">
        <v>4862.6000000000004</v>
      </c>
      <c r="X395" s="1">
        <v>600.04999999999995</v>
      </c>
      <c r="Y395" s="1">
        <v>240</v>
      </c>
      <c r="Z395" s="1">
        <v>31504.3</v>
      </c>
      <c r="AA395" s="1">
        <v>24.63</v>
      </c>
      <c r="AB395" s="1">
        <v>800</v>
      </c>
    </row>
    <row r="396" spans="1:28" x14ac:dyDescent="0.4">
      <c r="A396" s="1" t="s">
        <v>276</v>
      </c>
      <c r="B396" s="1">
        <v>800</v>
      </c>
      <c r="C396" s="1">
        <v>0.4</v>
      </c>
      <c r="D396" s="1">
        <v>0.5</v>
      </c>
      <c r="E396" s="1">
        <v>500</v>
      </c>
      <c r="F396" s="1">
        <v>1</v>
      </c>
      <c r="G396" s="1">
        <v>5</v>
      </c>
      <c r="H396" s="1" t="s">
        <v>583</v>
      </c>
      <c r="I396" s="1">
        <v>42102.1</v>
      </c>
      <c r="J396" s="1">
        <v>17936.900000000001</v>
      </c>
      <c r="K396" s="1">
        <v>24165.200000000001</v>
      </c>
      <c r="L396" s="1">
        <v>240</v>
      </c>
      <c r="M396" s="1">
        <v>600</v>
      </c>
      <c r="N396" s="1">
        <v>10832.8</v>
      </c>
      <c r="O396" s="1">
        <v>15658.7</v>
      </c>
      <c r="P396" s="1">
        <v>26491.5</v>
      </c>
      <c r="Q396" s="1">
        <v>3533.9</v>
      </c>
      <c r="R396" s="1">
        <v>1431.5</v>
      </c>
      <c r="S396" s="1">
        <v>4965.3999999999996</v>
      </c>
      <c r="T396" s="1">
        <v>25.28</v>
      </c>
      <c r="U396" s="1">
        <v>0.04</v>
      </c>
      <c r="V396" s="1">
        <v>1404</v>
      </c>
      <c r="W396" s="1">
        <v>4937.8999999999996</v>
      </c>
      <c r="X396" s="1">
        <v>600.04</v>
      </c>
      <c r="Y396" s="1">
        <v>240</v>
      </c>
      <c r="Z396" s="1">
        <v>31429.4</v>
      </c>
      <c r="AA396" s="1">
        <v>25.35</v>
      </c>
      <c r="AB396" s="1">
        <v>800</v>
      </c>
    </row>
    <row r="397" spans="1:28" x14ac:dyDescent="0.4">
      <c r="A397" s="1" t="s">
        <v>277</v>
      </c>
      <c r="B397" s="1">
        <v>800</v>
      </c>
      <c r="C397" s="1">
        <v>0.4</v>
      </c>
      <c r="D397" s="1">
        <v>0.5</v>
      </c>
      <c r="E397" s="1">
        <v>500</v>
      </c>
      <c r="F397" s="1">
        <v>2</v>
      </c>
      <c r="G397" s="1">
        <v>1</v>
      </c>
      <c r="H397" s="1" t="s">
        <v>583</v>
      </c>
      <c r="I397" s="1">
        <v>62386</v>
      </c>
      <c r="J397" s="1">
        <v>25311.5</v>
      </c>
      <c r="K397" s="1">
        <v>37074.5</v>
      </c>
      <c r="L397" s="1">
        <v>240</v>
      </c>
      <c r="M397" s="1">
        <v>600</v>
      </c>
      <c r="N397" s="1">
        <v>16672.599999999999</v>
      </c>
      <c r="O397" s="1">
        <v>24612.400000000001</v>
      </c>
      <c r="P397" s="1">
        <v>41285</v>
      </c>
      <c r="Q397" s="1">
        <v>3397.5</v>
      </c>
      <c r="R397" s="1">
        <v>1341.3</v>
      </c>
      <c r="S397" s="1">
        <v>4738.8</v>
      </c>
      <c r="T397" s="1">
        <v>26.23</v>
      </c>
      <c r="U397" s="1">
        <v>0.03</v>
      </c>
      <c r="V397" s="1">
        <v>1338.5</v>
      </c>
      <c r="W397" s="1">
        <v>4736</v>
      </c>
      <c r="X397" s="1">
        <v>600.03</v>
      </c>
      <c r="Y397" s="1">
        <v>240</v>
      </c>
      <c r="Z397" s="1">
        <v>46021</v>
      </c>
      <c r="AA397" s="1">
        <v>26.23</v>
      </c>
      <c r="AB397" s="1">
        <v>800</v>
      </c>
    </row>
    <row r="398" spans="1:28" x14ac:dyDescent="0.4">
      <c r="A398" s="1" t="s">
        <v>278</v>
      </c>
      <c r="B398" s="1">
        <v>800</v>
      </c>
      <c r="C398" s="1">
        <v>0.4</v>
      </c>
      <c r="D398" s="1">
        <v>0.5</v>
      </c>
      <c r="E398" s="1">
        <v>500</v>
      </c>
      <c r="F398" s="1">
        <v>2</v>
      </c>
      <c r="G398" s="1">
        <v>2</v>
      </c>
      <c r="H398" s="1" t="s">
        <v>583</v>
      </c>
      <c r="I398" s="1">
        <v>62963.7</v>
      </c>
      <c r="J398" s="1">
        <v>25003.3</v>
      </c>
      <c r="K398" s="1">
        <v>37960.400000000001</v>
      </c>
      <c r="L398" s="1">
        <v>240</v>
      </c>
      <c r="M398" s="1">
        <v>600</v>
      </c>
      <c r="N398" s="1">
        <v>16346.9</v>
      </c>
      <c r="O398" s="1">
        <v>24479.200000000001</v>
      </c>
      <c r="P398" s="1">
        <v>40826.1</v>
      </c>
      <c r="Q398" s="1">
        <v>3571.4</v>
      </c>
      <c r="R398" s="1">
        <v>1644.9</v>
      </c>
      <c r="S398" s="1">
        <v>5216.3</v>
      </c>
      <c r="T398" s="1">
        <v>26.87</v>
      </c>
      <c r="U398" s="1">
        <v>0.05</v>
      </c>
      <c r="V398" s="1">
        <v>1622.6</v>
      </c>
      <c r="W398" s="1">
        <v>5194</v>
      </c>
      <c r="X398" s="1">
        <v>600.05999999999995</v>
      </c>
      <c r="Y398" s="1">
        <v>240</v>
      </c>
      <c r="Z398" s="1">
        <v>46020.1</v>
      </c>
      <c r="AA398" s="1">
        <v>26.91</v>
      </c>
      <c r="AB398" s="1">
        <v>800</v>
      </c>
    </row>
    <row r="399" spans="1:28" x14ac:dyDescent="0.4">
      <c r="A399" s="1" t="s">
        <v>279</v>
      </c>
      <c r="B399" s="1">
        <v>800</v>
      </c>
      <c r="C399" s="1">
        <v>0.4</v>
      </c>
      <c r="D399" s="1">
        <v>0.5</v>
      </c>
      <c r="E399" s="1">
        <v>500</v>
      </c>
      <c r="F399" s="1">
        <v>2</v>
      </c>
      <c r="G399" s="1">
        <v>3</v>
      </c>
      <c r="H399" s="1" t="s">
        <v>583</v>
      </c>
      <c r="I399" s="1">
        <v>63392.6</v>
      </c>
      <c r="J399" s="1">
        <v>24930.6</v>
      </c>
      <c r="K399" s="1">
        <v>38462</v>
      </c>
      <c r="L399" s="1">
        <v>240</v>
      </c>
      <c r="M399" s="1">
        <v>600.01</v>
      </c>
      <c r="N399" s="1">
        <v>17097.400000000001</v>
      </c>
      <c r="O399" s="1">
        <v>25201.1</v>
      </c>
      <c r="P399" s="1">
        <v>42298.5</v>
      </c>
      <c r="Q399" s="1">
        <v>3554.6</v>
      </c>
      <c r="R399" s="1">
        <v>1413.5</v>
      </c>
      <c r="S399" s="1">
        <v>4968.1000000000004</v>
      </c>
      <c r="T399" s="1">
        <v>25.44</v>
      </c>
      <c r="U399" s="1">
        <v>0.05</v>
      </c>
      <c r="V399" s="1">
        <v>1396.8</v>
      </c>
      <c r="W399" s="1">
        <v>4951.3999999999996</v>
      </c>
      <c r="X399" s="1">
        <v>600.05999999999995</v>
      </c>
      <c r="Y399" s="1">
        <v>240</v>
      </c>
      <c r="Z399" s="1">
        <v>47249.9</v>
      </c>
      <c r="AA399" s="1">
        <v>25.46</v>
      </c>
      <c r="AB399" s="1">
        <v>800</v>
      </c>
    </row>
    <row r="400" spans="1:28" x14ac:dyDescent="0.4">
      <c r="A400" s="1" t="s">
        <v>280</v>
      </c>
      <c r="B400" s="1">
        <v>800</v>
      </c>
      <c r="C400" s="1">
        <v>0.4</v>
      </c>
      <c r="D400" s="1">
        <v>0.5</v>
      </c>
      <c r="E400" s="1">
        <v>500</v>
      </c>
      <c r="F400" s="1">
        <v>2</v>
      </c>
      <c r="G400" s="1">
        <v>4</v>
      </c>
      <c r="H400" s="1" t="s">
        <v>583</v>
      </c>
      <c r="I400" s="1">
        <v>62566.6</v>
      </c>
      <c r="J400" s="1">
        <v>25917.8</v>
      </c>
      <c r="K400" s="1">
        <v>36648.800000000003</v>
      </c>
      <c r="L400" s="1">
        <v>240</v>
      </c>
      <c r="M400" s="1">
        <v>600</v>
      </c>
      <c r="N400" s="1">
        <v>17065.900000000001</v>
      </c>
      <c r="O400" s="1">
        <v>23732.2</v>
      </c>
      <c r="P400" s="1">
        <v>40798.1</v>
      </c>
      <c r="Q400" s="1">
        <v>3415</v>
      </c>
      <c r="R400" s="1">
        <v>1404.7</v>
      </c>
      <c r="S400" s="1">
        <v>4819.7</v>
      </c>
      <c r="T400" s="1">
        <v>27.09</v>
      </c>
      <c r="U400" s="1">
        <v>0.05</v>
      </c>
      <c r="V400" s="1">
        <v>1377.1</v>
      </c>
      <c r="W400" s="1">
        <v>4792.1000000000004</v>
      </c>
      <c r="X400" s="1">
        <v>600.04999999999995</v>
      </c>
      <c r="Y400" s="1">
        <v>240</v>
      </c>
      <c r="Z400" s="1">
        <v>45590.2</v>
      </c>
      <c r="AA400" s="1">
        <v>27.13</v>
      </c>
      <c r="AB400" s="1">
        <v>800</v>
      </c>
    </row>
    <row r="401" spans="1:28" x14ac:dyDescent="0.4">
      <c r="A401" s="1" t="s">
        <v>281</v>
      </c>
      <c r="B401" s="1">
        <v>800</v>
      </c>
      <c r="C401" s="1">
        <v>0.4</v>
      </c>
      <c r="D401" s="1">
        <v>0.5</v>
      </c>
      <c r="E401" s="1">
        <v>500</v>
      </c>
      <c r="F401" s="1">
        <v>2</v>
      </c>
      <c r="G401" s="1">
        <v>5</v>
      </c>
      <c r="H401" s="1" t="s">
        <v>583</v>
      </c>
      <c r="I401" s="1">
        <v>60912.1</v>
      </c>
      <c r="J401" s="1">
        <v>25149.8</v>
      </c>
      <c r="K401" s="1">
        <v>35762.300000000003</v>
      </c>
      <c r="L401" s="1">
        <v>240</v>
      </c>
      <c r="M401" s="1">
        <v>600</v>
      </c>
      <c r="N401" s="1">
        <v>16498.599999999999</v>
      </c>
      <c r="O401" s="1">
        <v>22739.8</v>
      </c>
      <c r="P401" s="1">
        <v>39238.400000000001</v>
      </c>
      <c r="Q401" s="1">
        <v>3481.3</v>
      </c>
      <c r="R401" s="1">
        <v>1298</v>
      </c>
      <c r="S401" s="1">
        <v>4779.3</v>
      </c>
      <c r="T401" s="1">
        <v>27.74</v>
      </c>
      <c r="U401" s="1">
        <v>0.04</v>
      </c>
      <c r="V401" s="1">
        <v>1280</v>
      </c>
      <c r="W401" s="1">
        <v>4761.3</v>
      </c>
      <c r="X401" s="1">
        <v>600.04</v>
      </c>
      <c r="Y401" s="1">
        <v>240</v>
      </c>
      <c r="Z401" s="1">
        <v>43999.7</v>
      </c>
      <c r="AA401" s="1">
        <v>27.77</v>
      </c>
      <c r="AB401" s="1">
        <v>800</v>
      </c>
    </row>
    <row r="402" spans="1:28" x14ac:dyDescent="0.4">
      <c r="A402" s="1" t="s">
        <v>282</v>
      </c>
      <c r="B402" s="1">
        <v>800</v>
      </c>
      <c r="C402" s="1">
        <v>0.4</v>
      </c>
      <c r="D402" s="1">
        <v>0.5</v>
      </c>
      <c r="E402" s="1">
        <v>500</v>
      </c>
      <c r="F402" s="1">
        <v>3</v>
      </c>
      <c r="G402" s="1">
        <v>1</v>
      </c>
      <c r="H402" s="1" t="s">
        <v>583</v>
      </c>
      <c r="I402" s="1">
        <v>78190.600000000006</v>
      </c>
      <c r="J402" s="1">
        <v>31020.5</v>
      </c>
      <c r="K402" s="1">
        <v>47170.1</v>
      </c>
      <c r="L402" s="1">
        <v>240</v>
      </c>
      <c r="M402" s="1">
        <v>600</v>
      </c>
      <c r="N402" s="1">
        <v>20483.400000000001</v>
      </c>
      <c r="O402" s="1">
        <v>31140.7</v>
      </c>
      <c r="P402" s="1">
        <v>51624.1</v>
      </c>
      <c r="Q402" s="1">
        <v>3478.7</v>
      </c>
      <c r="R402" s="1">
        <v>1279.5999999999999</v>
      </c>
      <c r="S402" s="1">
        <v>4758.3</v>
      </c>
      <c r="T402" s="1">
        <v>27.89</v>
      </c>
      <c r="U402" s="1">
        <v>0.06</v>
      </c>
      <c r="V402" s="1">
        <v>1272.7</v>
      </c>
      <c r="W402" s="1">
        <v>4751.3999999999996</v>
      </c>
      <c r="X402" s="1">
        <v>600.05999999999995</v>
      </c>
      <c r="Y402" s="1">
        <v>240</v>
      </c>
      <c r="Z402" s="1">
        <v>56375.5</v>
      </c>
      <c r="AA402" s="1">
        <v>27.9</v>
      </c>
      <c r="AB402" s="1">
        <v>800</v>
      </c>
    </row>
    <row r="403" spans="1:28" x14ac:dyDescent="0.4">
      <c r="A403" s="1" t="s">
        <v>283</v>
      </c>
      <c r="B403" s="1">
        <v>800</v>
      </c>
      <c r="C403" s="1">
        <v>0.4</v>
      </c>
      <c r="D403" s="1">
        <v>0.5</v>
      </c>
      <c r="E403" s="1">
        <v>500</v>
      </c>
      <c r="F403" s="1">
        <v>3</v>
      </c>
      <c r="G403" s="1">
        <v>2</v>
      </c>
      <c r="H403" s="1" t="s">
        <v>583</v>
      </c>
      <c r="I403" s="1">
        <v>78179.5</v>
      </c>
      <c r="J403" s="1">
        <v>31302.5</v>
      </c>
      <c r="K403" s="1">
        <v>46877</v>
      </c>
      <c r="L403" s="1">
        <v>240</v>
      </c>
      <c r="M403" s="1">
        <v>600</v>
      </c>
      <c r="N403" s="1">
        <v>20840.7</v>
      </c>
      <c r="O403" s="1">
        <v>30853.1</v>
      </c>
      <c r="P403" s="1">
        <v>51693.8</v>
      </c>
      <c r="Q403" s="1">
        <v>3365.6</v>
      </c>
      <c r="R403" s="1">
        <v>1244.4000000000001</v>
      </c>
      <c r="S403" s="1">
        <v>4610</v>
      </c>
      <c r="T403" s="1">
        <v>27.98</v>
      </c>
      <c r="U403" s="1">
        <v>0.06</v>
      </c>
      <c r="V403" s="1">
        <v>1223.5999999999999</v>
      </c>
      <c r="W403" s="1">
        <v>4589.2</v>
      </c>
      <c r="X403" s="1">
        <v>600.05999999999995</v>
      </c>
      <c r="Y403" s="1">
        <v>240</v>
      </c>
      <c r="Z403" s="1">
        <v>56283</v>
      </c>
      <c r="AA403" s="1">
        <v>28.01</v>
      </c>
      <c r="AB403" s="1">
        <v>800</v>
      </c>
    </row>
    <row r="404" spans="1:28" x14ac:dyDescent="0.4">
      <c r="A404" s="1" t="s">
        <v>284</v>
      </c>
      <c r="B404" s="1">
        <v>800</v>
      </c>
      <c r="C404" s="1">
        <v>0.4</v>
      </c>
      <c r="D404" s="1">
        <v>0.5</v>
      </c>
      <c r="E404" s="1">
        <v>500</v>
      </c>
      <c r="F404" s="1">
        <v>3</v>
      </c>
      <c r="G404" s="1">
        <v>3</v>
      </c>
      <c r="H404" s="1" t="s">
        <v>583</v>
      </c>
      <c r="I404" s="1">
        <v>78884.100000000006</v>
      </c>
      <c r="J404" s="1">
        <v>31125.200000000001</v>
      </c>
      <c r="K404" s="1">
        <v>47758.9</v>
      </c>
      <c r="L404" s="1">
        <v>240</v>
      </c>
      <c r="M404" s="1">
        <v>600</v>
      </c>
      <c r="N404" s="1">
        <v>20959</v>
      </c>
      <c r="O404" s="1">
        <v>30687.1</v>
      </c>
      <c r="P404" s="1">
        <v>51646.1</v>
      </c>
      <c r="Q404" s="1">
        <v>3364.5</v>
      </c>
      <c r="R404" s="1">
        <v>1429.2</v>
      </c>
      <c r="S404" s="1">
        <v>4793.7</v>
      </c>
      <c r="T404" s="1">
        <v>28.45</v>
      </c>
      <c r="U404" s="1">
        <v>0.05</v>
      </c>
      <c r="V404" s="1">
        <v>1404.2</v>
      </c>
      <c r="W404" s="1">
        <v>4768.7</v>
      </c>
      <c r="X404" s="1">
        <v>600.05999999999995</v>
      </c>
      <c r="Y404" s="1">
        <v>240</v>
      </c>
      <c r="Z404" s="1">
        <v>56414.8</v>
      </c>
      <c r="AA404" s="1">
        <v>28.48</v>
      </c>
      <c r="AB404" s="1">
        <v>800</v>
      </c>
    </row>
    <row r="405" spans="1:28" x14ac:dyDescent="0.4">
      <c r="A405" s="1" t="s">
        <v>285</v>
      </c>
      <c r="B405" s="1">
        <v>800</v>
      </c>
      <c r="C405" s="1">
        <v>0.4</v>
      </c>
      <c r="D405" s="1">
        <v>0.5</v>
      </c>
      <c r="E405" s="1">
        <v>500</v>
      </c>
      <c r="F405" s="1">
        <v>3</v>
      </c>
      <c r="G405" s="1">
        <v>4</v>
      </c>
      <c r="H405" s="1" t="s">
        <v>583</v>
      </c>
      <c r="I405" s="1">
        <v>79111</v>
      </c>
      <c r="J405" s="1">
        <v>30679.1</v>
      </c>
      <c r="K405" s="1">
        <v>48431.9</v>
      </c>
      <c r="L405" s="1">
        <v>240</v>
      </c>
      <c r="M405" s="1">
        <v>600.01</v>
      </c>
      <c r="N405" s="1">
        <v>20151.599999999999</v>
      </c>
      <c r="O405" s="1">
        <v>32078.1</v>
      </c>
      <c r="P405" s="1">
        <v>52229.7</v>
      </c>
      <c r="Q405" s="1">
        <v>3472.9</v>
      </c>
      <c r="R405" s="1">
        <v>1092.7</v>
      </c>
      <c r="S405" s="1">
        <v>4565.6000000000004</v>
      </c>
      <c r="T405" s="1">
        <v>28.21</v>
      </c>
      <c r="U405" s="1">
        <v>0.05</v>
      </c>
      <c r="V405" s="1">
        <v>1055.5999999999999</v>
      </c>
      <c r="W405" s="1">
        <v>4528.5</v>
      </c>
      <c r="X405" s="1">
        <v>600.05999999999995</v>
      </c>
      <c r="Y405" s="1">
        <v>240</v>
      </c>
      <c r="Z405" s="1">
        <v>56758.2</v>
      </c>
      <c r="AA405" s="1">
        <v>28.25</v>
      </c>
      <c r="AB405" s="1">
        <v>800</v>
      </c>
    </row>
    <row r="406" spans="1:28" x14ac:dyDescent="0.4">
      <c r="A406" s="1" t="s">
        <v>286</v>
      </c>
      <c r="B406" s="1">
        <v>800</v>
      </c>
      <c r="C406" s="1">
        <v>0.4</v>
      </c>
      <c r="D406" s="1">
        <v>0.5</v>
      </c>
      <c r="E406" s="1">
        <v>500</v>
      </c>
      <c r="F406" s="1">
        <v>3</v>
      </c>
      <c r="G406" s="1">
        <v>5</v>
      </c>
      <c r="H406" s="1" t="s">
        <v>583</v>
      </c>
      <c r="I406" s="1">
        <v>75341</v>
      </c>
      <c r="J406" s="1">
        <v>31353.200000000001</v>
      </c>
      <c r="K406" s="1">
        <v>43987.8</v>
      </c>
      <c r="L406" s="1">
        <v>240</v>
      </c>
      <c r="M406" s="1">
        <v>600.01</v>
      </c>
      <c r="N406" s="1">
        <v>20356.5</v>
      </c>
      <c r="O406" s="1">
        <v>28326.400000000001</v>
      </c>
      <c r="P406" s="1">
        <v>48682.9</v>
      </c>
      <c r="Q406" s="1">
        <v>3476.2</v>
      </c>
      <c r="R406" s="1">
        <v>1372</v>
      </c>
      <c r="S406" s="1">
        <v>4848.2</v>
      </c>
      <c r="T406" s="1">
        <v>28.95</v>
      </c>
      <c r="U406" s="1">
        <v>0.04</v>
      </c>
      <c r="V406" s="1">
        <v>1355.5</v>
      </c>
      <c r="W406" s="1">
        <v>4831.7</v>
      </c>
      <c r="X406" s="1">
        <v>600.04999999999995</v>
      </c>
      <c r="Y406" s="1">
        <v>240</v>
      </c>
      <c r="Z406" s="1">
        <v>53514.6</v>
      </c>
      <c r="AA406" s="1">
        <v>28.97</v>
      </c>
      <c r="AB406" s="1">
        <v>800</v>
      </c>
    </row>
    <row r="407" spans="1:28" x14ac:dyDescent="0.4">
      <c r="A407" s="1" t="s">
        <v>105</v>
      </c>
      <c r="B407" s="1">
        <v>8000</v>
      </c>
      <c r="C407" s="1">
        <v>0.2</v>
      </c>
      <c r="D407" s="1">
        <v>0.5</v>
      </c>
      <c r="E407" s="1">
        <v>1000</v>
      </c>
      <c r="F407" s="1">
        <v>1</v>
      </c>
      <c r="G407" s="1">
        <v>1</v>
      </c>
      <c r="H407" s="1" t="s">
        <v>583</v>
      </c>
      <c r="I407" s="1">
        <v>284028.3</v>
      </c>
      <c r="J407" s="1">
        <v>113604.7</v>
      </c>
      <c r="K407" s="1">
        <v>170423.6</v>
      </c>
      <c r="L407" s="1">
        <v>2400</v>
      </c>
      <c r="M407" s="1">
        <v>600</v>
      </c>
      <c r="N407" s="1">
        <v>53583.7</v>
      </c>
      <c r="O407" s="1">
        <v>80602.3</v>
      </c>
      <c r="P407" s="1">
        <v>134186</v>
      </c>
      <c r="Q407" s="1">
        <v>87481.7</v>
      </c>
      <c r="R407" s="1">
        <v>11168.9</v>
      </c>
      <c r="S407" s="1">
        <v>98650.6</v>
      </c>
      <c r="T407" s="1">
        <v>18.02</v>
      </c>
      <c r="U407" s="1">
        <v>0.3</v>
      </c>
      <c r="V407" s="1">
        <v>10287.299999999999</v>
      </c>
      <c r="W407" s="1">
        <v>97769</v>
      </c>
      <c r="X407" s="1">
        <v>600.29999999999995</v>
      </c>
      <c r="Y407" s="1">
        <v>2400</v>
      </c>
      <c r="Z407" s="1">
        <v>231955</v>
      </c>
      <c r="AA407" s="1">
        <v>18.329999999999998</v>
      </c>
      <c r="AB407" s="1">
        <v>8000</v>
      </c>
    </row>
    <row r="408" spans="1:28" x14ac:dyDescent="0.4">
      <c r="A408" s="1" t="s">
        <v>106</v>
      </c>
      <c r="B408" s="1">
        <v>8000</v>
      </c>
      <c r="C408" s="1">
        <v>0.2</v>
      </c>
      <c r="D408" s="1">
        <v>0.5</v>
      </c>
      <c r="E408" s="1">
        <v>1000</v>
      </c>
      <c r="F408" s="1">
        <v>1</v>
      </c>
      <c r="G408" s="1">
        <v>2</v>
      </c>
      <c r="H408" s="1" t="s">
        <v>583</v>
      </c>
      <c r="I408" s="1">
        <v>287896</v>
      </c>
      <c r="J408" s="1">
        <v>114328.4</v>
      </c>
      <c r="K408" s="1">
        <v>173567.6</v>
      </c>
      <c r="L408" s="1">
        <v>2400</v>
      </c>
      <c r="M408" s="1">
        <v>600.01</v>
      </c>
      <c r="N408" s="1">
        <v>54832.4</v>
      </c>
      <c r="O408" s="1">
        <v>84241.1</v>
      </c>
      <c r="P408" s="1">
        <v>139073.5</v>
      </c>
      <c r="Q408" s="1">
        <v>84248.5</v>
      </c>
      <c r="R408" s="1">
        <v>11863.6</v>
      </c>
      <c r="S408" s="1">
        <v>96112.1</v>
      </c>
      <c r="T408" s="1">
        <v>18.309999999999999</v>
      </c>
      <c r="U408" s="1">
        <v>0.44</v>
      </c>
      <c r="V408" s="1">
        <v>10902.2</v>
      </c>
      <c r="W408" s="1">
        <v>95150.7</v>
      </c>
      <c r="X408" s="1">
        <v>600.44000000000005</v>
      </c>
      <c r="Y408" s="1">
        <v>2400</v>
      </c>
      <c r="Z408" s="1">
        <v>234224.2</v>
      </c>
      <c r="AA408" s="1">
        <v>18.64</v>
      </c>
      <c r="AB408" s="1">
        <v>8000</v>
      </c>
    </row>
    <row r="409" spans="1:28" x14ac:dyDescent="0.4">
      <c r="A409" s="1" t="s">
        <v>107</v>
      </c>
      <c r="B409" s="1">
        <v>8000</v>
      </c>
      <c r="C409" s="1">
        <v>0.2</v>
      </c>
      <c r="D409" s="1">
        <v>0.5</v>
      </c>
      <c r="E409" s="1">
        <v>1000</v>
      </c>
      <c r="F409" s="1">
        <v>1</v>
      </c>
      <c r="G409" s="1">
        <v>3</v>
      </c>
      <c r="H409" s="1" t="s">
        <v>583</v>
      </c>
      <c r="I409" s="1">
        <v>300995</v>
      </c>
      <c r="J409" s="1">
        <v>115406.7</v>
      </c>
      <c r="K409" s="1">
        <v>185588.3</v>
      </c>
      <c r="L409" s="1">
        <v>2400</v>
      </c>
      <c r="M409" s="1">
        <v>600.01</v>
      </c>
      <c r="N409" s="1">
        <v>57183.9</v>
      </c>
      <c r="O409" s="1">
        <v>89007.7</v>
      </c>
      <c r="P409" s="1">
        <v>146191.6</v>
      </c>
      <c r="Q409" s="1">
        <v>83471.899999999994</v>
      </c>
      <c r="R409" s="1">
        <v>11366.8</v>
      </c>
      <c r="S409" s="1">
        <v>94838.7</v>
      </c>
      <c r="T409" s="1">
        <v>19.920000000000002</v>
      </c>
      <c r="U409" s="1">
        <v>0.39</v>
      </c>
      <c r="V409" s="1">
        <v>10291.299999999999</v>
      </c>
      <c r="W409" s="1">
        <v>93763.199999999997</v>
      </c>
      <c r="X409" s="1">
        <v>600.4</v>
      </c>
      <c r="Y409" s="1">
        <v>2399</v>
      </c>
      <c r="Z409" s="1">
        <v>239954.8</v>
      </c>
      <c r="AA409" s="1">
        <v>20.28</v>
      </c>
      <c r="AB409" s="1">
        <v>8000</v>
      </c>
    </row>
    <row r="410" spans="1:28" x14ac:dyDescent="0.4">
      <c r="A410" s="1" t="s">
        <v>108</v>
      </c>
      <c r="B410" s="1">
        <v>8000</v>
      </c>
      <c r="C410" s="1">
        <v>0.2</v>
      </c>
      <c r="D410" s="1">
        <v>0.5</v>
      </c>
      <c r="E410" s="1">
        <v>1000</v>
      </c>
      <c r="F410" s="1">
        <v>1</v>
      </c>
      <c r="G410" s="1">
        <v>4</v>
      </c>
      <c r="H410" s="1" t="s">
        <v>583</v>
      </c>
      <c r="I410" s="1">
        <v>281856.2</v>
      </c>
      <c r="J410" s="1">
        <v>115121.2</v>
      </c>
      <c r="K410" s="1">
        <v>166735</v>
      </c>
      <c r="L410" s="1">
        <v>2400</v>
      </c>
      <c r="M410" s="1">
        <v>600.02</v>
      </c>
      <c r="N410" s="1">
        <v>53693.1</v>
      </c>
      <c r="O410" s="1">
        <v>79778.600000000006</v>
      </c>
      <c r="P410" s="1">
        <v>133471.70000000001</v>
      </c>
      <c r="Q410" s="1">
        <v>87317.7</v>
      </c>
      <c r="R410" s="1">
        <v>11756.9</v>
      </c>
      <c r="S410" s="1">
        <v>99074.6</v>
      </c>
      <c r="T410" s="1">
        <v>17.489999999999998</v>
      </c>
      <c r="U410" s="1">
        <v>0.48</v>
      </c>
      <c r="V410" s="1">
        <v>10830.4</v>
      </c>
      <c r="W410" s="1">
        <v>98148.1</v>
      </c>
      <c r="X410" s="1">
        <v>600.5</v>
      </c>
      <c r="Y410" s="1">
        <v>2400</v>
      </c>
      <c r="Z410" s="1">
        <v>231619.8</v>
      </c>
      <c r="AA410" s="1">
        <v>17.82</v>
      </c>
      <c r="AB410" s="1">
        <v>8000</v>
      </c>
    </row>
    <row r="411" spans="1:28" x14ac:dyDescent="0.4">
      <c r="A411" s="1" t="s">
        <v>109</v>
      </c>
      <c r="B411" s="1">
        <v>8000</v>
      </c>
      <c r="C411" s="1">
        <v>0.2</v>
      </c>
      <c r="D411" s="1">
        <v>0.5</v>
      </c>
      <c r="E411" s="1">
        <v>1000</v>
      </c>
      <c r="F411" s="1">
        <v>1</v>
      </c>
      <c r="G411" s="1">
        <v>5</v>
      </c>
      <c r="H411" s="1" t="s">
        <v>583</v>
      </c>
      <c r="I411" s="1">
        <v>290451.90000000002</v>
      </c>
      <c r="J411" s="1">
        <v>115475.8</v>
      </c>
      <c r="K411" s="1">
        <v>174976.1</v>
      </c>
      <c r="L411" s="1">
        <v>2400</v>
      </c>
      <c r="M411" s="1">
        <v>600</v>
      </c>
      <c r="N411" s="1">
        <v>55461.4</v>
      </c>
      <c r="O411" s="1">
        <v>84809.3</v>
      </c>
      <c r="P411" s="1">
        <v>140270.70000000001</v>
      </c>
      <c r="Q411" s="1">
        <v>86015.5</v>
      </c>
      <c r="R411" s="1">
        <v>11137.2</v>
      </c>
      <c r="S411" s="1">
        <v>97152.7</v>
      </c>
      <c r="T411" s="1">
        <v>18.260000000000002</v>
      </c>
      <c r="U411" s="1">
        <v>0.33</v>
      </c>
      <c r="V411" s="1">
        <v>10064.1</v>
      </c>
      <c r="W411" s="1">
        <v>96079.6</v>
      </c>
      <c r="X411" s="1">
        <v>600.33000000000004</v>
      </c>
      <c r="Y411" s="1">
        <v>2400</v>
      </c>
      <c r="Z411" s="1">
        <v>236350.3</v>
      </c>
      <c r="AA411" s="1">
        <v>18.63</v>
      </c>
      <c r="AB411" s="1">
        <v>8000</v>
      </c>
    </row>
    <row r="412" spans="1:28" x14ac:dyDescent="0.4">
      <c r="A412" s="1" t="s">
        <v>110</v>
      </c>
      <c r="B412" s="1">
        <v>8000</v>
      </c>
      <c r="C412" s="1">
        <v>0.2</v>
      </c>
      <c r="D412" s="1">
        <v>0.5</v>
      </c>
      <c r="E412" s="1">
        <v>1000</v>
      </c>
      <c r="F412" s="1">
        <v>2</v>
      </c>
      <c r="G412" s="1">
        <v>1</v>
      </c>
      <c r="H412" s="1" t="s">
        <v>583</v>
      </c>
      <c r="I412" s="1">
        <v>451665.2</v>
      </c>
      <c r="J412" s="1">
        <v>173512.3</v>
      </c>
      <c r="K412" s="1">
        <v>278152.90000000002</v>
      </c>
      <c r="L412" s="1">
        <v>2400</v>
      </c>
      <c r="M412" s="1">
        <v>600.01</v>
      </c>
      <c r="N412" s="1">
        <v>90146.3</v>
      </c>
      <c r="O412" s="1">
        <v>136718.79999999999</v>
      </c>
      <c r="P412" s="1">
        <v>226865.1</v>
      </c>
      <c r="Q412" s="1">
        <v>88092.9</v>
      </c>
      <c r="R412" s="1">
        <v>14952.7</v>
      </c>
      <c r="S412" s="1">
        <v>103045.6</v>
      </c>
      <c r="T412" s="1">
        <v>26.96</v>
      </c>
      <c r="U412" s="1">
        <v>0.65</v>
      </c>
      <c r="V412" s="1">
        <v>12893.8</v>
      </c>
      <c r="W412" s="1">
        <v>100986.7</v>
      </c>
      <c r="X412" s="1">
        <v>600.66</v>
      </c>
      <c r="Y412" s="1">
        <v>2400</v>
      </c>
      <c r="Z412" s="1">
        <v>327851.8</v>
      </c>
      <c r="AA412" s="1">
        <v>27.41</v>
      </c>
      <c r="AB412" s="1">
        <v>8000</v>
      </c>
    </row>
    <row r="413" spans="1:28" x14ac:dyDescent="0.4">
      <c r="A413" s="1" t="s">
        <v>111</v>
      </c>
      <c r="B413" s="1">
        <v>8000</v>
      </c>
      <c r="C413" s="1">
        <v>0.2</v>
      </c>
      <c r="D413" s="1">
        <v>0.5</v>
      </c>
      <c r="E413" s="1">
        <v>1000</v>
      </c>
      <c r="F413" s="1">
        <v>2</v>
      </c>
      <c r="G413" s="1">
        <v>2</v>
      </c>
      <c r="H413" s="1" t="s">
        <v>583</v>
      </c>
      <c r="I413" s="1">
        <v>440100.8</v>
      </c>
      <c r="J413" s="1">
        <v>164654.6</v>
      </c>
      <c r="K413" s="1">
        <v>275446.2</v>
      </c>
      <c r="L413" s="1">
        <v>2400</v>
      </c>
      <c r="M413" s="1">
        <v>600</v>
      </c>
      <c r="N413" s="1">
        <v>85760.6</v>
      </c>
      <c r="O413" s="1">
        <v>133874.9</v>
      </c>
      <c r="P413" s="1">
        <v>219635.5</v>
      </c>
      <c r="Q413" s="1">
        <v>87581.9</v>
      </c>
      <c r="R413" s="1">
        <v>14220.5</v>
      </c>
      <c r="S413" s="1">
        <v>101802.4</v>
      </c>
      <c r="T413" s="1">
        <v>26.96</v>
      </c>
      <c r="U413" s="1">
        <v>0.61</v>
      </c>
      <c r="V413" s="1">
        <v>12110.5</v>
      </c>
      <c r="W413" s="1">
        <v>99692.4</v>
      </c>
      <c r="X413" s="1">
        <v>600.61</v>
      </c>
      <c r="Y413" s="1">
        <v>2400</v>
      </c>
      <c r="Z413" s="1">
        <v>319327.90000000002</v>
      </c>
      <c r="AA413" s="1">
        <v>27.44</v>
      </c>
      <c r="AB413" s="1">
        <v>8000</v>
      </c>
    </row>
    <row r="414" spans="1:28" x14ac:dyDescent="0.4">
      <c r="A414" s="1" t="s">
        <v>112</v>
      </c>
      <c r="B414" s="1">
        <v>8000</v>
      </c>
      <c r="C414" s="1">
        <v>0.2</v>
      </c>
      <c r="D414" s="1">
        <v>0.5</v>
      </c>
      <c r="E414" s="1">
        <v>1000</v>
      </c>
      <c r="F414" s="1">
        <v>2</v>
      </c>
      <c r="G414" s="1">
        <v>3</v>
      </c>
      <c r="H414" s="1" t="s">
        <v>583</v>
      </c>
      <c r="I414" s="1">
        <v>437246.5</v>
      </c>
      <c r="J414" s="1">
        <v>162976.70000000001</v>
      </c>
      <c r="K414" s="1">
        <v>274269.8</v>
      </c>
      <c r="L414" s="1">
        <v>2400</v>
      </c>
      <c r="M414" s="1">
        <v>600.01</v>
      </c>
      <c r="N414" s="1">
        <v>84373.2</v>
      </c>
      <c r="O414" s="1">
        <v>137055.9</v>
      </c>
      <c r="P414" s="1">
        <v>221429.1</v>
      </c>
      <c r="Q414" s="1">
        <v>88815.6</v>
      </c>
      <c r="R414" s="1">
        <v>14546.9</v>
      </c>
      <c r="S414" s="1">
        <v>103362.5</v>
      </c>
      <c r="T414" s="1">
        <v>25.72</v>
      </c>
      <c r="U414" s="1">
        <v>0.5</v>
      </c>
      <c r="V414" s="1">
        <v>12485.6</v>
      </c>
      <c r="W414" s="1">
        <v>101301.2</v>
      </c>
      <c r="X414" s="1">
        <v>600.51</v>
      </c>
      <c r="Y414" s="1">
        <v>2400</v>
      </c>
      <c r="Z414" s="1">
        <v>322730.3</v>
      </c>
      <c r="AA414" s="1">
        <v>26.19</v>
      </c>
      <c r="AB414" s="1">
        <v>8000</v>
      </c>
    </row>
    <row r="415" spans="1:28" x14ac:dyDescent="0.4">
      <c r="A415" s="1" t="s">
        <v>113</v>
      </c>
      <c r="B415" s="1">
        <v>8000</v>
      </c>
      <c r="C415" s="1">
        <v>0.2</v>
      </c>
      <c r="D415" s="1">
        <v>0.5</v>
      </c>
      <c r="E415" s="1">
        <v>1000</v>
      </c>
      <c r="F415" s="1">
        <v>2</v>
      </c>
      <c r="G415" s="1">
        <v>4</v>
      </c>
      <c r="H415" s="1" t="s">
        <v>583</v>
      </c>
      <c r="I415" s="1">
        <v>456550.1</v>
      </c>
      <c r="J415" s="1">
        <v>164153.29999999999</v>
      </c>
      <c r="K415" s="1">
        <v>292396.79999999999</v>
      </c>
      <c r="L415" s="1">
        <v>2400</v>
      </c>
      <c r="M415" s="1">
        <v>600.04</v>
      </c>
      <c r="N415" s="1">
        <v>84145.7</v>
      </c>
      <c r="O415" s="1">
        <v>145340.4</v>
      </c>
      <c r="P415" s="1">
        <v>229486.1</v>
      </c>
      <c r="Q415" s="1">
        <v>88955.5</v>
      </c>
      <c r="R415" s="1">
        <v>15567</v>
      </c>
      <c r="S415" s="1">
        <v>104522.5</v>
      </c>
      <c r="T415" s="1">
        <v>26.84</v>
      </c>
      <c r="U415" s="1">
        <v>0.68</v>
      </c>
      <c r="V415" s="1">
        <v>13731.1</v>
      </c>
      <c r="W415" s="1">
        <v>102686.6</v>
      </c>
      <c r="X415" s="1">
        <v>600.72</v>
      </c>
      <c r="Y415" s="1">
        <v>2400</v>
      </c>
      <c r="Z415" s="1">
        <v>332172.7</v>
      </c>
      <c r="AA415" s="1">
        <v>27.24</v>
      </c>
      <c r="AB415" s="1">
        <v>8000</v>
      </c>
    </row>
    <row r="416" spans="1:28" x14ac:dyDescent="0.4">
      <c r="A416" s="1" t="s">
        <v>114</v>
      </c>
      <c r="B416" s="1">
        <v>8000</v>
      </c>
      <c r="C416" s="1">
        <v>0.2</v>
      </c>
      <c r="D416" s="1">
        <v>0.5</v>
      </c>
      <c r="E416" s="1">
        <v>1000</v>
      </c>
      <c r="F416" s="1">
        <v>2</v>
      </c>
      <c r="G416" s="1">
        <v>5</v>
      </c>
      <c r="H416" s="1" t="s">
        <v>583</v>
      </c>
      <c r="I416" s="1">
        <v>457523.20000000001</v>
      </c>
      <c r="J416" s="1">
        <v>176183.7</v>
      </c>
      <c r="K416" s="1">
        <v>281339.5</v>
      </c>
      <c r="L416" s="1">
        <v>2400</v>
      </c>
      <c r="M416" s="1">
        <v>600</v>
      </c>
      <c r="N416" s="1">
        <v>89025.7</v>
      </c>
      <c r="O416" s="1">
        <v>137977.4</v>
      </c>
      <c r="P416" s="1">
        <v>227003.1</v>
      </c>
      <c r="Q416" s="1">
        <v>89576.2</v>
      </c>
      <c r="R416" s="1">
        <v>16428.400000000001</v>
      </c>
      <c r="S416" s="1">
        <v>106004.6</v>
      </c>
      <c r="T416" s="1">
        <v>27.22</v>
      </c>
      <c r="U416" s="1">
        <v>0.38</v>
      </c>
      <c r="V416" s="1">
        <v>14074.8</v>
      </c>
      <c r="W416" s="1">
        <v>103651</v>
      </c>
      <c r="X416" s="1">
        <v>600.39</v>
      </c>
      <c r="Y416" s="1">
        <v>2400</v>
      </c>
      <c r="Z416" s="1">
        <v>330654.09999999998</v>
      </c>
      <c r="AA416" s="1">
        <v>27.73</v>
      </c>
      <c r="AB416" s="1">
        <v>8000</v>
      </c>
    </row>
    <row r="417" spans="1:28" x14ac:dyDescent="0.4">
      <c r="A417" s="1" t="s">
        <v>115</v>
      </c>
      <c r="B417" s="1">
        <v>8000</v>
      </c>
      <c r="C417" s="1">
        <v>0.2</v>
      </c>
      <c r="D417" s="1">
        <v>0.5</v>
      </c>
      <c r="E417" s="1">
        <v>1000</v>
      </c>
      <c r="F417" s="1">
        <v>3</v>
      </c>
      <c r="G417" s="1">
        <v>1</v>
      </c>
      <c r="H417" s="1" t="s">
        <v>583</v>
      </c>
      <c r="I417" s="1">
        <v>593161.5</v>
      </c>
      <c r="J417" s="1">
        <v>215760</v>
      </c>
      <c r="K417" s="1">
        <v>377401.5</v>
      </c>
      <c r="L417" s="1">
        <v>2400</v>
      </c>
      <c r="M417" s="1">
        <v>600.02</v>
      </c>
      <c r="N417" s="1">
        <v>116007</v>
      </c>
      <c r="O417" s="1">
        <v>202340.2</v>
      </c>
      <c r="P417" s="1">
        <v>318347.2</v>
      </c>
      <c r="Q417" s="1">
        <v>90072.2</v>
      </c>
      <c r="R417" s="1">
        <v>18020.400000000001</v>
      </c>
      <c r="S417" s="1">
        <v>108092.6</v>
      </c>
      <c r="T417" s="1">
        <v>28.11</v>
      </c>
      <c r="U417" s="1">
        <v>0.82</v>
      </c>
      <c r="V417" s="1">
        <v>15743.2</v>
      </c>
      <c r="W417" s="1">
        <v>105815.4</v>
      </c>
      <c r="X417" s="1">
        <v>600.84</v>
      </c>
      <c r="Y417" s="1">
        <v>2400</v>
      </c>
      <c r="Z417" s="1">
        <v>424162.6</v>
      </c>
      <c r="AA417" s="1">
        <v>28.49</v>
      </c>
      <c r="AB417" s="1">
        <v>8000</v>
      </c>
    </row>
    <row r="418" spans="1:28" x14ac:dyDescent="0.4">
      <c r="A418" s="1" t="s">
        <v>116</v>
      </c>
      <c r="B418" s="1">
        <v>8000</v>
      </c>
      <c r="C418" s="1">
        <v>0.2</v>
      </c>
      <c r="D418" s="1">
        <v>0.5</v>
      </c>
      <c r="E418" s="1">
        <v>1000</v>
      </c>
      <c r="F418" s="1">
        <v>3</v>
      </c>
      <c r="G418" s="1">
        <v>2</v>
      </c>
      <c r="H418" s="1" t="s">
        <v>583</v>
      </c>
      <c r="I418" s="1">
        <v>597665.69999999995</v>
      </c>
      <c r="J418" s="1">
        <v>223856.5</v>
      </c>
      <c r="K418" s="1">
        <v>373809.2</v>
      </c>
      <c r="L418" s="1">
        <v>2400</v>
      </c>
      <c r="M418" s="1">
        <v>600</v>
      </c>
      <c r="N418" s="1">
        <v>120927.5</v>
      </c>
      <c r="O418" s="1">
        <v>198355.8</v>
      </c>
      <c r="P418" s="1">
        <v>319283.3</v>
      </c>
      <c r="Q418" s="1">
        <v>90908.800000000003</v>
      </c>
      <c r="R418" s="1">
        <v>17903.400000000001</v>
      </c>
      <c r="S418" s="1">
        <v>108812.2</v>
      </c>
      <c r="T418" s="1">
        <v>28.37</v>
      </c>
      <c r="U418" s="1">
        <v>0.77</v>
      </c>
      <c r="V418" s="1">
        <v>15471.8</v>
      </c>
      <c r="W418" s="1">
        <v>106380.6</v>
      </c>
      <c r="X418" s="1">
        <v>600.77</v>
      </c>
      <c r="Y418" s="1">
        <v>2400</v>
      </c>
      <c r="Z418" s="1">
        <v>425663.9</v>
      </c>
      <c r="AA418" s="1">
        <v>28.78</v>
      </c>
      <c r="AB418" s="1">
        <v>8000</v>
      </c>
    </row>
    <row r="419" spans="1:28" x14ac:dyDescent="0.4">
      <c r="A419" s="1" t="s">
        <v>117</v>
      </c>
      <c r="B419" s="1">
        <v>8000</v>
      </c>
      <c r="C419" s="1">
        <v>0.2</v>
      </c>
      <c r="D419" s="1">
        <v>0.5</v>
      </c>
      <c r="E419" s="1">
        <v>1000</v>
      </c>
      <c r="F419" s="1">
        <v>3</v>
      </c>
      <c r="G419" s="1">
        <v>3</v>
      </c>
      <c r="H419" s="1" t="s">
        <v>583</v>
      </c>
      <c r="I419" s="1">
        <v>583722.1</v>
      </c>
      <c r="J419" s="1">
        <v>223799</v>
      </c>
      <c r="K419" s="1">
        <v>359923.1</v>
      </c>
      <c r="L419" s="1">
        <v>2400</v>
      </c>
      <c r="M419" s="1">
        <v>600.03</v>
      </c>
      <c r="N419" s="1">
        <v>118157.1</v>
      </c>
      <c r="O419" s="1">
        <v>187644.4</v>
      </c>
      <c r="P419" s="1">
        <v>305801.5</v>
      </c>
      <c r="Q419" s="1">
        <v>89794.4</v>
      </c>
      <c r="R419" s="1">
        <v>16735.3</v>
      </c>
      <c r="S419" s="1">
        <v>106529.7</v>
      </c>
      <c r="T419" s="1">
        <v>29.36</v>
      </c>
      <c r="U419" s="1">
        <v>0.64</v>
      </c>
      <c r="V419" s="1">
        <v>14339.4</v>
      </c>
      <c r="W419" s="1">
        <v>104133.8</v>
      </c>
      <c r="X419" s="1">
        <v>600.67999999999995</v>
      </c>
      <c r="Y419" s="1">
        <v>2400</v>
      </c>
      <c r="Z419" s="1">
        <v>409935.3</v>
      </c>
      <c r="AA419" s="1">
        <v>29.77</v>
      </c>
      <c r="AB419" s="1">
        <v>8000</v>
      </c>
    </row>
    <row r="420" spans="1:28" x14ac:dyDescent="0.4">
      <c r="A420" s="1" t="s">
        <v>118</v>
      </c>
      <c r="B420" s="1">
        <v>8000</v>
      </c>
      <c r="C420" s="1">
        <v>0.2</v>
      </c>
      <c r="D420" s="1">
        <v>0.5</v>
      </c>
      <c r="E420" s="1">
        <v>1000</v>
      </c>
      <c r="F420" s="1">
        <v>3</v>
      </c>
      <c r="G420" s="1">
        <v>4</v>
      </c>
      <c r="H420" s="1" t="s">
        <v>583</v>
      </c>
      <c r="I420" s="1">
        <v>587036.19999999995</v>
      </c>
      <c r="J420" s="1">
        <v>229321.60000000001</v>
      </c>
      <c r="K420" s="1">
        <v>357714.6</v>
      </c>
      <c r="L420" s="1">
        <v>2400</v>
      </c>
      <c r="M420" s="1">
        <v>600.02</v>
      </c>
      <c r="N420" s="1">
        <v>119533.2</v>
      </c>
      <c r="O420" s="1">
        <v>191451.6</v>
      </c>
      <c r="P420" s="1">
        <v>310984.8</v>
      </c>
      <c r="Q420" s="1">
        <v>88172.7</v>
      </c>
      <c r="R420" s="1">
        <v>17207.7</v>
      </c>
      <c r="S420" s="1">
        <v>105380.4</v>
      </c>
      <c r="T420" s="1">
        <v>29.07</v>
      </c>
      <c r="U420" s="1">
        <v>0.75</v>
      </c>
      <c r="V420" s="1">
        <v>14953.8</v>
      </c>
      <c r="W420" s="1">
        <v>103126.5</v>
      </c>
      <c r="X420" s="1">
        <v>600.77</v>
      </c>
      <c r="Y420" s="1">
        <v>2400</v>
      </c>
      <c r="Z420" s="1">
        <v>414111.3</v>
      </c>
      <c r="AA420" s="1">
        <v>29.46</v>
      </c>
      <c r="AB420" s="1">
        <v>8000</v>
      </c>
    </row>
    <row r="421" spans="1:28" x14ac:dyDescent="0.4">
      <c r="A421" s="1" t="s">
        <v>119</v>
      </c>
      <c r="B421" s="1">
        <v>8000</v>
      </c>
      <c r="C421" s="1">
        <v>0.2</v>
      </c>
      <c r="D421" s="1">
        <v>0.5</v>
      </c>
      <c r="E421" s="1">
        <v>1000</v>
      </c>
      <c r="F421" s="1">
        <v>3</v>
      </c>
      <c r="G421" s="1">
        <v>5</v>
      </c>
      <c r="H421" s="1" t="s">
        <v>583</v>
      </c>
      <c r="I421" s="1">
        <v>592275.9</v>
      </c>
      <c r="J421" s="1">
        <v>226754.8</v>
      </c>
      <c r="K421" s="1">
        <v>365521.1</v>
      </c>
      <c r="L421" s="1">
        <v>2400</v>
      </c>
      <c r="M421" s="1">
        <v>600.01</v>
      </c>
      <c r="N421" s="1">
        <v>121119.2</v>
      </c>
      <c r="O421" s="1">
        <v>190603.8</v>
      </c>
      <c r="P421" s="1">
        <v>311723</v>
      </c>
      <c r="Q421" s="1">
        <v>91670.7</v>
      </c>
      <c r="R421" s="1">
        <v>18523.599999999999</v>
      </c>
      <c r="S421" s="1">
        <v>110194.3</v>
      </c>
      <c r="T421" s="1">
        <v>28.76</v>
      </c>
      <c r="U421" s="1">
        <v>0.75</v>
      </c>
      <c r="V421" s="1">
        <v>16119.3</v>
      </c>
      <c r="W421" s="1">
        <v>107790</v>
      </c>
      <c r="X421" s="1">
        <v>600.76</v>
      </c>
      <c r="Y421" s="1">
        <v>2400</v>
      </c>
      <c r="Z421" s="1">
        <v>419513</v>
      </c>
      <c r="AA421" s="1">
        <v>29.17</v>
      </c>
      <c r="AB421" s="1">
        <v>8000</v>
      </c>
    </row>
    <row r="422" spans="1:28" x14ac:dyDescent="0.4">
      <c r="A422" s="1" t="s">
        <v>467</v>
      </c>
      <c r="B422" s="1">
        <v>8000</v>
      </c>
      <c r="C422" s="1">
        <v>0.2</v>
      </c>
      <c r="D422" s="1">
        <v>0.5</v>
      </c>
      <c r="E422" s="1">
        <v>2000</v>
      </c>
      <c r="F422" s="1">
        <v>1</v>
      </c>
      <c r="G422" s="1">
        <v>1</v>
      </c>
      <c r="H422" s="1" t="s">
        <v>583</v>
      </c>
      <c r="I422" s="1">
        <v>572946.6</v>
      </c>
      <c r="J422" s="1">
        <v>225821.5</v>
      </c>
      <c r="K422" s="1">
        <v>347125.1</v>
      </c>
      <c r="L422" s="1">
        <v>2400</v>
      </c>
      <c r="M422" s="1">
        <v>600</v>
      </c>
      <c r="N422" s="1">
        <v>119318.7</v>
      </c>
      <c r="O422" s="1">
        <v>178728.5</v>
      </c>
      <c r="P422" s="1">
        <v>298047.2</v>
      </c>
      <c r="Q422" s="1">
        <v>103377.1</v>
      </c>
      <c r="R422" s="1">
        <v>20010.400000000001</v>
      </c>
      <c r="S422" s="1">
        <v>123387.5</v>
      </c>
      <c r="T422" s="1">
        <v>26.44</v>
      </c>
      <c r="U422" s="1">
        <v>0.44</v>
      </c>
      <c r="V422" s="1">
        <v>18914</v>
      </c>
      <c r="W422" s="1">
        <v>122291.1</v>
      </c>
      <c r="X422" s="1">
        <v>600.44000000000005</v>
      </c>
      <c r="Y422" s="1">
        <v>2400</v>
      </c>
      <c r="Z422" s="1">
        <v>420338.3</v>
      </c>
      <c r="AA422" s="1">
        <v>26.64</v>
      </c>
      <c r="AB422" s="1">
        <v>8000</v>
      </c>
    </row>
    <row r="423" spans="1:28" x14ac:dyDescent="0.4">
      <c r="A423" s="1" t="s">
        <v>468</v>
      </c>
      <c r="B423" s="1">
        <v>8000</v>
      </c>
      <c r="C423" s="1">
        <v>0.2</v>
      </c>
      <c r="D423" s="1">
        <v>0.5</v>
      </c>
      <c r="E423" s="1">
        <v>2000</v>
      </c>
      <c r="F423" s="1">
        <v>1</v>
      </c>
      <c r="G423" s="1">
        <v>2</v>
      </c>
      <c r="H423" s="1" t="s">
        <v>583</v>
      </c>
      <c r="I423" s="1">
        <v>581428.4</v>
      </c>
      <c r="J423" s="1">
        <v>226042.1</v>
      </c>
      <c r="K423" s="1">
        <v>355386.3</v>
      </c>
      <c r="L423" s="1">
        <v>2400</v>
      </c>
      <c r="M423" s="1">
        <v>600</v>
      </c>
      <c r="N423" s="1">
        <v>123867</v>
      </c>
      <c r="O423" s="1">
        <v>186219</v>
      </c>
      <c r="P423" s="1">
        <v>310086</v>
      </c>
      <c r="Q423" s="1">
        <v>103447</v>
      </c>
      <c r="R423" s="1">
        <v>19005.5</v>
      </c>
      <c r="S423" s="1">
        <v>122452.5</v>
      </c>
      <c r="T423" s="1">
        <v>25.61</v>
      </c>
      <c r="U423" s="1">
        <v>0.51</v>
      </c>
      <c r="V423" s="1">
        <v>18001.400000000001</v>
      </c>
      <c r="W423" s="1">
        <v>121448.4</v>
      </c>
      <c r="X423" s="1">
        <v>600.51</v>
      </c>
      <c r="Y423" s="1">
        <v>2400</v>
      </c>
      <c r="Z423" s="1">
        <v>431534.4</v>
      </c>
      <c r="AA423" s="1">
        <v>25.78</v>
      </c>
      <c r="AB423" s="1">
        <v>8000</v>
      </c>
    </row>
    <row r="424" spans="1:28" x14ac:dyDescent="0.4">
      <c r="A424" s="1" t="s">
        <v>469</v>
      </c>
      <c r="B424" s="1">
        <v>8000</v>
      </c>
      <c r="C424" s="1">
        <v>0.2</v>
      </c>
      <c r="D424" s="1">
        <v>0.5</v>
      </c>
      <c r="E424" s="1">
        <v>2000</v>
      </c>
      <c r="F424" s="1">
        <v>1</v>
      </c>
      <c r="G424" s="1">
        <v>3</v>
      </c>
      <c r="H424" s="1" t="s">
        <v>583</v>
      </c>
      <c r="I424" s="1">
        <v>579172.6</v>
      </c>
      <c r="J424" s="1">
        <v>229614.6</v>
      </c>
      <c r="K424" s="1">
        <v>349558</v>
      </c>
      <c r="L424" s="1">
        <v>2400</v>
      </c>
      <c r="M424" s="1">
        <v>600.02</v>
      </c>
      <c r="N424" s="1">
        <v>122972.4</v>
      </c>
      <c r="O424" s="1">
        <v>182931.7</v>
      </c>
      <c r="P424" s="1">
        <v>305904.09999999998</v>
      </c>
      <c r="Q424" s="1">
        <v>102517.4</v>
      </c>
      <c r="R424" s="1">
        <v>20519.7</v>
      </c>
      <c r="S424" s="1">
        <v>123037.1</v>
      </c>
      <c r="T424" s="1">
        <v>25.94</v>
      </c>
      <c r="U424" s="1">
        <v>0.5</v>
      </c>
      <c r="V424" s="1">
        <v>19659.7</v>
      </c>
      <c r="W424" s="1">
        <v>122177.1</v>
      </c>
      <c r="X424" s="1">
        <v>600.52</v>
      </c>
      <c r="Y424" s="1">
        <v>2400</v>
      </c>
      <c r="Z424" s="1">
        <v>428081.2</v>
      </c>
      <c r="AA424" s="1">
        <v>26.09</v>
      </c>
      <c r="AB424" s="1">
        <v>8000</v>
      </c>
    </row>
    <row r="425" spans="1:28" x14ac:dyDescent="0.4">
      <c r="A425" s="1" t="s">
        <v>470</v>
      </c>
      <c r="B425" s="1">
        <v>8000</v>
      </c>
      <c r="C425" s="1">
        <v>0.2</v>
      </c>
      <c r="D425" s="1">
        <v>0.5</v>
      </c>
      <c r="E425" s="1">
        <v>2000</v>
      </c>
      <c r="F425" s="1">
        <v>1</v>
      </c>
      <c r="G425" s="1">
        <v>4</v>
      </c>
      <c r="H425" s="1" t="s">
        <v>583</v>
      </c>
      <c r="I425" s="1">
        <v>566645.6</v>
      </c>
      <c r="J425" s="1">
        <v>222393.3</v>
      </c>
      <c r="K425" s="1">
        <v>344252.3</v>
      </c>
      <c r="L425" s="1">
        <v>2400</v>
      </c>
      <c r="M425" s="1">
        <v>600.05999999999995</v>
      </c>
      <c r="N425" s="1">
        <v>120720.1</v>
      </c>
      <c r="O425" s="1">
        <v>179883.9</v>
      </c>
      <c r="P425" s="1">
        <v>300604</v>
      </c>
      <c r="Q425" s="1">
        <v>104208.7</v>
      </c>
      <c r="R425" s="1">
        <v>20816.400000000001</v>
      </c>
      <c r="S425" s="1">
        <v>125025.1</v>
      </c>
      <c r="T425" s="1">
        <v>24.89</v>
      </c>
      <c r="U425" s="1">
        <v>0.6</v>
      </c>
      <c r="V425" s="1">
        <v>19710.599999999999</v>
      </c>
      <c r="W425" s="1">
        <v>123919.3</v>
      </c>
      <c r="X425" s="1">
        <v>600.66999999999996</v>
      </c>
      <c r="Y425" s="1">
        <v>2400</v>
      </c>
      <c r="Z425" s="1">
        <v>424523.3</v>
      </c>
      <c r="AA425" s="1">
        <v>25.08</v>
      </c>
      <c r="AB425" s="1">
        <v>8000</v>
      </c>
    </row>
    <row r="426" spans="1:28" x14ac:dyDescent="0.4">
      <c r="A426" s="1" t="s">
        <v>471</v>
      </c>
      <c r="B426" s="1">
        <v>8000</v>
      </c>
      <c r="C426" s="1">
        <v>0.2</v>
      </c>
      <c r="D426" s="1">
        <v>0.5</v>
      </c>
      <c r="E426" s="1">
        <v>2000</v>
      </c>
      <c r="F426" s="1">
        <v>1</v>
      </c>
      <c r="G426" s="1">
        <v>5</v>
      </c>
      <c r="H426" s="1" t="s">
        <v>583</v>
      </c>
      <c r="I426" s="1">
        <v>577946.30000000005</v>
      </c>
      <c r="J426" s="1">
        <v>226808.2</v>
      </c>
      <c r="K426" s="1">
        <v>351138.1</v>
      </c>
      <c r="L426" s="1">
        <v>2400</v>
      </c>
      <c r="M426" s="1">
        <v>600.01</v>
      </c>
      <c r="N426" s="1">
        <v>125902.1</v>
      </c>
      <c r="O426" s="1">
        <v>184887.5</v>
      </c>
      <c r="P426" s="1">
        <v>310789.59999999998</v>
      </c>
      <c r="Q426" s="1">
        <v>101545.8</v>
      </c>
      <c r="R426" s="1">
        <v>19644.599999999999</v>
      </c>
      <c r="S426" s="1">
        <v>121190.39999999999</v>
      </c>
      <c r="T426" s="1">
        <v>25.26</v>
      </c>
      <c r="U426" s="1">
        <v>0.45</v>
      </c>
      <c r="V426" s="1">
        <v>18438.7</v>
      </c>
      <c r="W426" s="1">
        <v>119984.5</v>
      </c>
      <c r="X426" s="1">
        <v>600.46</v>
      </c>
      <c r="Y426" s="1">
        <v>2400</v>
      </c>
      <c r="Z426" s="1">
        <v>430774.1</v>
      </c>
      <c r="AA426" s="1">
        <v>25.46</v>
      </c>
      <c r="AB426" s="1">
        <v>8000</v>
      </c>
    </row>
    <row r="427" spans="1:28" x14ac:dyDescent="0.4">
      <c r="A427" s="1" t="s">
        <v>472</v>
      </c>
      <c r="B427" s="1">
        <v>8000</v>
      </c>
      <c r="C427" s="1">
        <v>0.2</v>
      </c>
      <c r="D427" s="1">
        <v>0.5</v>
      </c>
      <c r="E427" s="1">
        <v>2000</v>
      </c>
      <c r="F427" s="1">
        <v>2</v>
      </c>
      <c r="G427" s="1">
        <v>1</v>
      </c>
      <c r="H427" s="1" t="s">
        <v>583</v>
      </c>
      <c r="I427" s="1">
        <v>886233.1</v>
      </c>
      <c r="J427" s="1">
        <v>345610.9</v>
      </c>
      <c r="K427" s="1">
        <v>540622.19999999995</v>
      </c>
      <c r="L427" s="1">
        <v>2400</v>
      </c>
      <c r="M427" s="1">
        <v>600.03</v>
      </c>
      <c r="N427" s="1">
        <v>199362.7</v>
      </c>
      <c r="O427" s="1">
        <v>303493.40000000002</v>
      </c>
      <c r="P427" s="1">
        <v>502856.1</v>
      </c>
      <c r="Q427" s="1">
        <v>99108.4</v>
      </c>
      <c r="R427" s="1">
        <v>23425</v>
      </c>
      <c r="S427" s="1">
        <v>122533.4</v>
      </c>
      <c r="T427" s="1">
        <v>29.43</v>
      </c>
      <c r="U427" s="1">
        <v>0.9</v>
      </c>
      <c r="V427" s="1">
        <v>20823.2</v>
      </c>
      <c r="W427" s="1">
        <v>119931.6</v>
      </c>
      <c r="X427" s="1">
        <v>600.92999999999995</v>
      </c>
      <c r="Y427" s="1">
        <v>2400</v>
      </c>
      <c r="Z427" s="1">
        <v>622787.69999999995</v>
      </c>
      <c r="AA427" s="1">
        <v>29.73</v>
      </c>
      <c r="AB427" s="1">
        <v>8000</v>
      </c>
    </row>
    <row r="428" spans="1:28" x14ac:dyDescent="0.4">
      <c r="A428" s="1" t="s">
        <v>473</v>
      </c>
      <c r="B428" s="1">
        <v>8000</v>
      </c>
      <c r="C428" s="1">
        <v>0.2</v>
      </c>
      <c r="D428" s="1">
        <v>0.5</v>
      </c>
      <c r="E428" s="1">
        <v>2000</v>
      </c>
      <c r="F428" s="1">
        <v>2</v>
      </c>
      <c r="G428" s="1">
        <v>2</v>
      </c>
      <c r="H428" s="1" t="s">
        <v>583</v>
      </c>
      <c r="I428" s="1">
        <v>892256.8</v>
      </c>
      <c r="J428" s="1">
        <v>337135.3</v>
      </c>
      <c r="K428" s="1">
        <v>555121.5</v>
      </c>
      <c r="L428" s="1">
        <v>2400</v>
      </c>
      <c r="M428" s="1">
        <v>600.02</v>
      </c>
      <c r="N428" s="1">
        <v>195483.3</v>
      </c>
      <c r="O428" s="1">
        <v>311904.7</v>
      </c>
      <c r="P428" s="1">
        <v>507388</v>
      </c>
      <c r="Q428" s="1">
        <v>99808.5</v>
      </c>
      <c r="R428" s="1">
        <v>23517.8</v>
      </c>
      <c r="S428" s="1">
        <v>123326.3</v>
      </c>
      <c r="T428" s="1">
        <v>29.31</v>
      </c>
      <c r="U428" s="1">
        <v>0.94</v>
      </c>
      <c r="V428" s="1">
        <v>20509.7</v>
      </c>
      <c r="W428" s="1">
        <v>120318.2</v>
      </c>
      <c r="X428" s="1">
        <v>600.96</v>
      </c>
      <c r="Y428" s="1">
        <v>2400</v>
      </c>
      <c r="Z428" s="1">
        <v>627706.19999999995</v>
      </c>
      <c r="AA428" s="1">
        <v>29.65</v>
      </c>
      <c r="AB428" s="1">
        <v>8000</v>
      </c>
    </row>
    <row r="429" spans="1:28" x14ac:dyDescent="0.4">
      <c r="A429" s="1" t="s">
        <v>474</v>
      </c>
      <c r="B429" s="1">
        <v>8000</v>
      </c>
      <c r="C429" s="1">
        <v>0.2</v>
      </c>
      <c r="D429" s="1">
        <v>0.5</v>
      </c>
      <c r="E429" s="1">
        <v>2000</v>
      </c>
      <c r="F429" s="1">
        <v>2</v>
      </c>
      <c r="G429" s="1">
        <v>3</v>
      </c>
      <c r="H429" s="1" t="s">
        <v>583</v>
      </c>
      <c r="I429" s="1">
        <v>915025.1</v>
      </c>
      <c r="J429" s="1">
        <v>344856.5</v>
      </c>
      <c r="K429" s="1">
        <v>570168.6</v>
      </c>
      <c r="L429" s="1">
        <v>2400</v>
      </c>
      <c r="M429" s="1">
        <v>600.02</v>
      </c>
      <c r="N429" s="1">
        <v>196057.8</v>
      </c>
      <c r="O429" s="1">
        <v>317781.8</v>
      </c>
      <c r="P429" s="1">
        <v>513839.6</v>
      </c>
      <c r="Q429" s="1">
        <v>100032.2</v>
      </c>
      <c r="R429" s="1">
        <v>23639.599999999999</v>
      </c>
      <c r="S429" s="1">
        <v>123671.8</v>
      </c>
      <c r="T429" s="1">
        <v>30.33</v>
      </c>
      <c r="U429" s="1">
        <v>0.92</v>
      </c>
      <c r="V429" s="1">
        <v>21000.6</v>
      </c>
      <c r="W429" s="1">
        <v>121032.8</v>
      </c>
      <c r="X429" s="1">
        <v>600.94000000000005</v>
      </c>
      <c r="Y429" s="1">
        <v>2400</v>
      </c>
      <c r="Z429" s="1">
        <v>634872.4</v>
      </c>
      <c r="AA429" s="1">
        <v>30.62</v>
      </c>
      <c r="AB429" s="1">
        <v>8000</v>
      </c>
    </row>
    <row r="430" spans="1:28" x14ac:dyDescent="0.4">
      <c r="A430" s="1" t="s">
        <v>475</v>
      </c>
      <c r="B430" s="1">
        <v>8000</v>
      </c>
      <c r="C430" s="1">
        <v>0.2</v>
      </c>
      <c r="D430" s="1">
        <v>0.5</v>
      </c>
      <c r="E430" s="1">
        <v>2000</v>
      </c>
      <c r="F430" s="1">
        <v>2</v>
      </c>
      <c r="G430" s="1">
        <v>4</v>
      </c>
      <c r="H430" s="1" t="s">
        <v>583</v>
      </c>
      <c r="I430" s="1">
        <v>904841.1</v>
      </c>
      <c r="J430" s="1">
        <v>328939.59999999998</v>
      </c>
      <c r="K430" s="1">
        <v>575901.5</v>
      </c>
      <c r="L430" s="1">
        <v>2400</v>
      </c>
      <c r="M430" s="1">
        <v>600.03</v>
      </c>
      <c r="N430" s="1">
        <v>192358.39999999999</v>
      </c>
      <c r="O430" s="1">
        <v>323741.8</v>
      </c>
      <c r="P430" s="1">
        <v>516100.2</v>
      </c>
      <c r="Q430" s="1">
        <v>99026.8</v>
      </c>
      <c r="R430" s="1">
        <v>23904.799999999999</v>
      </c>
      <c r="S430" s="1">
        <v>122931.6</v>
      </c>
      <c r="T430" s="1">
        <v>29.38</v>
      </c>
      <c r="U430" s="1">
        <v>0.83</v>
      </c>
      <c r="V430" s="1">
        <v>20905.099999999999</v>
      </c>
      <c r="W430" s="1">
        <v>119931.9</v>
      </c>
      <c r="X430" s="1">
        <v>600.86</v>
      </c>
      <c r="Y430" s="1">
        <v>2400</v>
      </c>
      <c r="Z430" s="1">
        <v>636032.1</v>
      </c>
      <c r="AA430" s="1">
        <v>29.71</v>
      </c>
      <c r="AB430" s="1">
        <v>8000</v>
      </c>
    </row>
    <row r="431" spans="1:28" x14ac:dyDescent="0.4">
      <c r="A431" s="1" t="s">
        <v>476</v>
      </c>
      <c r="B431" s="1">
        <v>8000</v>
      </c>
      <c r="C431" s="1">
        <v>0.2</v>
      </c>
      <c r="D431" s="1">
        <v>0.5</v>
      </c>
      <c r="E431" s="1">
        <v>2000</v>
      </c>
      <c r="F431" s="1">
        <v>2</v>
      </c>
      <c r="G431" s="1">
        <v>5</v>
      </c>
      <c r="H431" s="1" t="s">
        <v>583</v>
      </c>
      <c r="I431" s="1">
        <v>914600.1</v>
      </c>
      <c r="J431" s="1">
        <v>350446.2</v>
      </c>
      <c r="K431" s="1">
        <v>564153.9</v>
      </c>
      <c r="L431" s="1">
        <v>2400</v>
      </c>
      <c r="M431" s="1">
        <v>600.02</v>
      </c>
      <c r="N431" s="1">
        <v>208097.1</v>
      </c>
      <c r="O431" s="1">
        <v>316880.40000000002</v>
      </c>
      <c r="P431" s="1">
        <v>524977.5</v>
      </c>
      <c r="Q431" s="1">
        <v>99125.9</v>
      </c>
      <c r="R431" s="1">
        <v>22211.5</v>
      </c>
      <c r="S431" s="1">
        <v>121337.4</v>
      </c>
      <c r="T431" s="1">
        <v>29.33</v>
      </c>
      <c r="U431" s="1">
        <v>0.74</v>
      </c>
      <c r="V431" s="1">
        <v>19912.400000000001</v>
      </c>
      <c r="W431" s="1">
        <v>119038.3</v>
      </c>
      <c r="X431" s="1">
        <v>600.75</v>
      </c>
      <c r="Y431" s="1">
        <v>2400</v>
      </c>
      <c r="Z431" s="1">
        <v>644015.80000000005</v>
      </c>
      <c r="AA431" s="1">
        <v>29.58</v>
      </c>
      <c r="AB431" s="1">
        <v>8000</v>
      </c>
    </row>
    <row r="432" spans="1:28" x14ac:dyDescent="0.4">
      <c r="A432" s="1" t="s">
        <v>477</v>
      </c>
      <c r="B432" s="1">
        <v>8000</v>
      </c>
      <c r="C432" s="1">
        <v>0.2</v>
      </c>
      <c r="D432" s="1">
        <v>0.5</v>
      </c>
      <c r="E432" s="1">
        <v>2000</v>
      </c>
      <c r="F432" s="1">
        <v>3</v>
      </c>
      <c r="G432" s="1">
        <v>1</v>
      </c>
      <c r="H432" s="1" t="s">
        <v>583</v>
      </c>
      <c r="I432" s="1">
        <v>1177757.2</v>
      </c>
      <c r="J432" s="1">
        <v>449352.6</v>
      </c>
      <c r="K432" s="1">
        <v>728404.6</v>
      </c>
      <c r="L432" s="1">
        <v>2400</v>
      </c>
      <c r="M432" s="1">
        <v>600.01</v>
      </c>
      <c r="N432" s="1">
        <v>271653</v>
      </c>
      <c r="O432" s="1">
        <v>439746.6</v>
      </c>
      <c r="P432" s="1">
        <v>711399.6</v>
      </c>
      <c r="Q432" s="1">
        <v>95737.5</v>
      </c>
      <c r="R432" s="1">
        <v>24822</v>
      </c>
      <c r="S432" s="1">
        <v>120559.5</v>
      </c>
      <c r="T432" s="1">
        <v>29.36</v>
      </c>
      <c r="U432" s="1">
        <v>1.17</v>
      </c>
      <c r="V432" s="1">
        <v>21769.3</v>
      </c>
      <c r="W432" s="1">
        <v>117506.8</v>
      </c>
      <c r="X432" s="1">
        <v>601.17999999999995</v>
      </c>
      <c r="Y432" s="1">
        <v>2400</v>
      </c>
      <c r="Z432" s="1">
        <v>828906.4</v>
      </c>
      <c r="AA432" s="1">
        <v>29.62</v>
      </c>
      <c r="AB432" s="1">
        <v>8000</v>
      </c>
    </row>
    <row r="433" spans="1:28" x14ac:dyDescent="0.4">
      <c r="A433" s="1" t="s">
        <v>478</v>
      </c>
      <c r="B433" s="1">
        <v>8000</v>
      </c>
      <c r="C433" s="1">
        <v>0.2</v>
      </c>
      <c r="D433" s="1">
        <v>0.5</v>
      </c>
      <c r="E433" s="1">
        <v>2000</v>
      </c>
      <c r="F433" s="1">
        <v>3</v>
      </c>
      <c r="G433" s="1">
        <v>2</v>
      </c>
      <c r="H433" s="1" t="s">
        <v>583</v>
      </c>
      <c r="I433" s="1">
        <v>1164215.3999999999</v>
      </c>
      <c r="J433" s="1">
        <v>455176.9</v>
      </c>
      <c r="K433" s="1">
        <v>709038.5</v>
      </c>
      <c r="L433" s="1">
        <v>2400</v>
      </c>
      <c r="M433" s="1">
        <v>600.02</v>
      </c>
      <c r="N433" s="1">
        <v>274857.8</v>
      </c>
      <c r="O433" s="1">
        <v>424239.4</v>
      </c>
      <c r="P433" s="1">
        <v>699097.2</v>
      </c>
      <c r="Q433" s="1">
        <v>96947.8</v>
      </c>
      <c r="R433" s="1">
        <v>24817.200000000001</v>
      </c>
      <c r="S433" s="1">
        <v>121765</v>
      </c>
      <c r="T433" s="1">
        <v>29.49</v>
      </c>
      <c r="U433" s="1">
        <v>0.92</v>
      </c>
      <c r="V433" s="1">
        <v>21013.3</v>
      </c>
      <c r="W433" s="1">
        <v>117961.1</v>
      </c>
      <c r="X433" s="1">
        <v>600.94000000000005</v>
      </c>
      <c r="Y433" s="1">
        <v>2399</v>
      </c>
      <c r="Z433" s="1">
        <v>817058.3</v>
      </c>
      <c r="AA433" s="1">
        <v>29.82</v>
      </c>
      <c r="AB433" s="1">
        <v>8000</v>
      </c>
    </row>
    <row r="434" spans="1:28" x14ac:dyDescent="0.4">
      <c r="A434" s="1" t="s">
        <v>479</v>
      </c>
      <c r="B434" s="1">
        <v>8000</v>
      </c>
      <c r="C434" s="1">
        <v>0.2</v>
      </c>
      <c r="D434" s="1">
        <v>0.5</v>
      </c>
      <c r="E434" s="1">
        <v>2000</v>
      </c>
      <c r="F434" s="1">
        <v>3</v>
      </c>
      <c r="G434" s="1">
        <v>3</v>
      </c>
      <c r="H434" s="1" t="s">
        <v>583</v>
      </c>
      <c r="I434" s="1">
        <v>1186733.8999999999</v>
      </c>
      <c r="J434" s="1">
        <v>435508.8</v>
      </c>
      <c r="K434" s="1">
        <v>751225.1</v>
      </c>
      <c r="L434" s="1">
        <v>2400</v>
      </c>
      <c r="M434" s="1">
        <v>600.04</v>
      </c>
      <c r="N434" s="1">
        <v>260855.9</v>
      </c>
      <c r="O434" s="1">
        <v>442094.9</v>
      </c>
      <c r="P434" s="1">
        <v>702950.8</v>
      </c>
      <c r="Q434" s="1">
        <v>98261.4</v>
      </c>
      <c r="R434" s="1">
        <v>24920.2</v>
      </c>
      <c r="S434" s="1">
        <v>123181.6</v>
      </c>
      <c r="T434" s="1">
        <v>30.39</v>
      </c>
      <c r="U434" s="1">
        <v>1.1000000000000001</v>
      </c>
      <c r="V434" s="1">
        <v>21218</v>
      </c>
      <c r="W434" s="1">
        <v>119479.4</v>
      </c>
      <c r="X434" s="1">
        <v>601.13</v>
      </c>
      <c r="Y434" s="1">
        <v>2400</v>
      </c>
      <c r="Z434" s="1">
        <v>822430.2</v>
      </c>
      <c r="AA434" s="1">
        <v>30.7</v>
      </c>
      <c r="AB434" s="1">
        <v>8000</v>
      </c>
    </row>
    <row r="435" spans="1:28" x14ac:dyDescent="0.4">
      <c r="A435" s="1" t="s">
        <v>480</v>
      </c>
      <c r="B435" s="1">
        <v>8000</v>
      </c>
      <c r="C435" s="1">
        <v>0.2</v>
      </c>
      <c r="D435" s="1">
        <v>0.5</v>
      </c>
      <c r="E435" s="1">
        <v>2000</v>
      </c>
      <c r="F435" s="1">
        <v>3</v>
      </c>
      <c r="G435" s="1">
        <v>4</v>
      </c>
      <c r="H435" s="1" t="s">
        <v>583</v>
      </c>
      <c r="I435" s="1">
        <v>1163514.6000000001</v>
      </c>
      <c r="J435" s="1">
        <v>442546.5</v>
      </c>
      <c r="K435" s="1">
        <v>720968.1</v>
      </c>
      <c r="L435" s="1">
        <v>2400</v>
      </c>
      <c r="M435" s="1">
        <v>600.04999999999995</v>
      </c>
      <c r="N435" s="1">
        <v>269395.8</v>
      </c>
      <c r="O435" s="1">
        <v>433661.4</v>
      </c>
      <c r="P435" s="1">
        <v>703057.2</v>
      </c>
      <c r="Q435" s="1">
        <v>95975.9</v>
      </c>
      <c r="R435" s="1">
        <v>24122.3</v>
      </c>
      <c r="S435" s="1">
        <v>120098.2</v>
      </c>
      <c r="T435" s="1">
        <v>29.25</v>
      </c>
      <c r="U435" s="1">
        <v>1.1399999999999999</v>
      </c>
      <c r="V435" s="1">
        <v>20891.400000000001</v>
      </c>
      <c r="W435" s="1">
        <v>116867.3</v>
      </c>
      <c r="X435" s="1">
        <v>601.19000000000005</v>
      </c>
      <c r="Y435" s="1">
        <v>2400</v>
      </c>
      <c r="Z435" s="1">
        <v>819924.5</v>
      </c>
      <c r="AA435" s="1">
        <v>29.53</v>
      </c>
      <c r="AB435" s="1">
        <v>8000</v>
      </c>
    </row>
    <row r="436" spans="1:28" x14ac:dyDescent="0.4">
      <c r="A436" s="1" t="s">
        <v>481</v>
      </c>
      <c r="B436" s="1">
        <v>8000</v>
      </c>
      <c r="C436" s="1">
        <v>0.2</v>
      </c>
      <c r="D436" s="1">
        <v>0.5</v>
      </c>
      <c r="E436" s="1">
        <v>2000</v>
      </c>
      <c r="F436" s="1">
        <v>3</v>
      </c>
      <c r="G436" s="1">
        <v>5</v>
      </c>
      <c r="H436" s="1" t="s">
        <v>583</v>
      </c>
      <c r="I436" s="1">
        <v>1171444.5</v>
      </c>
      <c r="J436" s="1">
        <v>445181.7</v>
      </c>
      <c r="K436" s="1">
        <v>726262.8</v>
      </c>
      <c r="L436" s="1">
        <v>2400</v>
      </c>
      <c r="M436" s="1">
        <v>600.02</v>
      </c>
      <c r="N436" s="1">
        <v>269003</v>
      </c>
      <c r="O436" s="1">
        <v>437485.8</v>
      </c>
      <c r="P436" s="1">
        <v>706488.8</v>
      </c>
      <c r="Q436" s="1">
        <v>96441</v>
      </c>
      <c r="R436" s="1">
        <v>24818.5</v>
      </c>
      <c r="S436" s="1">
        <v>121259.5</v>
      </c>
      <c r="T436" s="1">
        <v>29.34</v>
      </c>
      <c r="U436" s="1">
        <v>0.54</v>
      </c>
      <c r="V436" s="1">
        <v>21078.2</v>
      </c>
      <c r="W436" s="1">
        <v>117519.2</v>
      </c>
      <c r="X436" s="1">
        <v>600.55999999999995</v>
      </c>
      <c r="Y436" s="1">
        <v>2399</v>
      </c>
      <c r="Z436" s="1">
        <v>824008</v>
      </c>
      <c r="AA436" s="1">
        <v>29.66</v>
      </c>
      <c r="AB436" s="1">
        <v>8000</v>
      </c>
    </row>
    <row r="437" spans="1:28" x14ac:dyDescent="0.4">
      <c r="A437" s="1" t="s">
        <v>482</v>
      </c>
      <c r="B437" s="1">
        <v>8000</v>
      </c>
      <c r="C437" s="1">
        <v>0.2</v>
      </c>
      <c r="D437" s="1">
        <v>0.5</v>
      </c>
      <c r="E437" s="1">
        <v>500</v>
      </c>
      <c r="F437" s="1">
        <v>1</v>
      </c>
      <c r="G437" s="1">
        <v>1</v>
      </c>
      <c r="H437" s="1" t="s">
        <v>583</v>
      </c>
      <c r="I437" s="1">
        <v>147087</v>
      </c>
      <c r="J437" s="1">
        <v>56509.5</v>
      </c>
      <c r="K437" s="1">
        <v>90577.5</v>
      </c>
      <c r="L437" s="1">
        <v>2400</v>
      </c>
      <c r="M437" s="1">
        <v>600.01</v>
      </c>
      <c r="N437" s="1">
        <v>20268.400000000001</v>
      </c>
      <c r="O437" s="1">
        <v>35895.9</v>
      </c>
      <c r="P437" s="1">
        <v>56164.3</v>
      </c>
      <c r="Q437" s="1">
        <v>78678.3</v>
      </c>
      <c r="R437" s="1">
        <v>8048.7</v>
      </c>
      <c r="S437" s="1">
        <v>86727</v>
      </c>
      <c r="T437" s="1">
        <v>2.85</v>
      </c>
      <c r="U437" s="1">
        <v>0.31</v>
      </c>
      <c r="V437" s="1">
        <v>6713.5</v>
      </c>
      <c r="W437" s="1">
        <v>85391.8</v>
      </c>
      <c r="X437" s="1">
        <v>600.32000000000005</v>
      </c>
      <c r="Y437" s="1">
        <v>2400</v>
      </c>
      <c r="Z437" s="1">
        <v>141556.1</v>
      </c>
      <c r="AA437" s="1">
        <v>3.76</v>
      </c>
      <c r="AB437" s="1">
        <v>8000</v>
      </c>
    </row>
    <row r="438" spans="1:28" x14ac:dyDescent="0.4">
      <c r="A438" s="1" t="s">
        <v>483</v>
      </c>
      <c r="B438" s="1">
        <v>8000</v>
      </c>
      <c r="C438" s="1">
        <v>0.2</v>
      </c>
      <c r="D438" s="1">
        <v>0.5</v>
      </c>
      <c r="E438" s="1">
        <v>500</v>
      </c>
      <c r="F438" s="1">
        <v>1</v>
      </c>
      <c r="G438" s="1">
        <v>2</v>
      </c>
      <c r="H438" s="1" t="s">
        <v>583</v>
      </c>
      <c r="I438" s="1">
        <v>140233.70000000001</v>
      </c>
      <c r="J438" s="1">
        <v>55542.9</v>
      </c>
      <c r="K438" s="1">
        <v>84690.8</v>
      </c>
      <c r="L438" s="1">
        <v>2400</v>
      </c>
      <c r="M438" s="1">
        <v>600.02</v>
      </c>
      <c r="N438" s="1">
        <v>19716</v>
      </c>
      <c r="O438" s="1">
        <v>33328.199999999997</v>
      </c>
      <c r="P438" s="1">
        <v>53044.2</v>
      </c>
      <c r="Q438" s="1">
        <v>79401.100000000006</v>
      </c>
      <c r="R438" s="1">
        <v>8425.9</v>
      </c>
      <c r="S438" s="1">
        <v>87827</v>
      </c>
      <c r="T438" s="1">
        <v>-0.45</v>
      </c>
      <c r="U438" s="1">
        <v>0.35</v>
      </c>
      <c r="V438" s="1">
        <v>7411.3</v>
      </c>
      <c r="W438" s="1">
        <v>86812.4</v>
      </c>
      <c r="X438" s="1">
        <v>600.37</v>
      </c>
      <c r="Y438" s="1">
        <v>2400</v>
      </c>
      <c r="Z438" s="1">
        <v>139856.6</v>
      </c>
      <c r="AA438" s="1">
        <v>0.27</v>
      </c>
      <c r="AB438" s="1">
        <v>8000</v>
      </c>
    </row>
    <row r="439" spans="1:28" x14ac:dyDescent="0.4">
      <c r="A439" s="1" t="s">
        <v>484</v>
      </c>
      <c r="B439" s="1">
        <v>8000</v>
      </c>
      <c r="C439" s="1">
        <v>0.2</v>
      </c>
      <c r="D439" s="1">
        <v>0.5</v>
      </c>
      <c r="E439" s="1">
        <v>500</v>
      </c>
      <c r="F439" s="1">
        <v>1</v>
      </c>
      <c r="G439" s="1">
        <v>3</v>
      </c>
      <c r="H439" s="1" t="s">
        <v>583</v>
      </c>
      <c r="I439" s="1">
        <v>140525.6</v>
      </c>
      <c r="J439" s="1">
        <v>54367.5</v>
      </c>
      <c r="K439" s="1">
        <v>86158.1</v>
      </c>
      <c r="L439" s="1">
        <v>2400</v>
      </c>
      <c r="M439" s="1">
        <v>600.01</v>
      </c>
      <c r="N439" s="1">
        <v>19465.400000000001</v>
      </c>
      <c r="O439" s="1">
        <v>33892.5</v>
      </c>
      <c r="P439" s="1">
        <v>53357.9</v>
      </c>
      <c r="Q439" s="1">
        <v>77974.600000000006</v>
      </c>
      <c r="R439" s="1">
        <v>8465.2999999999993</v>
      </c>
      <c r="S439" s="1">
        <v>86439.9</v>
      </c>
      <c r="T439" s="1">
        <v>0.52</v>
      </c>
      <c r="U439" s="1">
        <v>0.28999999999999998</v>
      </c>
      <c r="V439" s="1">
        <v>7496.9</v>
      </c>
      <c r="W439" s="1">
        <v>85471.5</v>
      </c>
      <c r="X439" s="1">
        <v>600.29999999999995</v>
      </c>
      <c r="Y439" s="1">
        <v>2399</v>
      </c>
      <c r="Z439" s="1">
        <v>138829.4</v>
      </c>
      <c r="AA439" s="1">
        <v>1.21</v>
      </c>
      <c r="AB439" s="1">
        <v>8000</v>
      </c>
    </row>
    <row r="440" spans="1:28" x14ac:dyDescent="0.4">
      <c r="A440" s="1" t="s">
        <v>485</v>
      </c>
      <c r="B440" s="1">
        <v>8000</v>
      </c>
      <c r="C440" s="1">
        <v>0.2</v>
      </c>
      <c r="D440" s="1">
        <v>0.5</v>
      </c>
      <c r="E440" s="1">
        <v>500</v>
      </c>
      <c r="F440" s="1">
        <v>1</v>
      </c>
      <c r="G440" s="1">
        <v>4</v>
      </c>
      <c r="H440" s="1" t="s">
        <v>583</v>
      </c>
      <c r="I440" s="1">
        <v>151849.20000000001</v>
      </c>
      <c r="J440" s="1">
        <v>56962.9</v>
      </c>
      <c r="K440" s="1">
        <v>94886.3</v>
      </c>
      <c r="L440" s="1">
        <v>2400</v>
      </c>
      <c r="M440" s="1">
        <v>600.02</v>
      </c>
      <c r="N440" s="1">
        <v>21211.5</v>
      </c>
      <c r="O440" s="1">
        <v>36529.800000000003</v>
      </c>
      <c r="P440" s="1">
        <v>57741.3</v>
      </c>
      <c r="Q440" s="1">
        <v>77861.8</v>
      </c>
      <c r="R440" s="1">
        <v>8329</v>
      </c>
      <c r="S440" s="1">
        <v>86190.8</v>
      </c>
      <c r="T440" s="1">
        <v>5.21</v>
      </c>
      <c r="U440" s="1">
        <v>0.26</v>
      </c>
      <c r="V440" s="1">
        <v>7289.2</v>
      </c>
      <c r="W440" s="1">
        <v>85151</v>
      </c>
      <c r="X440" s="1">
        <v>600.28</v>
      </c>
      <c r="Y440" s="1">
        <v>2400</v>
      </c>
      <c r="Z440" s="1">
        <v>142892.29999999999</v>
      </c>
      <c r="AA440" s="1">
        <v>5.9</v>
      </c>
      <c r="AB440" s="1">
        <v>8000</v>
      </c>
    </row>
    <row r="441" spans="1:28" x14ac:dyDescent="0.4">
      <c r="A441" s="1" t="s">
        <v>486</v>
      </c>
      <c r="B441" s="1">
        <v>8000</v>
      </c>
      <c r="C441" s="1">
        <v>0.2</v>
      </c>
      <c r="D441" s="1">
        <v>0.5</v>
      </c>
      <c r="E441" s="1">
        <v>500</v>
      </c>
      <c r="F441" s="1">
        <v>1</v>
      </c>
      <c r="G441" s="1">
        <v>5</v>
      </c>
      <c r="H441" s="1" t="s">
        <v>583</v>
      </c>
      <c r="I441" s="1">
        <v>148628.79999999999</v>
      </c>
      <c r="J441" s="1">
        <v>57255.199999999997</v>
      </c>
      <c r="K441" s="1">
        <v>91373.6</v>
      </c>
      <c r="L441" s="1">
        <v>2400</v>
      </c>
      <c r="M441" s="1">
        <v>600.01</v>
      </c>
      <c r="N441" s="1">
        <v>21093.200000000001</v>
      </c>
      <c r="O441" s="1">
        <v>35568.400000000001</v>
      </c>
      <c r="P441" s="1">
        <v>56661.599999999999</v>
      </c>
      <c r="Q441" s="1">
        <v>77606.5</v>
      </c>
      <c r="R441" s="1">
        <v>8335.2999999999993</v>
      </c>
      <c r="S441" s="1">
        <v>85941.8</v>
      </c>
      <c r="T441" s="1">
        <v>4.05</v>
      </c>
      <c r="U441" s="1">
        <v>0.28000000000000003</v>
      </c>
      <c r="V441" s="1">
        <v>7280</v>
      </c>
      <c r="W441" s="1">
        <v>84886.5</v>
      </c>
      <c r="X441" s="1">
        <v>600.29</v>
      </c>
      <c r="Y441" s="1">
        <v>2400</v>
      </c>
      <c r="Z441" s="1">
        <v>141548.1</v>
      </c>
      <c r="AA441" s="1">
        <v>4.76</v>
      </c>
      <c r="AB441" s="1">
        <v>8000</v>
      </c>
    </row>
    <row r="442" spans="1:28" x14ac:dyDescent="0.4">
      <c r="A442" s="1" t="s">
        <v>487</v>
      </c>
      <c r="B442" s="1">
        <v>8000</v>
      </c>
      <c r="C442" s="1">
        <v>0.2</v>
      </c>
      <c r="D442" s="1">
        <v>0.5</v>
      </c>
      <c r="E442" s="1">
        <v>500</v>
      </c>
      <c r="F442" s="1">
        <v>2</v>
      </c>
      <c r="G442" s="1">
        <v>1</v>
      </c>
      <c r="H442" s="1" t="s">
        <v>583</v>
      </c>
      <c r="I442" s="1">
        <v>229302.1</v>
      </c>
      <c r="J442" s="1">
        <v>94901.2</v>
      </c>
      <c r="K442" s="1">
        <v>134400.9</v>
      </c>
      <c r="L442" s="1">
        <v>2400</v>
      </c>
      <c r="M442" s="1">
        <v>600.02</v>
      </c>
      <c r="N442" s="1">
        <v>42082.5</v>
      </c>
      <c r="O442" s="1">
        <v>60658.1</v>
      </c>
      <c r="P442" s="1">
        <v>102740.6</v>
      </c>
      <c r="Q442" s="1">
        <v>75468.800000000003</v>
      </c>
      <c r="R442" s="1">
        <v>7843.3</v>
      </c>
      <c r="S442" s="1">
        <v>83312.100000000006</v>
      </c>
      <c r="T442" s="1">
        <v>18.86</v>
      </c>
      <c r="U442" s="1">
        <v>0.43</v>
      </c>
      <c r="V442" s="1">
        <v>6235.6</v>
      </c>
      <c r="W442" s="1">
        <v>81704.399999999994</v>
      </c>
      <c r="X442" s="1">
        <v>600.45000000000005</v>
      </c>
      <c r="Y442" s="1">
        <v>2400</v>
      </c>
      <c r="Z442" s="1">
        <v>184445</v>
      </c>
      <c r="AA442" s="1">
        <v>19.559999999999999</v>
      </c>
      <c r="AB442" s="1">
        <v>8000</v>
      </c>
    </row>
    <row r="443" spans="1:28" x14ac:dyDescent="0.4">
      <c r="A443" s="1" t="s">
        <v>488</v>
      </c>
      <c r="B443" s="1">
        <v>8000</v>
      </c>
      <c r="C443" s="1">
        <v>0.2</v>
      </c>
      <c r="D443" s="1">
        <v>0.5</v>
      </c>
      <c r="E443" s="1">
        <v>500</v>
      </c>
      <c r="F443" s="1">
        <v>2</v>
      </c>
      <c r="G443" s="1">
        <v>2</v>
      </c>
      <c r="H443" s="1" t="s">
        <v>583</v>
      </c>
      <c r="I443" s="1">
        <v>226447.5</v>
      </c>
      <c r="J443" s="1">
        <v>92815.2</v>
      </c>
      <c r="K443" s="1">
        <v>133632.29999999999</v>
      </c>
      <c r="L443" s="1">
        <v>2400</v>
      </c>
      <c r="M443" s="1">
        <v>600.03</v>
      </c>
      <c r="N443" s="1">
        <v>41104.6</v>
      </c>
      <c r="O443" s="1">
        <v>59167.9</v>
      </c>
      <c r="P443" s="1">
        <v>100272.5</v>
      </c>
      <c r="Q443" s="1">
        <v>76875.8</v>
      </c>
      <c r="R443" s="1">
        <v>8506.2000000000007</v>
      </c>
      <c r="S443" s="1">
        <v>85382</v>
      </c>
      <c r="T443" s="1">
        <v>18.010000000000002</v>
      </c>
      <c r="U443" s="1">
        <v>0.4</v>
      </c>
      <c r="V443" s="1">
        <v>7039.5</v>
      </c>
      <c r="W443" s="1">
        <v>83915.3</v>
      </c>
      <c r="X443" s="1">
        <v>600.42999999999995</v>
      </c>
      <c r="Y443" s="1">
        <v>2400</v>
      </c>
      <c r="Z443" s="1">
        <v>184187.8</v>
      </c>
      <c r="AA443" s="1">
        <v>18.66</v>
      </c>
      <c r="AB443" s="1">
        <v>8000</v>
      </c>
    </row>
    <row r="444" spans="1:28" x14ac:dyDescent="0.4">
      <c r="A444" s="1" t="s">
        <v>489</v>
      </c>
      <c r="B444" s="1">
        <v>8000</v>
      </c>
      <c r="C444" s="1">
        <v>0.2</v>
      </c>
      <c r="D444" s="1">
        <v>0.5</v>
      </c>
      <c r="E444" s="1">
        <v>500</v>
      </c>
      <c r="F444" s="1">
        <v>2</v>
      </c>
      <c r="G444" s="1">
        <v>3</v>
      </c>
      <c r="H444" s="1" t="s">
        <v>583</v>
      </c>
      <c r="I444" s="1">
        <v>222263.2</v>
      </c>
      <c r="J444" s="1">
        <v>93658.5</v>
      </c>
      <c r="K444" s="1">
        <v>128604.7</v>
      </c>
      <c r="L444" s="1">
        <v>2400</v>
      </c>
      <c r="M444" s="1">
        <v>600.01</v>
      </c>
      <c r="N444" s="1">
        <v>42030.5</v>
      </c>
      <c r="O444" s="1">
        <v>59094.3</v>
      </c>
      <c r="P444" s="1">
        <v>101124.8</v>
      </c>
      <c r="Q444" s="1">
        <v>76584.3</v>
      </c>
      <c r="R444" s="1">
        <v>8802.9</v>
      </c>
      <c r="S444" s="1">
        <v>85387.199999999997</v>
      </c>
      <c r="T444" s="1">
        <v>16.09</v>
      </c>
      <c r="U444" s="1">
        <v>0.39</v>
      </c>
      <c r="V444" s="1">
        <v>7403.3</v>
      </c>
      <c r="W444" s="1">
        <v>83987.6</v>
      </c>
      <c r="X444" s="1">
        <v>600.4</v>
      </c>
      <c r="Y444" s="1">
        <v>2400</v>
      </c>
      <c r="Z444" s="1">
        <v>185112.4</v>
      </c>
      <c r="AA444" s="1">
        <v>16.71</v>
      </c>
      <c r="AB444" s="1">
        <v>8000</v>
      </c>
    </row>
    <row r="445" spans="1:28" x14ac:dyDescent="0.4">
      <c r="A445" s="1" t="s">
        <v>490</v>
      </c>
      <c r="B445" s="1">
        <v>8000</v>
      </c>
      <c r="C445" s="1">
        <v>0.2</v>
      </c>
      <c r="D445" s="1">
        <v>0.5</v>
      </c>
      <c r="E445" s="1">
        <v>500</v>
      </c>
      <c r="F445" s="1">
        <v>2</v>
      </c>
      <c r="G445" s="1">
        <v>4</v>
      </c>
      <c r="H445" s="1" t="s">
        <v>583</v>
      </c>
      <c r="I445" s="1">
        <v>229297.3</v>
      </c>
      <c r="J445" s="1">
        <v>84967.3</v>
      </c>
      <c r="K445" s="1">
        <v>144330</v>
      </c>
      <c r="L445" s="1">
        <v>2400</v>
      </c>
      <c r="M445" s="1">
        <v>600.03</v>
      </c>
      <c r="N445" s="1">
        <v>38780.300000000003</v>
      </c>
      <c r="O445" s="1">
        <v>64961</v>
      </c>
      <c r="P445" s="1">
        <v>103741.3</v>
      </c>
      <c r="Q445" s="1">
        <v>76167.7</v>
      </c>
      <c r="R445" s="1">
        <v>8886.2000000000007</v>
      </c>
      <c r="S445" s="1">
        <v>85053.9</v>
      </c>
      <c r="T445" s="1">
        <v>17.66</v>
      </c>
      <c r="U445" s="1">
        <v>0.48</v>
      </c>
      <c r="V445" s="1">
        <v>7427</v>
      </c>
      <c r="W445" s="1">
        <v>83594.7</v>
      </c>
      <c r="X445" s="1">
        <v>600.51</v>
      </c>
      <c r="Y445" s="1">
        <v>2400</v>
      </c>
      <c r="Z445" s="1">
        <v>187336</v>
      </c>
      <c r="AA445" s="1">
        <v>18.3</v>
      </c>
      <c r="AB445" s="1">
        <v>8000</v>
      </c>
    </row>
    <row r="446" spans="1:28" x14ac:dyDescent="0.4">
      <c r="A446" s="1" t="s">
        <v>491</v>
      </c>
      <c r="B446" s="1">
        <v>8000</v>
      </c>
      <c r="C446" s="1">
        <v>0.2</v>
      </c>
      <c r="D446" s="1">
        <v>0.5</v>
      </c>
      <c r="E446" s="1">
        <v>500</v>
      </c>
      <c r="F446" s="1">
        <v>2</v>
      </c>
      <c r="G446" s="1">
        <v>5</v>
      </c>
      <c r="H446" s="1" t="s">
        <v>583</v>
      </c>
      <c r="I446" s="1">
        <v>224542.5</v>
      </c>
      <c r="J446" s="1">
        <v>82787.3</v>
      </c>
      <c r="K446" s="1">
        <v>141755.20000000001</v>
      </c>
      <c r="L446" s="1">
        <v>2400</v>
      </c>
      <c r="M446" s="1">
        <v>600</v>
      </c>
      <c r="N446" s="1">
        <v>38095.4</v>
      </c>
      <c r="O446" s="1">
        <v>62141.3</v>
      </c>
      <c r="P446" s="1">
        <v>100236.7</v>
      </c>
      <c r="Q446" s="1">
        <v>75803.199999999997</v>
      </c>
      <c r="R446" s="1">
        <v>8360.9</v>
      </c>
      <c r="S446" s="1">
        <v>84164.1</v>
      </c>
      <c r="T446" s="1">
        <v>17.88</v>
      </c>
      <c r="U446" s="1">
        <v>0.38</v>
      </c>
      <c r="V446" s="1">
        <v>6747.2</v>
      </c>
      <c r="W446" s="1">
        <v>82550.399999999994</v>
      </c>
      <c r="X446" s="1">
        <v>600.38</v>
      </c>
      <c r="Y446" s="1">
        <v>2400</v>
      </c>
      <c r="Z446" s="1">
        <v>182787.1</v>
      </c>
      <c r="AA446" s="1">
        <v>18.600000000000001</v>
      </c>
      <c r="AB446" s="1">
        <v>8000</v>
      </c>
    </row>
    <row r="447" spans="1:28" x14ac:dyDescent="0.4">
      <c r="A447" s="1" t="s">
        <v>492</v>
      </c>
      <c r="B447" s="1">
        <v>8000</v>
      </c>
      <c r="C447" s="1">
        <v>0.2</v>
      </c>
      <c r="D447" s="1">
        <v>0.5</v>
      </c>
      <c r="E447" s="1">
        <v>500</v>
      </c>
      <c r="F447" s="1">
        <v>3</v>
      </c>
      <c r="G447" s="1">
        <v>1</v>
      </c>
      <c r="H447" s="1" t="s">
        <v>583</v>
      </c>
      <c r="I447" s="1">
        <v>292420.09999999998</v>
      </c>
      <c r="J447" s="1">
        <v>108941.2</v>
      </c>
      <c r="K447" s="1">
        <v>183478.9</v>
      </c>
      <c r="L447" s="1">
        <v>2400</v>
      </c>
      <c r="M447" s="1">
        <v>600.02</v>
      </c>
      <c r="N447" s="1">
        <v>51954.400000000001</v>
      </c>
      <c r="O447" s="1">
        <v>85311.7</v>
      </c>
      <c r="P447" s="1">
        <v>137266.1</v>
      </c>
      <c r="Q447" s="1">
        <v>78878.899999999994</v>
      </c>
      <c r="R447" s="1">
        <v>10703.5</v>
      </c>
      <c r="S447" s="1">
        <v>89582.399999999994</v>
      </c>
      <c r="T447" s="1">
        <v>22.42</v>
      </c>
      <c r="U447" s="1">
        <v>0.46</v>
      </c>
      <c r="V447" s="1">
        <v>8728.5</v>
      </c>
      <c r="W447" s="1">
        <v>87607.4</v>
      </c>
      <c r="X447" s="1">
        <v>600.48</v>
      </c>
      <c r="Y447" s="1">
        <v>2400</v>
      </c>
      <c r="Z447" s="1">
        <v>224873.5</v>
      </c>
      <c r="AA447" s="1">
        <v>23.1</v>
      </c>
      <c r="AB447" s="1">
        <v>8000</v>
      </c>
    </row>
    <row r="448" spans="1:28" x14ac:dyDescent="0.4">
      <c r="A448" s="1" t="s">
        <v>493</v>
      </c>
      <c r="B448" s="1">
        <v>8000</v>
      </c>
      <c r="C448" s="1">
        <v>0.2</v>
      </c>
      <c r="D448" s="1">
        <v>0.5</v>
      </c>
      <c r="E448" s="1">
        <v>500</v>
      </c>
      <c r="F448" s="1">
        <v>3</v>
      </c>
      <c r="G448" s="1">
        <v>2</v>
      </c>
      <c r="H448" s="1" t="s">
        <v>583</v>
      </c>
      <c r="I448" s="1">
        <v>282153.40000000002</v>
      </c>
      <c r="J448" s="1">
        <v>107647.8</v>
      </c>
      <c r="K448" s="1">
        <v>174505.60000000001</v>
      </c>
      <c r="L448" s="1">
        <v>2400</v>
      </c>
      <c r="M448" s="1">
        <v>600.01</v>
      </c>
      <c r="N448" s="1">
        <v>51857.5</v>
      </c>
      <c r="O448" s="1">
        <v>82635.600000000006</v>
      </c>
      <c r="P448" s="1">
        <v>134493.1</v>
      </c>
      <c r="Q448" s="1">
        <v>76589.399999999994</v>
      </c>
      <c r="R448" s="1">
        <v>9253.2000000000007</v>
      </c>
      <c r="S448" s="1">
        <v>85842.6</v>
      </c>
      <c r="T448" s="1">
        <v>21.91</v>
      </c>
      <c r="U448" s="1">
        <v>0.52</v>
      </c>
      <c r="V448" s="1">
        <v>7605.4</v>
      </c>
      <c r="W448" s="1">
        <v>84194.8</v>
      </c>
      <c r="X448" s="1">
        <v>600.53</v>
      </c>
      <c r="Y448" s="1">
        <v>2399</v>
      </c>
      <c r="Z448" s="1">
        <v>218687.9</v>
      </c>
      <c r="AA448" s="1">
        <v>22.49</v>
      </c>
      <c r="AB448" s="1">
        <v>8000</v>
      </c>
    </row>
    <row r="449" spans="1:28" x14ac:dyDescent="0.4">
      <c r="A449" s="1" t="s">
        <v>494</v>
      </c>
      <c r="B449" s="1">
        <v>8000</v>
      </c>
      <c r="C449" s="1">
        <v>0.2</v>
      </c>
      <c r="D449" s="1">
        <v>0.5</v>
      </c>
      <c r="E449" s="1">
        <v>500</v>
      </c>
      <c r="F449" s="1">
        <v>3</v>
      </c>
      <c r="G449" s="1">
        <v>3</v>
      </c>
      <c r="H449" s="1" t="s">
        <v>583</v>
      </c>
      <c r="I449" s="1">
        <v>286274.09999999998</v>
      </c>
      <c r="J449" s="1">
        <v>110452.9</v>
      </c>
      <c r="K449" s="1">
        <v>175821.2</v>
      </c>
      <c r="L449" s="1">
        <v>2400</v>
      </c>
      <c r="M449" s="1">
        <v>600</v>
      </c>
      <c r="N449" s="1">
        <v>52776.800000000003</v>
      </c>
      <c r="O449" s="1">
        <v>84443.3</v>
      </c>
      <c r="P449" s="1">
        <v>137220.1</v>
      </c>
      <c r="Q449" s="1">
        <v>77397.399999999994</v>
      </c>
      <c r="R449" s="1">
        <v>10035.200000000001</v>
      </c>
      <c r="S449" s="1">
        <v>87432.6</v>
      </c>
      <c r="T449" s="1">
        <v>21.53</v>
      </c>
      <c r="U449" s="1">
        <v>0.44</v>
      </c>
      <c r="V449" s="1">
        <v>8098</v>
      </c>
      <c r="W449" s="1">
        <v>85495.4</v>
      </c>
      <c r="X449" s="1">
        <v>600.45000000000005</v>
      </c>
      <c r="Y449" s="1">
        <v>2400</v>
      </c>
      <c r="Z449" s="1">
        <v>222715.5</v>
      </c>
      <c r="AA449" s="1">
        <v>22.2</v>
      </c>
      <c r="AB449" s="1">
        <v>8000</v>
      </c>
    </row>
    <row r="450" spans="1:28" x14ac:dyDescent="0.4">
      <c r="A450" s="1" t="s">
        <v>495</v>
      </c>
      <c r="B450" s="1">
        <v>8000</v>
      </c>
      <c r="C450" s="1">
        <v>0.2</v>
      </c>
      <c r="D450" s="1">
        <v>0.5</v>
      </c>
      <c r="E450" s="1">
        <v>500</v>
      </c>
      <c r="F450" s="1">
        <v>3</v>
      </c>
      <c r="G450" s="1">
        <v>4</v>
      </c>
      <c r="H450" s="1" t="s">
        <v>583</v>
      </c>
      <c r="I450" s="1">
        <v>295932.79999999999</v>
      </c>
      <c r="J450" s="1">
        <v>120245.7</v>
      </c>
      <c r="K450" s="1">
        <v>175687.1</v>
      </c>
      <c r="L450" s="1">
        <v>2400</v>
      </c>
      <c r="M450" s="1">
        <v>600.02</v>
      </c>
      <c r="N450" s="1">
        <v>56247.3</v>
      </c>
      <c r="O450" s="1">
        <v>81562.399999999994</v>
      </c>
      <c r="P450" s="1">
        <v>137809.70000000001</v>
      </c>
      <c r="Q450" s="1">
        <v>79708.7</v>
      </c>
      <c r="R450" s="1">
        <v>11169.6</v>
      </c>
      <c r="S450" s="1">
        <v>90878.3</v>
      </c>
      <c r="T450" s="1">
        <v>22.72</v>
      </c>
      <c r="U450" s="1">
        <v>0.59</v>
      </c>
      <c r="V450" s="1">
        <v>8891.6</v>
      </c>
      <c r="W450" s="1">
        <v>88600.3</v>
      </c>
      <c r="X450" s="1">
        <v>600.6</v>
      </c>
      <c r="Y450" s="1">
        <v>2400</v>
      </c>
      <c r="Z450" s="1">
        <v>226410</v>
      </c>
      <c r="AA450" s="1">
        <v>23.49</v>
      </c>
      <c r="AB450" s="1">
        <v>8000</v>
      </c>
    </row>
    <row r="451" spans="1:28" x14ac:dyDescent="0.4">
      <c r="A451" s="1" t="s">
        <v>496</v>
      </c>
      <c r="B451" s="1">
        <v>8000</v>
      </c>
      <c r="C451" s="1">
        <v>0.2</v>
      </c>
      <c r="D451" s="1">
        <v>0.5</v>
      </c>
      <c r="E451" s="1">
        <v>500</v>
      </c>
      <c r="F451" s="1">
        <v>3</v>
      </c>
      <c r="G451" s="1">
        <v>5</v>
      </c>
      <c r="H451" s="1" t="s">
        <v>583</v>
      </c>
      <c r="I451" s="1">
        <v>298989.2</v>
      </c>
      <c r="J451" s="1">
        <v>113792.5</v>
      </c>
      <c r="K451" s="1">
        <v>185196.7</v>
      </c>
      <c r="L451" s="1">
        <v>2400</v>
      </c>
      <c r="M451" s="1">
        <v>600.02</v>
      </c>
      <c r="N451" s="1">
        <v>53690.1</v>
      </c>
      <c r="O451" s="1">
        <v>87974.5</v>
      </c>
      <c r="P451" s="1">
        <v>141664.6</v>
      </c>
      <c r="Q451" s="1">
        <v>80968.600000000006</v>
      </c>
      <c r="R451" s="1">
        <v>10794</v>
      </c>
      <c r="S451" s="1">
        <v>91762.6</v>
      </c>
      <c r="T451" s="1">
        <v>21.93</v>
      </c>
      <c r="U451" s="1">
        <v>0.49</v>
      </c>
      <c r="V451" s="1">
        <v>8447</v>
      </c>
      <c r="W451" s="1">
        <v>89415.6</v>
      </c>
      <c r="X451" s="1">
        <v>600.51</v>
      </c>
      <c r="Y451" s="1">
        <v>2400</v>
      </c>
      <c r="Z451" s="1">
        <v>231080.2</v>
      </c>
      <c r="AA451" s="1">
        <v>22.71</v>
      </c>
      <c r="AB451" s="1">
        <v>8000</v>
      </c>
    </row>
    <row r="452" spans="1:28" x14ac:dyDescent="0.4">
      <c r="A452" s="1" t="s">
        <v>120</v>
      </c>
      <c r="B452" s="1">
        <v>8000</v>
      </c>
      <c r="C452" s="1">
        <v>0.3</v>
      </c>
      <c r="D452" s="1">
        <v>0.5</v>
      </c>
      <c r="E452" s="1">
        <v>1000</v>
      </c>
      <c r="F452" s="1">
        <v>1</v>
      </c>
      <c r="G452" s="1">
        <v>1</v>
      </c>
      <c r="H452" s="1" t="s">
        <v>583</v>
      </c>
      <c r="I452" s="1">
        <v>286040.5</v>
      </c>
      <c r="J452" s="1">
        <v>110201.1</v>
      </c>
      <c r="K452" s="1">
        <v>175839.4</v>
      </c>
      <c r="L452" s="1">
        <v>2400</v>
      </c>
      <c r="M452" s="1">
        <v>600.04</v>
      </c>
      <c r="N452" s="1">
        <v>49558.6</v>
      </c>
      <c r="O452" s="1">
        <v>79737.399999999994</v>
      </c>
      <c r="P452" s="1">
        <v>129296</v>
      </c>
      <c r="Q452" s="1">
        <v>86746.3</v>
      </c>
      <c r="R452" s="1">
        <v>17237.599999999999</v>
      </c>
      <c r="S452" s="1">
        <v>103983.9</v>
      </c>
      <c r="T452" s="1">
        <v>18.45</v>
      </c>
      <c r="U452" s="1">
        <v>0.81</v>
      </c>
      <c r="V452" s="1">
        <v>16294.2</v>
      </c>
      <c r="W452" s="1">
        <v>103040.5</v>
      </c>
      <c r="X452" s="1">
        <v>600.85</v>
      </c>
      <c r="Y452" s="1">
        <v>2400</v>
      </c>
      <c r="Z452" s="1">
        <v>232336.5</v>
      </c>
      <c r="AA452" s="1">
        <v>18.77</v>
      </c>
      <c r="AB452" s="1">
        <v>8000</v>
      </c>
    </row>
    <row r="453" spans="1:28" x14ac:dyDescent="0.4">
      <c r="A453" s="1" t="s">
        <v>121</v>
      </c>
      <c r="B453" s="1">
        <v>8000</v>
      </c>
      <c r="C453" s="1">
        <v>0.3</v>
      </c>
      <c r="D453" s="1">
        <v>0.5</v>
      </c>
      <c r="E453" s="1">
        <v>1000</v>
      </c>
      <c r="F453" s="1">
        <v>1</v>
      </c>
      <c r="G453" s="1">
        <v>2</v>
      </c>
      <c r="H453" s="1" t="s">
        <v>583</v>
      </c>
      <c r="I453" s="1">
        <v>292003.40000000002</v>
      </c>
      <c r="J453" s="1">
        <v>110554.4</v>
      </c>
      <c r="K453" s="1">
        <v>181449</v>
      </c>
      <c r="L453" s="1">
        <v>2400</v>
      </c>
      <c r="M453" s="1">
        <v>600.02</v>
      </c>
      <c r="N453" s="1">
        <v>48587.6</v>
      </c>
      <c r="O453" s="1">
        <v>83618</v>
      </c>
      <c r="P453" s="1">
        <v>132205.6</v>
      </c>
      <c r="Q453" s="1">
        <v>87343</v>
      </c>
      <c r="R453" s="1">
        <v>16963.8</v>
      </c>
      <c r="S453" s="1">
        <v>104306.8</v>
      </c>
      <c r="T453" s="1">
        <v>19</v>
      </c>
      <c r="U453" s="1">
        <v>0.67</v>
      </c>
      <c r="V453" s="1">
        <v>15614.1</v>
      </c>
      <c r="W453" s="1">
        <v>102957.1</v>
      </c>
      <c r="X453" s="1">
        <v>600.69000000000005</v>
      </c>
      <c r="Y453" s="1">
        <v>2400</v>
      </c>
      <c r="Z453" s="1">
        <v>235162.7</v>
      </c>
      <c r="AA453" s="1">
        <v>19.47</v>
      </c>
      <c r="AB453" s="1">
        <v>8000</v>
      </c>
    </row>
    <row r="454" spans="1:28" x14ac:dyDescent="0.4">
      <c r="A454" s="1" t="s">
        <v>122</v>
      </c>
      <c r="B454" s="1">
        <v>8000</v>
      </c>
      <c r="C454" s="1">
        <v>0.3</v>
      </c>
      <c r="D454" s="1">
        <v>0.5</v>
      </c>
      <c r="E454" s="1">
        <v>1000</v>
      </c>
      <c r="F454" s="1">
        <v>1</v>
      </c>
      <c r="G454" s="1">
        <v>3</v>
      </c>
      <c r="H454" s="1" t="s">
        <v>583</v>
      </c>
      <c r="I454" s="1">
        <v>292940.79999999999</v>
      </c>
      <c r="J454" s="1">
        <v>116162.1</v>
      </c>
      <c r="K454" s="1">
        <v>176778.7</v>
      </c>
      <c r="L454" s="1">
        <v>2400</v>
      </c>
      <c r="M454" s="1">
        <v>600.02</v>
      </c>
      <c r="N454" s="1">
        <v>53159.6</v>
      </c>
      <c r="O454" s="1">
        <v>80218.100000000006</v>
      </c>
      <c r="P454" s="1">
        <v>133377.70000000001</v>
      </c>
      <c r="Q454" s="1">
        <v>85996.800000000003</v>
      </c>
      <c r="R454" s="1">
        <v>16705.099999999999</v>
      </c>
      <c r="S454" s="1">
        <v>102701.9</v>
      </c>
      <c r="T454" s="1">
        <v>19.41</v>
      </c>
      <c r="U454" s="1">
        <v>0.8</v>
      </c>
      <c r="V454" s="1">
        <v>15465.8</v>
      </c>
      <c r="W454" s="1">
        <v>101462.6</v>
      </c>
      <c r="X454" s="1">
        <v>600.80999999999995</v>
      </c>
      <c r="Y454" s="1">
        <v>2400</v>
      </c>
      <c r="Z454" s="1">
        <v>234840.3</v>
      </c>
      <c r="AA454" s="1">
        <v>19.829999999999998</v>
      </c>
      <c r="AB454" s="1">
        <v>8000</v>
      </c>
    </row>
    <row r="455" spans="1:28" x14ac:dyDescent="0.4">
      <c r="A455" s="1" t="s">
        <v>123</v>
      </c>
      <c r="B455" s="1">
        <v>8000</v>
      </c>
      <c r="C455" s="1">
        <v>0.3</v>
      </c>
      <c r="D455" s="1">
        <v>0.5</v>
      </c>
      <c r="E455" s="1">
        <v>1000</v>
      </c>
      <c r="F455" s="1">
        <v>1</v>
      </c>
      <c r="G455" s="1">
        <v>4</v>
      </c>
      <c r="H455" s="1" t="s">
        <v>583</v>
      </c>
      <c r="I455" s="1">
        <v>280335.2</v>
      </c>
      <c r="J455" s="1">
        <v>111676</v>
      </c>
      <c r="K455" s="1">
        <v>168659.20000000001</v>
      </c>
      <c r="L455" s="1">
        <v>2400</v>
      </c>
      <c r="M455" s="1">
        <v>600.01</v>
      </c>
      <c r="N455" s="1">
        <v>52095.199999999997</v>
      </c>
      <c r="O455" s="1">
        <v>76873.100000000006</v>
      </c>
      <c r="P455" s="1">
        <v>128968.3</v>
      </c>
      <c r="Q455" s="1">
        <v>85254.6</v>
      </c>
      <c r="R455" s="1">
        <v>16865.5</v>
      </c>
      <c r="S455" s="1">
        <v>102120.1</v>
      </c>
      <c r="T455" s="1">
        <v>17.57</v>
      </c>
      <c r="U455" s="1">
        <v>0.56999999999999995</v>
      </c>
      <c r="V455" s="1">
        <v>15768.4</v>
      </c>
      <c r="W455" s="1">
        <v>101023</v>
      </c>
      <c r="X455" s="1">
        <v>600.57000000000005</v>
      </c>
      <c r="Y455" s="1">
        <v>2400</v>
      </c>
      <c r="Z455" s="1">
        <v>229991.3</v>
      </c>
      <c r="AA455" s="1">
        <v>17.96</v>
      </c>
      <c r="AB455" s="1">
        <v>8000</v>
      </c>
    </row>
    <row r="456" spans="1:28" x14ac:dyDescent="0.4">
      <c r="A456" s="1" t="s">
        <v>124</v>
      </c>
      <c r="B456" s="1">
        <v>8000</v>
      </c>
      <c r="C456" s="1">
        <v>0.3</v>
      </c>
      <c r="D456" s="1">
        <v>0.5</v>
      </c>
      <c r="E456" s="1">
        <v>1000</v>
      </c>
      <c r="F456" s="1">
        <v>1</v>
      </c>
      <c r="G456" s="1">
        <v>5</v>
      </c>
      <c r="H456" s="1" t="s">
        <v>583</v>
      </c>
      <c r="I456" s="1">
        <v>286002.59999999998</v>
      </c>
      <c r="J456" s="1">
        <v>115303.6</v>
      </c>
      <c r="K456" s="1">
        <v>170699</v>
      </c>
      <c r="L456" s="1">
        <v>2400</v>
      </c>
      <c r="M456" s="1">
        <v>600</v>
      </c>
      <c r="N456" s="1">
        <v>53995.6</v>
      </c>
      <c r="O456" s="1">
        <v>78824.600000000006</v>
      </c>
      <c r="P456" s="1">
        <v>132820.20000000001</v>
      </c>
      <c r="Q456" s="1">
        <v>85725.3</v>
      </c>
      <c r="R456" s="1">
        <v>16354.6</v>
      </c>
      <c r="S456" s="1">
        <v>102079.9</v>
      </c>
      <c r="T456" s="1">
        <v>17.87</v>
      </c>
      <c r="U456" s="1">
        <v>0.65</v>
      </c>
      <c r="V456" s="1">
        <v>15078.6</v>
      </c>
      <c r="W456" s="1">
        <v>100803.9</v>
      </c>
      <c r="X456" s="1">
        <v>600.65</v>
      </c>
      <c r="Y456" s="1">
        <v>2400</v>
      </c>
      <c r="Z456" s="1">
        <v>233624.1</v>
      </c>
      <c r="AA456" s="1">
        <v>18.309999999999999</v>
      </c>
      <c r="AB456" s="1">
        <v>8000</v>
      </c>
    </row>
    <row r="457" spans="1:28" x14ac:dyDescent="0.4">
      <c r="A457" s="1" t="s">
        <v>125</v>
      </c>
      <c r="B457" s="1">
        <v>8000</v>
      </c>
      <c r="C457" s="1">
        <v>0.3</v>
      </c>
      <c r="D457" s="1">
        <v>0.5</v>
      </c>
      <c r="E457" s="1">
        <v>1000</v>
      </c>
      <c r="F457" s="1">
        <v>2</v>
      </c>
      <c r="G457" s="1">
        <v>1</v>
      </c>
      <c r="H457" s="1" t="s">
        <v>583</v>
      </c>
      <c r="I457" s="1">
        <v>450971.9</v>
      </c>
      <c r="J457" s="1">
        <v>169991.9</v>
      </c>
      <c r="K457" s="1">
        <v>280980</v>
      </c>
      <c r="L457" s="1">
        <v>2400</v>
      </c>
      <c r="M457" s="1">
        <v>600.02</v>
      </c>
      <c r="N457" s="1">
        <v>82799.600000000006</v>
      </c>
      <c r="O457" s="1">
        <v>132137.20000000001</v>
      </c>
      <c r="P457" s="1">
        <v>214936.8</v>
      </c>
      <c r="Q457" s="1">
        <v>89015</v>
      </c>
      <c r="R457" s="1">
        <v>20286.2</v>
      </c>
      <c r="S457" s="1">
        <v>109301.2</v>
      </c>
      <c r="T457" s="1">
        <v>28.1</v>
      </c>
      <c r="U457" s="1">
        <v>0.99</v>
      </c>
      <c r="V457" s="1">
        <v>17663.5</v>
      </c>
      <c r="W457" s="1">
        <v>106678.5</v>
      </c>
      <c r="X457" s="1">
        <v>601.01</v>
      </c>
      <c r="Y457" s="1">
        <v>2400</v>
      </c>
      <c r="Z457" s="1">
        <v>321615.3</v>
      </c>
      <c r="AA457" s="1">
        <v>28.68</v>
      </c>
      <c r="AB457" s="1">
        <v>8000</v>
      </c>
    </row>
    <row r="458" spans="1:28" x14ac:dyDescent="0.4">
      <c r="A458" s="1" t="s">
        <v>126</v>
      </c>
      <c r="B458" s="1">
        <v>8000</v>
      </c>
      <c r="C458" s="1">
        <v>0.3</v>
      </c>
      <c r="D458" s="1">
        <v>0.5</v>
      </c>
      <c r="E458" s="1">
        <v>1000</v>
      </c>
      <c r="F458" s="1">
        <v>2</v>
      </c>
      <c r="G458" s="1">
        <v>2</v>
      </c>
      <c r="H458" s="1" t="s">
        <v>583</v>
      </c>
      <c r="I458" s="1">
        <v>447112</v>
      </c>
      <c r="J458" s="1">
        <v>171904</v>
      </c>
      <c r="K458" s="1">
        <v>275208</v>
      </c>
      <c r="L458" s="1">
        <v>2400</v>
      </c>
      <c r="M458" s="1">
        <v>600.01</v>
      </c>
      <c r="N458" s="1">
        <v>84653.4</v>
      </c>
      <c r="O458" s="1">
        <v>129101.4</v>
      </c>
      <c r="P458" s="1">
        <v>213754.8</v>
      </c>
      <c r="Q458" s="1">
        <v>90313.1</v>
      </c>
      <c r="R458" s="1">
        <v>20517.3</v>
      </c>
      <c r="S458" s="1">
        <v>110830.39999999999</v>
      </c>
      <c r="T458" s="1">
        <v>27.4</v>
      </c>
      <c r="U458" s="1">
        <v>1.25</v>
      </c>
      <c r="V458" s="1">
        <v>17441.2</v>
      </c>
      <c r="W458" s="1">
        <v>107754.3</v>
      </c>
      <c r="X458" s="1">
        <v>601.26</v>
      </c>
      <c r="Y458" s="1">
        <v>2400</v>
      </c>
      <c r="Z458" s="1">
        <v>321509.09999999998</v>
      </c>
      <c r="AA458" s="1">
        <v>28.09</v>
      </c>
      <c r="AB458" s="1">
        <v>8000</v>
      </c>
    </row>
    <row r="459" spans="1:28" x14ac:dyDescent="0.4">
      <c r="A459" s="1" t="s">
        <v>127</v>
      </c>
      <c r="B459" s="1">
        <v>8000</v>
      </c>
      <c r="C459" s="1">
        <v>0.3</v>
      </c>
      <c r="D459" s="1">
        <v>0.5</v>
      </c>
      <c r="E459" s="1">
        <v>1000</v>
      </c>
      <c r="F459" s="1">
        <v>2</v>
      </c>
      <c r="G459" s="1">
        <v>3</v>
      </c>
      <c r="H459" s="1" t="s">
        <v>583</v>
      </c>
      <c r="I459" s="1">
        <v>447008.9</v>
      </c>
      <c r="J459" s="1">
        <v>167665.79999999999</v>
      </c>
      <c r="K459" s="1">
        <v>279343.09999999998</v>
      </c>
      <c r="L459" s="1">
        <v>2400</v>
      </c>
      <c r="M459" s="1">
        <v>600.02</v>
      </c>
      <c r="N459" s="1">
        <v>81408</v>
      </c>
      <c r="O459" s="1">
        <v>129472.1</v>
      </c>
      <c r="P459" s="1">
        <v>210880.1</v>
      </c>
      <c r="Q459" s="1">
        <v>91676.3</v>
      </c>
      <c r="R459" s="1">
        <v>21208.6</v>
      </c>
      <c r="S459" s="1">
        <v>112884.9</v>
      </c>
      <c r="T459" s="1">
        <v>27.57</v>
      </c>
      <c r="U459" s="1">
        <v>0.94</v>
      </c>
      <c r="V459" s="1">
        <v>18091.5</v>
      </c>
      <c r="W459" s="1">
        <v>109767.8</v>
      </c>
      <c r="X459" s="1">
        <v>600.95000000000005</v>
      </c>
      <c r="Y459" s="1">
        <v>2400</v>
      </c>
      <c r="Z459" s="1">
        <v>320647.90000000002</v>
      </c>
      <c r="AA459" s="1">
        <v>28.27</v>
      </c>
      <c r="AB459" s="1">
        <v>8000</v>
      </c>
    </row>
    <row r="460" spans="1:28" x14ac:dyDescent="0.4">
      <c r="A460" s="1" t="s">
        <v>128</v>
      </c>
      <c r="B460" s="1">
        <v>8000</v>
      </c>
      <c r="C460" s="1">
        <v>0.3</v>
      </c>
      <c r="D460" s="1">
        <v>0.5</v>
      </c>
      <c r="E460" s="1">
        <v>1000</v>
      </c>
      <c r="F460" s="1">
        <v>2</v>
      </c>
      <c r="G460" s="1">
        <v>4</v>
      </c>
      <c r="H460" s="1" t="s">
        <v>583</v>
      </c>
      <c r="I460" s="1">
        <v>441673.7</v>
      </c>
      <c r="J460" s="1">
        <v>172616.6</v>
      </c>
      <c r="K460" s="1">
        <v>269057.09999999998</v>
      </c>
      <c r="L460" s="1">
        <v>2400</v>
      </c>
      <c r="M460" s="1">
        <v>600</v>
      </c>
      <c r="N460" s="1">
        <v>82147.399999999994</v>
      </c>
      <c r="O460" s="1">
        <v>123145.9</v>
      </c>
      <c r="P460" s="1">
        <v>205293.3</v>
      </c>
      <c r="Q460" s="1">
        <v>90194.6</v>
      </c>
      <c r="R460" s="1">
        <v>21061</v>
      </c>
      <c r="S460" s="1">
        <v>111255.6</v>
      </c>
      <c r="T460" s="1">
        <v>28.33</v>
      </c>
      <c r="U460" s="1">
        <v>0.96</v>
      </c>
      <c r="V460" s="1">
        <v>18287.900000000001</v>
      </c>
      <c r="W460" s="1">
        <v>108482.5</v>
      </c>
      <c r="X460" s="1">
        <v>600.97</v>
      </c>
      <c r="Y460" s="1">
        <v>2400</v>
      </c>
      <c r="Z460" s="1">
        <v>313775.8</v>
      </c>
      <c r="AA460" s="1">
        <v>28.96</v>
      </c>
      <c r="AB460" s="1">
        <v>8000</v>
      </c>
    </row>
    <row r="461" spans="1:28" x14ac:dyDescent="0.4">
      <c r="A461" s="1" t="s">
        <v>129</v>
      </c>
      <c r="B461" s="1">
        <v>8000</v>
      </c>
      <c r="C461" s="1">
        <v>0.3</v>
      </c>
      <c r="D461" s="1">
        <v>0.5</v>
      </c>
      <c r="E461" s="1">
        <v>1000</v>
      </c>
      <c r="F461" s="1">
        <v>2</v>
      </c>
      <c r="G461" s="1">
        <v>5</v>
      </c>
      <c r="H461" s="1" t="s">
        <v>583</v>
      </c>
      <c r="I461" s="1">
        <v>441622.8</v>
      </c>
      <c r="J461" s="1">
        <v>175651.8</v>
      </c>
      <c r="K461" s="1">
        <v>265971</v>
      </c>
      <c r="L461" s="1">
        <v>2400</v>
      </c>
      <c r="M461" s="1">
        <v>600</v>
      </c>
      <c r="N461" s="1">
        <v>84924.800000000003</v>
      </c>
      <c r="O461" s="1">
        <v>121828.2</v>
      </c>
      <c r="P461" s="1">
        <v>206753</v>
      </c>
      <c r="Q461" s="1">
        <v>89234</v>
      </c>
      <c r="R461" s="1">
        <v>21038.799999999999</v>
      </c>
      <c r="S461" s="1">
        <v>110272.8</v>
      </c>
      <c r="T461" s="1">
        <v>28.21</v>
      </c>
      <c r="U461" s="1">
        <v>1.19</v>
      </c>
      <c r="V461" s="1">
        <v>18442</v>
      </c>
      <c r="W461" s="1">
        <v>107676</v>
      </c>
      <c r="X461" s="1">
        <v>601.19000000000005</v>
      </c>
      <c r="Y461" s="1">
        <v>2400</v>
      </c>
      <c r="Z461" s="1">
        <v>314429</v>
      </c>
      <c r="AA461" s="1">
        <v>28.8</v>
      </c>
      <c r="AB461" s="1">
        <v>8000</v>
      </c>
    </row>
    <row r="462" spans="1:28" x14ac:dyDescent="0.4">
      <c r="A462" s="1" t="s">
        <v>130</v>
      </c>
      <c r="B462" s="1">
        <v>8000</v>
      </c>
      <c r="C462" s="1">
        <v>0.3</v>
      </c>
      <c r="D462" s="1">
        <v>0.5</v>
      </c>
      <c r="E462" s="1">
        <v>1000</v>
      </c>
      <c r="F462" s="1">
        <v>3</v>
      </c>
      <c r="G462" s="1">
        <v>1</v>
      </c>
      <c r="H462" s="1" t="s">
        <v>583</v>
      </c>
      <c r="I462" s="1">
        <v>601966.4</v>
      </c>
      <c r="J462" s="1">
        <v>222890</v>
      </c>
      <c r="K462" s="1">
        <v>379076.4</v>
      </c>
      <c r="L462" s="1">
        <v>2400</v>
      </c>
      <c r="M462" s="1">
        <v>600.08000000000004</v>
      </c>
      <c r="N462" s="1">
        <v>111205.2</v>
      </c>
      <c r="O462" s="1">
        <v>184841.7</v>
      </c>
      <c r="P462" s="1">
        <v>296046.90000000002</v>
      </c>
      <c r="Q462" s="1">
        <v>92117</v>
      </c>
      <c r="R462" s="1">
        <v>25700.799999999999</v>
      </c>
      <c r="S462" s="1">
        <v>117817.8</v>
      </c>
      <c r="T462" s="1">
        <v>31.25</v>
      </c>
      <c r="U462" s="1">
        <v>1.7</v>
      </c>
      <c r="V462" s="1">
        <v>21692.6</v>
      </c>
      <c r="W462" s="1">
        <v>113809.60000000001</v>
      </c>
      <c r="X462" s="1">
        <v>601.77</v>
      </c>
      <c r="Y462" s="1">
        <v>2400</v>
      </c>
      <c r="Z462" s="1">
        <v>409856.5</v>
      </c>
      <c r="AA462" s="1">
        <v>31.91</v>
      </c>
      <c r="AB462" s="1">
        <v>8000</v>
      </c>
    </row>
    <row r="463" spans="1:28" x14ac:dyDescent="0.4">
      <c r="A463" s="1" t="s">
        <v>131</v>
      </c>
      <c r="B463" s="1">
        <v>8000</v>
      </c>
      <c r="C463" s="1">
        <v>0.3</v>
      </c>
      <c r="D463" s="1">
        <v>0.5</v>
      </c>
      <c r="E463" s="1">
        <v>1000</v>
      </c>
      <c r="F463" s="1">
        <v>3</v>
      </c>
      <c r="G463" s="1">
        <v>2</v>
      </c>
      <c r="H463" s="1" t="s">
        <v>583</v>
      </c>
      <c r="I463" s="1">
        <v>565282.6</v>
      </c>
      <c r="J463" s="1">
        <v>215214.2</v>
      </c>
      <c r="K463" s="1">
        <v>350068.4</v>
      </c>
      <c r="L463" s="1">
        <v>2400</v>
      </c>
      <c r="M463" s="1">
        <v>600.01</v>
      </c>
      <c r="N463" s="1">
        <v>109569.2</v>
      </c>
      <c r="O463" s="1">
        <v>170935</v>
      </c>
      <c r="P463" s="1">
        <v>280504.2</v>
      </c>
      <c r="Q463" s="1">
        <v>91271.6</v>
      </c>
      <c r="R463" s="1">
        <v>25323.3</v>
      </c>
      <c r="S463" s="1">
        <v>116594.9</v>
      </c>
      <c r="T463" s="1">
        <v>29.75</v>
      </c>
      <c r="U463" s="1">
        <v>1.63</v>
      </c>
      <c r="V463" s="1">
        <v>21183.7</v>
      </c>
      <c r="W463" s="1">
        <v>112455.3</v>
      </c>
      <c r="X463" s="1">
        <v>601.64</v>
      </c>
      <c r="Y463" s="1">
        <v>2400</v>
      </c>
      <c r="Z463" s="1">
        <v>392959.5</v>
      </c>
      <c r="AA463" s="1">
        <v>30.48</v>
      </c>
      <c r="AB463" s="1">
        <v>8000</v>
      </c>
    </row>
    <row r="464" spans="1:28" x14ac:dyDescent="0.4">
      <c r="A464" s="1" t="s">
        <v>132</v>
      </c>
      <c r="B464" s="1">
        <v>8000</v>
      </c>
      <c r="C464" s="1">
        <v>0.3</v>
      </c>
      <c r="D464" s="1">
        <v>0.5</v>
      </c>
      <c r="E464" s="1">
        <v>1000</v>
      </c>
      <c r="F464" s="1">
        <v>3</v>
      </c>
      <c r="G464" s="1">
        <v>3</v>
      </c>
      <c r="H464" s="1" t="s">
        <v>583</v>
      </c>
      <c r="I464" s="1">
        <v>586619.6</v>
      </c>
      <c r="J464" s="1">
        <v>224384.6</v>
      </c>
      <c r="K464" s="1">
        <v>362235</v>
      </c>
      <c r="L464" s="1">
        <v>2400</v>
      </c>
      <c r="M464" s="1">
        <v>600.02</v>
      </c>
      <c r="N464" s="1">
        <v>112968.9</v>
      </c>
      <c r="O464" s="1">
        <v>176998.2</v>
      </c>
      <c r="P464" s="1">
        <v>289967.09999999998</v>
      </c>
      <c r="Q464" s="1">
        <v>90011.3</v>
      </c>
      <c r="R464" s="1">
        <v>24436.799999999999</v>
      </c>
      <c r="S464" s="1">
        <v>114448.1</v>
      </c>
      <c r="T464" s="1">
        <v>31.06</v>
      </c>
      <c r="U464" s="1">
        <v>1.7</v>
      </c>
      <c r="V464" s="1">
        <v>20756.7</v>
      </c>
      <c r="W464" s="1">
        <v>110768</v>
      </c>
      <c r="X464" s="1">
        <v>601.72</v>
      </c>
      <c r="Y464" s="1">
        <v>2399</v>
      </c>
      <c r="Z464" s="1">
        <v>400735.1</v>
      </c>
      <c r="AA464" s="1">
        <v>31.69</v>
      </c>
      <c r="AB464" s="1">
        <v>8000</v>
      </c>
    </row>
    <row r="465" spans="1:28" x14ac:dyDescent="0.4">
      <c r="A465" s="1" t="s">
        <v>133</v>
      </c>
      <c r="B465" s="1">
        <v>8000</v>
      </c>
      <c r="C465" s="1">
        <v>0.3</v>
      </c>
      <c r="D465" s="1">
        <v>0.5</v>
      </c>
      <c r="E465" s="1">
        <v>1000</v>
      </c>
      <c r="F465" s="1">
        <v>3</v>
      </c>
      <c r="G465" s="1">
        <v>4</v>
      </c>
      <c r="H465" s="1" t="s">
        <v>583</v>
      </c>
      <c r="I465" s="1">
        <v>588648.9</v>
      </c>
      <c r="J465" s="1">
        <v>222740.3</v>
      </c>
      <c r="K465" s="1">
        <v>365908.6</v>
      </c>
      <c r="L465" s="1">
        <v>2400</v>
      </c>
      <c r="M465" s="1">
        <v>600.01</v>
      </c>
      <c r="N465" s="1">
        <v>112536.9</v>
      </c>
      <c r="O465" s="1">
        <v>183214.9</v>
      </c>
      <c r="P465" s="1">
        <v>295751.8</v>
      </c>
      <c r="Q465" s="1">
        <v>90784.2</v>
      </c>
      <c r="R465" s="1">
        <v>25122.1</v>
      </c>
      <c r="S465" s="1">
        <v>115906.3</v>
      </c>
      <c r="T465" s="1">
        <v>30.07</v>
      </c>
      <c r="U465" s="1">
        <v>1.54</v>
      </c>
      <c r="V465" s="1">
        <v>21245.8</v>
      </c>
      <c r="W465" s="1">
        <v>112030</v>
      </c>
      <c r="X465" s="1">
        <v>601.54</v>
      </c>
      <c r="Y465" s="1">
        <v>2400</v>
      </c>
      <c r="Z465" s="1">
        <v>407781.8</v>
      </c>
      <c r="AA465" s="1">
        <v>30.73</v>
      </c>
      <c r="AB465" s="1">
        <v>8000</v>
      </c>
    </row>
    <row r="466" spans="1:28" x14ac:dyDescent="0.4">
      <c r="A466" s="1" t="s">
        <v>134</v>
      </c>
      <c r="B466" s="1">
        <v>8000</v>
      </c>
      <c r="C466" s="1">
        <v>0.3</v>
      </c>
      <c r="D466" s="1">
        <v>0.5</v>
      </c>
      <c r="E466" s="1">
        <v>1000</v>
      </c>
      <c r="F466" s="1">
        <v>3</v>
      </c>
      <c r="G466" s="1">
        <v>5</v>
      </c>
      <c r="H466" s="1" t="s">
        <v>583</v>
      </c>
      <c r="I466" s="1">
        <v>594008.5</v>
      </c>
      <c r="J466" s="1">
        <v>227482.3</v>
      </c>
      <c r="K466" s="1">
        <v>366526.2</v>
      </c>
      <c r="L466" s="1">
        <v>2400</v>
      </c>
      <c r="M466" s="1">
        <v>600</v>
      </c>
      <c r="N466" s="1">
        <v>114043.3</v>
      </c>
      <c r="O466" s="1">
        <v>181354.6</v>
      </c>
      <c r="P466" s="1">
        <v>295397.90000000002</v>
      </c>
      <c r="Q466" s="1">
        <v>91954.2</v>
      </c>
      <c r="R466" s="1">
        <v>25179</v>
      </c>
      <c r="S466" s="1">
        <v>117133.2</v>
      </c>
      <c r="T466" s="1">
        <v>30.55</v>
      </c>
      <c r="U466" s="1">
        <v>1.67</v>
      </c>
      <c r="V466" s="1">
        <v>21705.8</v>
      </c>
      <c r="W466" s="1">
        <v>113660</v>
      </c>
      <c r="X466" s="1">
        <v>601.66999999999996</v>
      </c>
      <c r="Y466" s="1">
        <v>2400</v>
      </c>
      <c r="Z466" s="1">
        <v>409057.9</v>
      </c>
      <c r="AA466" s="1">
        <v>31.14</v>
      </c>
      <c r="AB466" s="1">
        <v>8000</v>
      </c>
    </row>
    <row r="467" spans="1:28" x14ac:dyDescent="0.4">
      <c r="A467" s="1" t="s">
        <v>497</v>
      </c>
      <c r="B467" s="1">
        <v>8000</v>
      </c>
      <c r="C467" s="1">
        <v>0.3</v>
      </c>
      <c r="D467" s="1">
        <v>0.5</v>
      </c>
      <c r="E467" s="1">
        <v>2000</v>
      </c>
      <c r="F467" s="1">
        <v>1</v>
      </c>
      <c r="G467" s="1">
        <v>1</v>
      </c>
      <c r="H467" s="1" t="s">
        <v>583</v>
      </c>
      <c r="I467" s="1">
        <v>568393.69999999995</v>
      </c>
      <c r="J467" s="1">
        <v>226327.4</v>
      </c>
      <c r="K467" s="1">
        <v>342066.3</v>
      </c>
      <c r="L467" s="1">
        <v>2400</v>
      </c>
      <c r="M467" s="1">
        <v>600.01</v>
      </c>
      <c r="N467" s="1">
        <v>116909.1</v>
      </c>
      <c r="O467" s="1">
        <v>171205.8</v>
      </c>
      <c r="P467" s="1">
        <v>288114.90000000002</v>
      </c>
      <c r="Q467" s="1">
        <v>101010.3</v>
      </c>
      <c r="R467" s="1">
        <v>28887.4</v>
      </c>
      <c r="S467" s="1">
        <v>129897.7</v>
      </c>
      <c r="T467" s="1">
        <v>26.46</v>
      </c>
      <c r="U467" s="1">
        <v>0.94</v>
      </c>
      <c r="V467" s="1">
        <v>27481.200000000001</v>
      </c>
      <c r="W467" s="1">
        <v>128491.5</v>
      </c>
      <c r="X467" s="1">
        <v>600.95000000000005</v>
      </c>
      <c r="Y467" s="1">
        <v>2400</v>
      </c>
      <c r="Z467" s="1">
        <v>416606.4</v>
      </c>
      <c r="AA467" s="1">
        <v>26.7</v>
      </c>
      <c r="AB467" s="1">
        <v>8000</v>
      </c>
    </row>
    <row r="468" spans="1:28" x14ac:dyDescent="0.4">
      <c r="A468" s="1" t="s">
        <v>498</v>
      </c>
      <c r="B468" s="1">
        <v>8000</v>
      </c>
      <c r="C468" s="1">
        <v>0.3</v>
      </c>
      <c r="D468" s="1">
        <v>0.5</v>
      </c>
      <c r="E468" s="1">
        <v>2000</v>
      </c>
      <c r="F468" s="1">
        <v>1</v>
      </c>
      <c r="G468" s="1">
        <v>2</v>
      </c>
      <c r="H468" s="1" t="s">
        <v>583</v>
      </c>
      <c r="I468" s="1">
        <v>563271</v>
      </c>
      <c r="J468" s="1">
        <v>221108.7</v>
      </c>
      <c r="K468" s="1">
        <v>342162.3</v>
      </c>
      <c r="L468" s="1">
        <v>2400</v>
      </c>
      <c r="M468" s="1">
        <v>600.04</v>
      </c>
      <c r="N468" s="1">
        <v>115619.3</v>
      </c>
      <c r="O468" s="1">
        <v>170011.9</v>
      </c>
      <c r="P468" s="1">
        <v>285631.2</v>
      </c>
      <c r="Q468" s="1">
        <v>100399</v>
      </c>
      <c r="R468" s="1">
        <v>30069.4</v>
      </c>
      <c r="S468" s="1">
        <v>130468.4</v>
      </c>
      <c r="T468" s="1">
        <v>26.13</v>
      </c>
      <c r="U468" s="1">
        <v>1.31</v>
      </c>
      <c r="V468" s="1">
        <v>28487.4</v>
      </c>
      <c r="W468" s="1">
        <v>128886.39999999999</v>
      </c>
      <c r="X468" s="1">
        <v>601.35</v>
      </c>
      <c r="Y468" s="1">
        <v>2400</v>
      </c>
      <c r="Z468" s="1">
        <v>414517.6</v>
      </c>
      <c r="AA468" s="1">
        <v>26.41</v>
      </c>
      <c r="AB468" s="1">
        <v>8000</v>
      </c>
    </row>
    <row r="469" spans="1:28" x14ac:dyDescent="0.4">
      <c r="A469" s="1" t="s">
        <v>499</v>
      </c>
      <c r="B469" s="1">
        <v>8000</v>
      </c>
      <c r="C469" s="1">
        <v>0.3</v>
      </c>
      <c r="D469" s="1">
        <v>0.5</v>
      </c>
      <c r="E469" s="1">
        <v>2000</v>
      </c>
      <c r="F469" s="1">
        <v>1</v>
      </c>
      <c r="G469" s="1">
        <v>3</v>
      </c>
      <c r="H469" s="1" t="s">
        <v>583</v>
      </c>
      <c r="I469" s="1">
        <v>563771</v>
      </c>
      <c r="J469" s="1">
        <v>216097</v>
      </c>
      <c r="K469" s="1">
        <v>347674</v>
      </c>
      <c r="L469" s="1">
        <v>2400</v>
      </c>
      <c r="M469" s="1">
        <v>600.04</v>
      </c>
      <c r="N469" s="1">
        <v>111023.3</v>
      </c>
      <c r="O469" s="1">
        <v>172755</v>
      </c>
      <c r="P469" s="1">
        <v>283778.3</v>
      </c>
      <c r="Q469" s="1">
        <v>103305.60000000001</v>
      </c>
      <c r="R469" s="1">
        <v>30087.8</v>
      </c>
      <c r="S469" s="1">
        <v>133393.4</v>
      </c>
      <c r="T469" s="1">
        <v>26</v>
      </c>
      <c r="U469" s="1">
        <v>1.08</v>
      </c>
      <c r="V469" s="1">
        <v>28646.2</v>
      </c>
      <c r="W469" s="1">
        <v>131951.79999999999</v>
      </c>
      <c r="X469" s="1">
        <v>601.12</v>
      </c>
      <c r="Y469" s="1">
        <v>2400</v>
      </c>
      <c r="Z469" s="1">
        <v>415730.1</v>
      </c>
      <c r="AA469" s="1">
        <v>26.26</v>
      </c>
      <c r="AB469" s="1">
        <v>8000</v>
      </c>
    </row>
    <row r="470" spans="1:28" x14ac:dyDescent="0.4">
      <c r="A470" s="1" t="s">
        <v>500</v>
      </c>
      <c r="B470" s="1">
        <v>8000</v>
      </c>
      <c r="C470" s="1">
        <v>0.3</v>
      </c>
      <c r="D470" s="1">
        <v>0.5</v>
      </c>
      <c r="E470" s="1">
        <v>2000</v>
      </c>
      <c r="F470" s="1">
        <v>1</v>
      </c>
      <c r="G470" s="1">
        <v>4</v>
      </c>
      <c r="H470" s="1" t="s">
        <v>583</v>
      </c>
      <c r="I470" s="1">
        <v>563641.4</v>
      </c>
      <c r="J470" s="1">
        <v>223729.6</v>
      </c>
      <c r="K470" s="1">
        <v>339911.8</v>
      </c>
      <c r="L470" s="1">
        <v>2400</v>
      </c>
      <c r="M470" s="1">
        <v>600.04999999999995</v>
      </c>
      <c r="N470" s="1">
        <v>113061.2</v>
      </c>
      <c r="O470" s="1">
        <v>167696.79999999999</v>
      </c>
      <c r="P470" s="1">
        <v>280758</v>
      </c>
      <c r="Q470" s="1">
        <v>103187.9</v>
      </c>
      <c r="R470" s="1">
        <v>28975.599999999999</v>
      </c>
      <c r="S470" s="1">
        <v>132163.5</v>
      </c>
      <c r="T470" s="1">
        <v>26.74</v>
      </c>
      <c r="U470" s="1">
        <v>0.9</v>
      </c>
      <c r="V470" s="1">
        <v>27993.4</v>
      </c>
      <c r="W470" s="1">
        <v>131181.29999999999</v>
      </c>
      <c r="X470" s="1">
        <v>600.94000000000005</v>
      </c>
      <c r="Y470" s="1">
        <v>2400</v>
      </c>
      <c r="Z470" s="1">
        <v>411939.3</v>
      </c>
      <c r="AA470" s="1">
        <v>26.91</v>
      </c>
      <c r="AB470" s="1">
        <v>8000</v>
      </c>
    </row>
    <row r="471" spans="1:28" x14ac:dyDescent="0.4">
      <c r="A471" s="1" t="s">
        <v>501</v>
      </c>
      <c r="B471" s="1">
        <v>8000</v>
      </c>
      <c r="C471" s="1">
        <v>0.3</v>
      </c>
      <c r="D471" s="1">
        <v>0.5</v>
      </c>
      <c r="E471" s="1">
        <v>2000</v>
      </c>
      <c r="F471" s="1">
        <v>1</v>
      </c>
      <c r="G471" s="1">
        <v>5</v>
      </c>
      <c r="H471" s="1" t="s">
        <v>583</v>
      </c>
      <c r="I471" s="1">
        <v>569884.69999999995</v>
      </c>
      <c r="J471" s="1">
        <v>222990.1</v>
      </c>
      <c r="K471" s="1">
        <v>346894.6</v>
      </c>
      <c r="L471" s="1">
        <v>2400</v>
      </c>
      <c r="M471" s="1">
        <v>600.02</v>
      </c>
      <c r="N471" s="1">
        <v>112381.4</v>
      </c>
      <c r="O471" s="1">
        <v>172178.9</v>
      </c>
      <c r="P471" s="1">
        <v>284560.3</v>
      </c>
      <c r="Q471" s="1">
        <v>102631.2</v>
      </c>
      <c r="R471" s="1">
        <v>28984.1</v>
      </c>
      <c r="S471" s="1">
        <v>131615.29999999999</v>
      </c>
      <c r="T471" s="1">
        <v>26.97</v>
      </c>
      <c r="U471" s="1">
        <v>0.82</v>
      </c>
      <c r="V471" s="1">
        <v>27620.7</v>
      </c>
      <c r="W471" s="1">
        <v>130251.9</v>
      </c>
      <c r="X471" s="1">
        <v>600.84</v>
      </c>
      <c r="Y471" s="1">
        <v>2399</v>
      </c>
      <c r="Z471" s="1">
        <v>414812.2</v>
      </c>
      <c r="AA471" s="1">
        <v>27.21</v>
      </c>
      <c r="AB471" s="1">
        <v>8000</v>
      </c>
    </row>
    <row r="472" spans="1:28" x14ac:dyDescent="0.4">
      <c r="A472" s="1" t="s">
        <v>502</v>
      </c>
      <c r="B472" s="1">
        <v>8000</v>
      </c>
      <c r="C472" s="1">
        <v>0.3</v>
      </c>
      <c r="D472" s="1">
        <v>0.5</v>
      </c>
      <c r="E472" s="1">
        <v>2000</v>
      </c>
      <c r="F472" s="1">
        <v>2</v>
      </c>
      <c r="G472" s="1">
        <v>1</v>
      </c>
      <c r="H472" s="1" t="s">
        <v>583</v>
      </c>
      <c r="I472" s="1">
        <v>889423.3</v>
      </c>
      <c r="J472" s="1">
        <v>336772</v>
      </c>
      <c r="K472" s="1">
        <v>552651.30000000005</v>
      </c>
      <c r="L472" s="1">
        <v>2400</v>
      </c>
      <c r="M472" s="1">
        <v>600.03</v>
      </c>
      <c r="N472" s="1">
        <v>181742.6</v>
      </c>
      <c r="O472" s="1">
        <v>285435.09999999998</v>
      </c>
      <c r="P472" s="1">
        <v>467177.7</v>
      </c>
      <c r="Q472" s="1">
        <v>100725.4</v>
      </c>
      <c r="R472" s="1">
        <v>34644.199999999997</v>
      </c>
      <c r="S472" s="1">
        <v>135369.60000000001</v>
      </c>
      <c r="T472" s="1">
        <v>32.25</v>
      </c>
      <c r="U472" s="1">
        <v>1.7</v>
      </c>
      <c r="V472" s="1">
        <v>31076.7</v>
      </c>
      <c r="W472" s="1">
        <v>131802.1</v>
      </c>
      <c r="X472" s="1">
        <v>601.73</v>
      </c>
      <c r="Y472" s="1">
        <v>2400</v>
      </c>
      <c r="Z472" s="1">
        <v>598979.80000000005</v>
      </c>
      <c r="AA472" s="1">
        <v>32.659999999999997</v>
      </c>
      <c r="AB472" s="1">
        <v>8000</v>
      </c>
    </row>
    <row r="473" spans="1:28" x14ac:dyDescent="0.4">
      <c r="A473" s="1" t="s">
        <v>503</v>
      </c>
      <c r="B473" s="1">
        <v>8000</v>
      </c>
      <c r="C473" s="1">
        <v>0.3</v>
      </c>
      <c r="D473" s="1">
        <v>0.5</v>
      </c>
      <c r="E473" s="1">
        <v>2000</v>
      </c>
      <c r="F473" s="1">
        <v>2</v>
      </c>
      <c r="G473" s="1">
        <v>2</v>
      </c>
      <c r="H473" s="1" t="s">
        <v>583</v>
      </c>
      <c r="I473" s="1">
        <v>876499.4</v>
      </c>
      <c r="J473" s="1">
        <v>335114.40000000002</v>
      </c>
      <c r="K473" s="1">
        <v>541385</v>
      </c>
      <c r="L473" s="1">
        <v>2400</v>
      </c>
      <c r="M473" s="1">
        <v>600.04999999999995</v>
      </c>
      <c r="N473" s="1">
        <v>183541.5</v>
      </c>
      <c r="O473" s="1">
        <v>285919.59999999998</v>
      </c>
      <c r="P473" s="1">
        <v>469461.1</v>
      </c>
      <c r="Q473" s="1">
        <v>98104.6</v>
      </c>
      <c r="R473" s="1">
        <v>33533.199999999997</v>
      </c>
      <c r="S473" s="1">
        <v>131637.79999999999</v>
      </c>
      <c r="T473" s="1">
        <v>31.42</v>
      </c>
      <c r="U473" s="1">
        <v>1.57</v>
      </c>
      <c r="V473" s="1">
        <v>29898.400000000001</v>
      </c>
      <c r="W473" s="1">
        <v>128003</v>
      </c>
      <c r="X473" s="1">
        <v>601.62</v>
      </c>
      <c r="Y473" s="1">
        <v>2400</v>
      </c>
      <c r="Z473" s="1">
        <v>597464.1</v>
      </c>
      <c r="AA473" s="1">
        <v>31.84</v>
      </c>
      <c r="AB473" s="1">
        <v>8000</v>
      </c>
    </row>
    <row r="474" spans="1:28" x14ac:dyDescent="0.4">
      <c r="A474" s="1" t="s">
        <v>504</v>
      </c>
      <c r="B474" s="1">
        <v>8000</v>
      </c>
      <c r="C474" s="1">
        <v>0.3</v>
      </c>
      <c r="D474" s="1">
        <v>0.5</v>
      </c>
      <c r="E474" s="1">
        <v>2000</v>
      </c>
      <c r="F474" s="1">
        <v>2</v>
      </c>
      <c r="G474" s="1">
        <v>3</v>
      </c>
      <c r="H474" s="1" t="s">
        <v>583</v>
      </c>
      <c r="I474" s="1">
        <v>929101.5</v>
      </c>
      <c r="J474" s="1">
        <v>344356.1</v>
      </c>
      <c r="K474" s="1">
        <v>584745.4</v>
      </c>
      <c r="L474" s="1">
        <v>2400</v>
      </c>
      <c r="M474" s="1">
        <v>600.02</v>
      </c>
      <c r="N474" s="1">
        <v>187990</v>
      </c>
      <c r="O474" s="1">
        <v>300695</v>
      </c>
      <c r="P474" s="1">
        <v>488685</v>
      </c>
      <c r="Q474" s="1">
        <v>99862.2</v>
      </c>
      <c r="R474" s="1">
        <v>34984</v>
      </c>
      <c r="S474" s="1">
        <v>134846.20000000001</v>
      </c>
      <c r="T474" s="1">
        <v>32.89</v>
      </c>
      <c r="U474" s="1">
        <v>1.62</v>
      </c>
      <c r="V474" s="1">
        <v>30709.8</v>
      </c>
      <c r="W474" s="1">
        <v>130572</v>
      </c>
      <c r="X474" s="1">
        <v>601.64</v>
      </c>
      <c r="Y474" s="1">
        <v>2400</v>
      </c>
      <c r="Z474" s="1">
        <v>619257</v>
      </c>
      <c r="AA474" s="1">
        <v>33.35</v>
      </c>
      <c r="AB474" s="1">
        <v>8000</v>
      </c>
    </row>
    <row r="475" spans="1:28" x14ac:dyDescent="0.4">
      <c r="A475" s="1" t="s">
        <v>505</v>
      </c>
      <c r="B475" s="1">
        <v>8000</v>
      </c>
      <c r="C475" s="1">
        <v>0.3</v>
      </c>
      <c r="D475" s="1">
        <v>0.5</v>
      </c>
      <c r="E475" s="1">
        <v>2000</v>
      </c>
      <c r="F475" s="1">
        <v>2</v>
      </c>
      <c r="G475" s="1">
        <v>4</v>
      </c>
      <c r="H475" s="1" t="s">
        <v>583</v>
      </c>
      <c r="I475" s="1">
        <v>919221.2</v>
      </c>
      <c r="J475" s="1">
        <v>344486.5</v>
      </c>
      <c r="K475" s="1">
        <v>574734.69999999995</v>
      </c>
      <c r="L475" s="1">
        <v>2400</v>
      </c>
      <c r="M475" s="1">
        <v>600.02</v>
      </c>
      <c r="N475" s="1">
        <v>187105.7</v>
      </c>
      <c r="O475" s="1">
        <v>296841</v>
      </c>
      <c r="P475" s="1">
        <v>483946.7</v>
      </c>
      <c r="Q475" s="1">
        <v>100266.7</v>
      </c>
      <c r="R475" s="1">
        <v>33122.9</v>
      </c>
      <c r="S475" s="1">
        <v>133389.6</v>
      </c>
      <c r="T475" s="1">
        <v>32.840000000000003</v>
      </c>
      <c r="U475" s="1">
        <v>1.73</v>
      </c>
      <c r="V475" s="1">
        <v>29791.599999999999</v>
      </c>
      <c r="W475" s="1">
        <v>130058.3</v>
      </c>
      <c r="X475" s="1">
        <v>601.75</v>
      </c>
      <c r="Y475" s="1">
        <v>2400</v>
      </c>
      <c r="Z475" s="1">
        <v>614005</v>
      </c>
      <c r="AA475" s="1">
        <v>33.200000000000003</v>
      </c>
      <c r="AB475" s="1">
        <v>8000</v>
      </c>
    </row>
    <row r="476" spans="1:28" x14ac:dyDescent="0.4">
      <c r="A476" s="1" t="s">
        <v>506</v>
      </c>
      <c r="B476" s="1">
        <v>8000</v>
      </c>
      <c r="C476" s="1">
        <v>0.3</v>
      </c>
      <c r="D476" s="1">
        <v>0.5</v>
      </c>
      <c r="E476" s="1">
        <v>2000</v>
      </c>
      <c r="F476" s="1">
        <v>2</v>
      </c>
      <c r="G476" s="1">
        <v>5</v>
      </c>
      <c r="H476" s="1" t="s">
        <v>583</v>
      </c>
      <c r="I476" s="1">
        <v>908955</v>
      </c>
      <c r="J476" s="1">
        <v>343497.3</v>
      </c>
      <c r="K476" s="1">
        <v>565457.69999999995</v>
      </c>
      <c r="L476" s="1">
        <v>2400</v>
      </c>
      <c r="M476" s="1">
        <v>600.03</v>
      </c>
      <c r="N476" s="1">
        <v>188941.2</v>
      </c>
      <c r="O476" s="1">
        <v>296380</v>
      </c>
      <c r="P476" s="1">
        <v>485321.2</v>
      </c>
      <c r="Q476" s="1">
        <v>99748.800000000003</v>
      </c>
      <c r="R476" s="1">
        <v>34308</v>
      </c>
      <c r="S476" s="1">
        <v>134056.79999999999</v>
      </c>
      <c r="T476" s="1">
        <v>31.86</v>
      </c>
      <c r="U476" s="1">
        <v>1.66</v>
      </c>
      <c r="V476" s="1">
        <v>30179.8</v>
      </c>
      <c r="W476" s="1">
        <v>129928.6</v>
      </c>
      <c r="X476" s="1">
        <v>601.70000000000005</v>
      </c>
      <c r="Y476" s="1">
        <v>2400</v>
      </c>
      <c r="Z476" s="1">
        <v>615249.80000000005</v>
      </c>
      <c r="AA476" s="1">
        <v>32.31</v>
      </c>
      <c r="AB476" s="1">
        <v>8000</v>
      </c>
    </row>
    <row r="477" spans="1:28" x14ac:dyDescent="0.4">
      <c r="A477" s="1" t="s">
        <v>507</v>
      </c>
      <c r="B477" s="1">
        <v>8000</v>
      </c>
      <c r="C477" s="1">
        <v>0.3</v>
      </c>
      <c r="D477" s="1">
        <v>0.5</v>
      </c>
      <c r="E477" s="1">
        <v>2000</v>
      </c>
      <c r="F477" s="1">
        <v>3</v>
      </c>
      <c r="G477" s="1">
        <v>1</v>
      </c>
      <c r="H477" s="1" t="s">
        <v>583</v>
      </c>
      <c r="I477" s="1">
        <v>1143126.3999999999</v>
      </c>
      <c r="J477" s="1">
        <v>438006.9</v>
      </c>
      <c r="K477" s="1">
        <v>705119.5</v>
      </c>
      <c r="L477" s="1">
        <v>2400</v>
      </c>
      <c r="M477" s="1">
        <v>600.07000000000005</v>
      </c>
      <c r="N477" s="1">
        <v>251839.5</v>
      </c>
      <c r="O477" s="1">
        <v>395950.4</v>
      </c>
      <c r="P477" s="1">
        <v>647789.9</v>
      </c>
      <c r="Q477" s="1">
        <v>95395</v>
      </c>
      <c r="R477" s="1">
        <v>33078.699999999997</v>
      </c>
      <c r="S477" s="1">
        <v>128473.7</v>
      </c>
      <c r="T477" s="1">
        <v>32.090000000000003</v>
      </c>
      <c r="U477" s="1">
        <v>1.6</v>
      </c>
      <c r="V477" s="1">
        <v>28596.6</v>
      </c>
      <c r="W477" s="1">
        <v>123991.6</v>
      </c>
      <c r="X477" s="1">
        <v>601.66999999999996</v>
      </c>
      <c r="Y477" s="1">
        <v>2400</v>
      </c>
      <c r="Z477" s="1">
        <v>771781.5</v>
      </c>
      <c r="AA477" s="1">
        <v>32.49</v>
      </c>
      <c r="AB477" s="1">
        <v>8000</v>
      </c>
    </row>
    <row r="478" spans="1:28" x14ac:dyDescent="0.4">
      <c r="A478" s="1" t="s">
        <v>508</v>
      </c>
      <c r="B478" s="1">
        <v>8000</v>
      </c>
      <c r="C478" s="1">
        <v>0.3</v>
      </c>
      <c r="D478" s="1">
        <v>0.5</v>
      </c>
      <c r="E478" s="1">
        <v>2000</v>
      </c>
      <c r="F478" s="1">
        <v>3</v>
      </c>
      <c r="G478" s="1">
        <v>2</v>
      </c>
      <c r="H478" s="1" t="s">
        <v>583</v>
      </c>
      <c r="I478" s="1">
        <v>1172864.3999999999</v>
      </c>
      <c r="J478" s="1">
        <v>437807.1</v>
      </c>
      <c r="K478" s="1">
        <v>735057.3</v>
      </c>
      <c r="L478" s="1">
        <v>2400</v>
      </c>
      <c r="M478" s="1">
        <v>600.04</v>
      </c>
      <c r="N478" s="1">
        <v>247831.5</v>
      </c>
      <c r="O478" s="1">
        <v>411257.5</v>
      </c>
      <c r="P478" s="1">
        <v>659089</v>
      </c>
      <c r="Q478" s="1">
        <v>96591</v>
      </c>
      <c r="R478" s="1">
        <v>32668.1</v>
      </c>
      <c r="S478" s="1">
        <v>129259.1</v>
      </c>
      <c r="T478" s="1">
        <v>32.78</v>
      </c>
      <c r="U478" s="1">
        <v>1.65</v>
      </c>
      <c r="V478" s="1">
        <v>28022.2</v>
      </c>
      <c r="W478" s="1">
        <v>124613.2</v>
      </c>
      <c r="X478" s="1">
        <v>601.69000000000005</v>
      </c>
      <c r="Y478" s="1">
        <v>2400</v>
      </c>
      <c r="Z478" s="1">
        <v>783702.2</v>
      </c>
      <c r="AA478" s="1">
        <v>33.18</v>
      </c>
      <c r="AB478" s="1">
        <v>8000</v>
      </c>
    </row>
    <row r="479" spans="1:28" x14ac:dyDescent="0.4">
      <c r="A479" s="1" t="s">
        <v>509</v>
      </c>
      <c r="B479" s="1">
        <v>8000</v>
      </c>
      <c r="C479" s="1">
        <v>0.3</v>
      </c>
      <c r="D479" s="1">
        <v>0.5</v>
      </c>
      <c r="E479" s="1">
        <v>2000</v>
      </c>
      <c r="F479" s="1">
        <v>3</v>
      </c>
      <c r="G479" s="1">
        <v>3</v>
      </c>
      <c r="H479" s="1" t="s">
        <v>583</v>
      </c>
      <c r="I479" s="1">
        <v>1164182</v>
      </c>
      <c r="J479" s="1">
        <v>438255.1</v>
      </c>
      <c r="K479" s="1">
        <v>725926.9</v>
      </c>
      <c r="L479" s="1">
        <v>2400</v>
      </c>
      <c r="M479" s="1">
        <v>600.01</v>
      </c>
      <c r="N479" s="1">
        <v>249487</v>
      </c>
      <c r="O479" s="1">
        <v>410067.8</v>
      </c>
      <c r="P479" s="1">
        <v>659554.80000000005</v>
      </c>
      <c r="Q479" s="1">
        <v>94520.3</v>
      </c>
      <c r="R479" s="1">
        <v>32981.5</v>
      </c>
      <c r="S479" s="1">
        <v>127501.8</v>
      </c>
      <c r="T479" s="1">
        <v>32.39</v>
      </c>
      <c r="U479" s="1">
        <v>2.1800000000000002</v>
      </c>
      <c r="V479" s="1">
        <v>27809.200000000001</v>
      </c>
      <c r="W479" s="1">
        <v>122329.5</v>
      </c>
      <c r="X479" s="1">
        <v>602.20000000000005</v>
      </c>
      <c r="Y479" s="1">
        <v>2400</v>
      </c>
      <c r="Z479" s="1">
        <v>781884.3</v>
      </c>
      <c r="AA479" s="1">
        <v>32.840000000000003</v>
      </c>
      <c r="AB479" s="1">
        <v>8000</v>
      </c>
    </row>
    <row r="480" spans="1:28" x14ac:dyDescent="0.4">
      <c r="A480" s="1" t="s">
        <v>510</v>
      </c>
      <c r="B480" s="1">
        <v>8000</v>
      </c>
      <c r="C480" s="1">
        <v>0.3</v>
      </c>
      <c r="D480" s="1">
        <v>0.5</v>
      </c>
      <c r="E480" s="1">
        <v>2000</v>
      </c>
      <c r="F480" s="1">
        <v>3</v>
      </c>
      <c r="G480" s="1">
        <v>4</v>
      </c>
      <c r="H480" s="1" t="s">
        <v>583</v>
      </c>
      <c r="I480" s="1">
        <v>1185376.8</v>
      </c>
      <c r="J480" s="1">
        <v>453914.9</v>
      </c>
      <c r="K480" s="1">
        <v>731461.9</v>
      </c>
      <c r="L480" s="1">
        <v>2400</v>
      </c>
      <c r="M480" s="1">
        <v>600.04999999999995</v>
      </c>
      <c r="N480" s="1">
        <v>256558.5</v>
      </c>
      <c r="O480" s="1">
        <v>405291.7</v>
      </c>
      <c r="P480" s="1">
        <v>661850.19999999995</v>
      </c>
      <c r="Q480" s="1">
        <v>96888</v>
      </c>
      <c r="R480" s="1">
        <v>32995.199999999997</v>
      </c>
      <c r="S480" s="1">
        <v>129883.2</v>
      </c>
      <c r="T480" s="1">
        <v>33.21</v>
      </c>
      <c r="U480" s="1">
        <v>2.15</v>
      </c>
      <c r="V480" s="1">
        <v>27228.6</v>
      </c>
      <c r="W480" s="1">
        <v>124116.6</v>
      </c>
      <c r="X480" s="1">
        <v>602.20000000000005</v>
      </c>
      <c r="Y480" s="1">
        <v>2400</v>
      </c>
      <c r="Z480" s="1">
        <v>785966.8</v>
      </c>
      <c r="AA480" s="1">
        <v>33.69</v>
      </c>
      <c r="AB480" s="1">
        <v>8000</v>
      </c>
    </row>
    <row r="481" spans="1:28" x14ac:dyDescent="0.4">
      <c r="A481" s="1" t="s">
        <v>511</v>
      </c>
      <c r="B481" s="1">
        <v>8000</v>
      </c>
      <c r="C481" s="1">
        <v>0.3</v>
      </c>
      <c r="D481" s="1">
        <v>0.5</v>
      </c>
      <c r="E481" s="1">
        <v>2000</v>
      </c>
      <c r="F481" s="1">
        <v>3</v>
      </c>
      <c r="G481" s="1">
        <v>5</v>
      </c>
      <c r="H481" s="1" t="s">
        <v>583</v>
      </c>
      <c r="I481" s="1">
        <v>1186138</v>
      </c>
      <c r="J481" s="1">
        <v>453406.1</v>
      </c>
      <c r="K481" s="1">
        <v>732731.9</v>
      </c>
      <c r="L481" s="1">
        <v>2400</v>
      </c>
      <c r="M481" s="1">
        <v>600.02</v>
      </c>
      <c r="N481" s="1">
        <v>259427</v>
      </c>
      <c r="O481" s="1">
        <v>409869.6</v>
      </c>
      <c r="P481" s="1">
        <v>669296.6</v>
      </c>
      <c r="Q481" s="1">
        <v>95070.7</v>
      </c>
      <c r="R481" s="1">
        <v>32903.1</v>
      </c>
      <c r="S481" s="1">
        <v>127973.8</v>
      </c>
      <c r="T481" s="1">
        <v>32.78</v>
      </c>
      <c r="U481" s="1">
        <v>1.38</v>
      </c>
      <c r="V481" s="1">
        <v>28054</v>
      </c>
      <c r="W481" s="1">
        <v>123124.7</v>
      </c>
      <c r="X481" s="1">
        <v>601.4</v>
      </c>
      <c r="Y481" s="1">
        <v>2400</v>
      </c>
      <c r="Z481" s="1">
        <v>792421.3</v>
      </c>
      <c r="AA481" s="1">
        <v>33.19</v>
      </c>
      <c r="AB481" s="1">
        <v>8000</v>
      </c>
    </row>
    <row r="482" spans="1:28" x14ac:dyDescent="0.4">
      <c r="A482" s="1" t="s">
        <v>512</v>
      </c>
      <c r="B482" s="1">
        <v>8000</v>
      </c>
      <c r="C482" s="1">
        <v>0.3</v>
      </c>
      <c r="D482" s="1">
        <v>0.5</v>
      </c>
      <c r="E482" s="1">
        <v>500</v>
      </c>
      <c r="F482" s="1">
        <v>1</v>
      </c>
      <c r="G482" s="1">
        <v>1</v>
      </c>
      <c r="H482" s="1" t="s">
        <v>583</v>
      </c>
      <c r="I482" s="1">
        <v>144108.1</v>
      </c>
      <c r="J482" s="1">
        <v>59553.1</v>
      </c>
      <c r="K482" s="1">
        <v>84555</v>
      </c>
      <c r="L482" s="1">
        <v>2400</v>
      </c>
      <c r="M482" s="1">
        <v>600.02</v>
      </c>
      <c r="N482" s="1">
        <v>19055.7</v>
      </c>
      <c r="O482" s="1">
        <v>29603.3</v>
      </c>
      <c r="P482" s="1">
        <v>48659</v>
      </c>
      <c r="Q482" s="1">
        <v>85886.2</v>
      </c>
      <c r="R482" s="1">
        <v>14242</v>
      </c>
      <c r="S482" s="1">
        <v>100128.2</v>
      </c>
      <c r="T482" s="1">
        <v>-3.25</v>
      </c>
      <c r="U482" s="1">
        <v>0.49</v>
      </c>
      <c r="V482" s="1">
        <v>13497.6</v>
      </c>
      <c r="W482" s="1">
        <v>99383.8</v>
      </c>
      <c r="X482" s="1">
        <v>600.52</v>
      </c>
      <c r="Y482" s="1">
        <v>2400</v>
      </c>
      <c r="Z482" s="1">
        <v>148042.79999999999</v>
      </c>
      <c r="AA482" s="1">
        <v>-2.73</v>
      </c>
      <c r="AB482" s="1">
        <v>8000</v>
      </c>
    </row>
    <row r="483" spans="1:28" x14ac:dyDescent="0.4">
      <c r="A483" s="1" t="s">
        <v>513</v>
      </c>
      <c r="B483" s="1">
        <v>8000</v>
      </c>
      <c r="C483" s="1">
        <v>0.3</v>
      </c>
      <c r="D483" s="1">
        <v>0.5</v>
      </c>
      <c r="E483" s="1">
        <v>500</v>
      </c>
      <c r="F483" s="1">
        <v>1</v>
      </c>
      <c r="G483" s="1">
        <v>2</v>
      </c>
      <c r="H483" s="1" t="s">
        <v>583</v>
      </c>
      <c r="I483" s="1">
        <v>148634.9</v>
      </c>
      <c r="J483" s="1">
        <v>56161.1</v>
      </c>
      <c r="K483" s="1">
        <v>92473.8</v>
      </c>
      <c r="L483" s="1">
        <v>2400</v>
      </c>
      <c r="M483" s="1">
        <v>600.01</v>
      </c>
      <c r="N483" s="1">
        <v>18295.2</v>
      </c>
      <c r="O483" s="1">
        <v>33129.5</v>
      </c>
      <c r="P483" s="1">
        <v>51424.7</v>
      </c>
      <c r="Q483" s="1">
        <v>82415.399999999994</v>
      </c>
      <c r="R483" s="1">
        <v>12869.4</v>
      </c>
      <c r="S483" s="1">
        <v>95284.800000000003</v>
      </c>
      <c r="T483" s="1">
        <v>1.3</v>
      </c>
      <c r="U483" s="1">
        <v>0.61</v>
      </c>
      <c r="V483" s="1">
        <v>11775.7</v>
      </c>
      <c r="W483" s="1">
        <v>94191.1</v>
      </c>
      <c r="X483" s="1">
        <v>600.62</v>
      </c>
      <c r="Y483" s="1">
        <v>2400</v>
      </c>
      <c r="Z483" s="1">
        <v>145615.79999999999</v>
      </c>
      <c r="AA483" s="1">
        <v>2.0299999999999998</v>
      </c>
      <c r="AB483" s="1">
        <v>8000</v>
      </c>
    </row>
    <row r="484" spans="1:28" x14ac:dyDescent="0.4">
      <c r="A484" s="1" t="s">
        <v>514</v>
      </c>
      <c r="B484" s="1">
        <v>8000</v>
      </c>
      <c r="C484" s="1">
        <v>0.3</v>
      </c>
      <c r="D484" s="1">
        <v>0.5</v>
      </c>
      <c r="E484" s="1">
        <v>500</v>
      </c>
      <c r="F484" s="1">
        <v>1</v>
      </c>
      <c r="G484" s="1">
        <v>3</v>
      </c>
      <c r="H484" s="1" t="s">
        <v>583</v>
      </c>
      <c r="I484" s="1">
        <v>144262.39999999999</v>
      </c>
      <c r="J484" s="1">
        <v>58086.3</v>
      </c>
      <c r="K484" s="1">
        <v>86176.1</v>
      </c>
      <c r="L484" s="1">
        <v>2400</v>
      </c>
      <c r="M484" s="1">
        <v>600</v>
      </c>
      <c r="N484" s="1">
        <v>19825.900000000001</v>
      </c>
      <c r="O484" s="1">
        <v>30723.5</v>
      </c>
      <c r="P484" s="1">
        <v>50549.4</v>
      </c>
      <c r="Q484" s="1">
        <v>83411.8</v>
      </c>
      <c r="R484" s="1">
        <v>13241</v>
      </c>
      <c r="S484" s="1">
        <v>96652.800000000003</v>
      </c>
      <c r="T484" s="1">
        <v>-2.04</v>
      </c>
      <c r="U484" s="1">
        <v>0.51</v>
      </c>
      <c r="V484" s="1">
        <v>12037.6</v>
      </c>
      <c r="W484" s="1">
        <v>95449.4</v>
      </c>
      <c r="X484" s="1">
        <v>600.52</v>
      </c>
      <c r="Y484" s="1">
        <v>2400</v>
      </c>
      <c r="Z484" s="1">
        <v>145998.79999999999</v>
      </c>
      <c r="AA484" s="1">
        <v>-1.2</v>
      </c>
      <c r="AB484" s="1">
        <v>8000</v>
      </c>
    </row>
    <row r="485" spans="1:28" x14ac:dyDescent="0.4">
      <c r="A485" s="1" t="s">
        <v>515</v>
      </c>
      <c r="B485" s="1">
        <v>8000</v>
      </c>
      <c r="C485" s="1">
        <v>0.3</v>
      </c>
      <c r="D485" s="1">
        <v>0.5</v>
      </c>
      <c r="E485" s="1">
        <v>500</v>
      </c>
      <c r="F485" s="1">
        <v>1</v>
      </c>
      <c r="G485" s="1">
        <v>4</v>
      </c>
      <c r="H485" s="1" t="s">
        <v>583</v>
      </c>
      <c r="I485" s="1">
        <v>148149.79999999999</v>
      </c>
      <c r="J485" s="1">
        <v>57952.5</v>
      </c>
      <c r="K485" s="1">
        <v>90197.3</v>
      </c>
      <c r="L485" s="1">
        <v>2400</v>
      </c>
      <c r="M485" s="1">
        <v>600.03</v>
      </c>
      <c r="N485" s="1">
        <v>19602.5</v>
      </c>
      <c r="O485" s="1">
        <v>31716.7</v>
      </c>
      <c r="P485" s="1">
        <v>51319.199999999997</v>
      </c>
      <c r="Q485" s="1">
        <v>82971.199999999997</v>
      </c>
      <c r="R485" s="1">
        <v>13482.8</v>
      </c>
      <c r="S485" s="1">
        <v>96454</v>
      </c>
      <c r="T485" s="1">
        <v>0.25</v>
      </c>
      <c r="U485" s="1">
        <v>0.47</v>
      </c>
      <c r="V485" s="1">
        <v>12327.9</v>
      </c>
      <c r="W485" s="1">
        <v>95299.1</v>
      </c>
      <c r="X485" s="1">
        <v>600.5</v>
      </c>
      <c r="Y485" s="1">
        <v>2395</v>
      </c>
      <c r="Z485" s="1">
        <v>146618.29999999999</v>
      </c>
      <c r="AA485" s="1">
        <v>1.03</v>
      </c>
      <c r="AB485" s="1">
        <v>8000</v>
      </c>
    </row>
    <row r="486" spans="1:28" x14ac:dyDescent="0.4">
      <c r="A486" s="1" t="s">
        <v>516</v>
      </c>
      <c r="B486" s="1">
        <v>8000</v>
      </c>
      <c r="C486" s="1">
        <v>0.3</v>
      </c>
      <c r="D486" s="1">
        <v>0.5</v>
      </c>
      <c r="E486" s="1">
        <v>500</v>
      </c>
      <c r="F486" s="1">
        <v>1</v>
      </c>
      <c r="G486" s="1">
        <v>5</v>
      </c>
      <c r="H486" s="1" t="s">
        <v>583</v>
      </c>
      <c r="I486" s="1">
        <v>141610.70000000001</v>
      </c>
      <c r="J486" s="1">
        <v>56169.4</v>
      </c>
      <c r="K486" s="1">
        <v>85441.3</v>
      </c>
      <c r="L486" s="1">
        <v>2400</v>
      </c>
      <c r="M486" s="1">
        <v>600.01</v>
      </c>
      <c r="N486" s="1">
        <v>18711.3</v>
      </c>
      <c r="O486" s="1">
        <v>31634.9</v>
      </c>
      <c r="P486" s="1">
        <v>50346.2</v>
      </c>
      <c r="Q486" s="1">
        <v>78274.5</v>
      </c>
      <c r="R486" s="1">
        <v>12243.8</v>
      </c>
      <c r="S486" s="1">
        <v>90518.3</v>
      </c>
      <c r="T486" s="1">
        <v>0.53</v>
      </c>
      <c r="U486" s="1">
        <v>0.49</v>
      </c>
      <c r="V486" s="1">
        <v>11348.8</v>
      </c>
      <c r="W486" s="1">
        <v>89623.3</v>
      </c>
      <c r="X486" s="1">
        <v>600.5</v>
      </c>
      <c r="Y486" s="1">
        <v>2400</v>
      </c>
      <c r="Z486" s="1">
        <v>139969.5</v>
      </c>
      <c r="AA486" s="1">
        <v>1.1599999999999999</v>
      </c>
      <c r="AB486" s="1">
        <v>8000</v>
      </c>
    </row>
    <row r="487" spans="1:28" x14ac:dyDescent="0.4">
      <c r="A487" s="1" t="s">
        <v>517</v>
      </c>
      <c r="B487" s="1">
        <v>8000</v>
      </c>
      <c r="C487" s="1">
        <v>0.3</v>
      </c>
      <c r="D487" s="1">
        <v>0.5</v>
      </c>
      <c r="E487" s="1">
        <v>500</v>
      </c>
      <c r="F487" s="1">
        <v>2</v>
      </c>
      <c r="G487" s="1">
        <v>1</v>
      </c>
      <c r="H487" s="1" t="s">
        <v>583</v>
      </c>
      <c r="I487" s="1">
        <v>221975.5</v>
      </c>
      <c r="J487" s="1">
        <v>84387.4</v>
      </c>
      <c r="K487" s="1">
        <v>137588.1</v>
      </c>
      <c r="L487" s="1">
        <v>2400</v>
      </c>
      <c r="M487" s="1">
        <v>600.01</v>
      </c>
      <c r="N487" s="1">
        <v>35907.699999999997</v>
      </c>
      <c r="O487" s="1">
        <v>57204</v>
      </c>
      <c r="P487" s="1">
        <v>93111.7</v>
      </c>
      <c r="Q487" s="1">
        <v>78625.100000000006</v>
      </c>
      <c r="R487" s="1">
        <v>12377.1</v>
      </c>
      <c r="S487" s="1">
        <v>91002.2</v>
      </c>
      <c r="T487" s="1">
        <v>17.059999999999999</v>
      </c>
      <c r="U487" s="1">
        <v>0.89</v>
      </c>
      <c r="V487" s="1">
        <v>9674.5</v>
      </c>
      <c r="W487" s="1">
        <v>88299.6</v>
      </c>
      <c r="X487" s="1">
        <v>600.9</v>
      </c>
      <c r="Y487" s="1">
        <v>2400</v>
      </c>
      <c r="Z487" s="1">
        <v>181411.3</v>
      </c>
      <c r="AA487" s="1">
        <v>18.27</v>
      </c>
      <c r="AB487" s="1">
        <v>8000</v>
      </c>
    </row>
    <row r="488" spans="1:28" x14ac:dyDescent="0.4">
      <c r="A488" s="1" t="s">
        <v>518</v>
      </c>
      <c r="B488" s="1">
        <v>8000</v>
      </c>
      <c r="C488" s="1">
        <v>0.3</v>
      </c>
      <c r="D488" s="1">
        <v>0.5</v>
      </c>
      <c r="E488" s="1">
        <v>500</v>
      </c>
      <c r="F488" s="1">
        <v>2</v>
      </c>
      <c r="G488" s="1">
        <v>2</v>
      </c>
      <c r="H488" s="1" t="s">
        <v>583</v>
      </c>
      <c r="I488" s="1">
        <v>226878.6</v>
      </c>
      <c r="J488" s="1">
        <v>84179.7</v>
      </c>
      <c r="K488" s="1">
        <v>142698.9</v>
      </c>
      <c r="L488" s="1">
        <v>2400</v>
      </c>
      <c r="M488" s="1">
        <v>600.02</v>
      </c>
      <c r="N488" s="1">
        <v>36529.699999999997</v>
      </c>
      <c r="O488" s="1">
        <v>60113.3</v>
      </c>
      <c r="P488" s="1">
        <v>96643</v>
      </c>
      <c r="Q488" s="1">
        <v>79805.100000000006</v>
      </c>
      <c r="R488" s="1">
        <v>12900.7</v>
      </c>
      <c r="S488" s="1">
        <v>92705.8</v>
      </c>
      <c r="T488" s="1">
        <v>16.54</v>
      </c>
      <c r="U488" s="1">
        <v>0.76</v>
      </c>
      <c r="V488" s="1">
        <v>10426.299999999999</v>
      </c>
      <c r="W488" s="1">
        <v>90231.4</v>
      </c>
      <c r="X488" s="1">
        <v>600.79</v>
      </c>
      <c r="Y488" s="1">
        <v>2400</v>
      </c>
      <c r="Z488" s="1">
        <v>186874.4</v>
      </c>
      <c r="AA488" s="1">
        <v>17.63</v>
      </c>
      <c r="AB488" s="1">
        <v>8000</v>
      </c>
    </row>
    <row r="489" spans="1:28" x14ac:dyDescent="0.4">
      <c r="A489" s="1" t="s">
        <v>519</v>
      </c>
      <c r="B489" s="1">
        <v>8000</v>
      </c>
      <c r="C489" s="1">
        <v>0.3</v>
      </c>
      <c r="D489" s="1">
        <v>0.5</v>
      </c>
      <c r="E489" s="1">
        <v>500</v>
      </c>
      <c r="F489" s="1">
        <v>2</v>
      </c>
      <c r="G489" s="1">
        <v>3</v>
      </c>
      <c r="H489" s="1" t="s">
        <v>583</v>
      </c>
      <c r="I489" s="1">
        <v>225127.8</v>
      </c>
      <c r="J489" s="1">
        <v>86872.8</v>
      </c>
      <c r="K489" s="1">
        <v>138255</v>
      </c>
      <c r="L489" s="1">
        <v>2400</v>
      </c>
      <c r="M489" s="1">
        <v>600.03</v>
      </c>
      <c r="N489" s="1">
        <v>36754.199999999997</v>
      </c>
      <c r="O489" s="1">
        <v>56552</v>
      </c>
      <c r="P489" s="1">
        <v>93306.2</v>
      </c>
      <c r="Q489" s="1">
        <v>78798.8</v>
      </c>
      <c r="R489" s="1">
        <v>12187.4</v>
      </c>
      <c r="S489" s="1">
        <v>90986.2</v>
      </c>
      <c r="T489" s="1">
        <v>18.14</v>
      </c>
      <c r="U489" s="1">
        <v>0.68</v>
      </c>
      <c r="V489" s="1">
        <v>10139.700000000001</v>
      </c>
      <c r="W489" s="1">
        <v>88938.5</v>
      </c>
      <c r="X489" s="1">
        <v>600.71</v>
      </c>
      <c r="Y489" s="1">
        <v>2399</v>
      </c>
      <c r="Z489" s="1">
        <v>182244.7</v>
      </c>
      <c r="AA489" s="1">
        <v>19.05</v>
      </c>
      <c r="AB489" s="1">
        <v>8000</v>
      </c>
    </row>
    <row r="490" spans="1:28" x14ac:dyDescent="0.4">
      <c r="A490" s="1" t="s">
        <v>520</v>
      </c>
      <c r="B490" s="1">
        <v>8000</v>
      </c>
      <c r="C490" s="1">
        <v>0.3</v>
      </c>
      <c r="D490" s="1">
        <v>0.5</v>
      </c>
      <c r="E490" s="1">
        <v>500</v>
      </c>
      <c r="F490" s="1">
        <v>2</v>
      </c>
      <c r="G490" s="1">
        <v>4</v>
      </c>
      <c r="H490" s="1" t="s">
        <v>583</v>
      </c>
      <c r="I490" s="1">
        <v>219934.7</v>
      </c>
      <c r="J490" s="1">
        <v>80894.3</v>
      </c>
      <c r="K490" s="1">
        <v>139040.4</v>
      </c>
      <c r="L490" s="1">
        <v>2400</v>
      </c>
      <c r="M490" s="1">
        <v>600.01</v>
      </c>
      <c r="N490" s="1">
        <v>35017.199999999997</v>
      </c>
      <c r="O490" s="1">
        <v>57935.5</v>
      </c>
      <c r="P490" s="1">
        <v>92952.7</v>
      </c>
      <c r="Q490" s="1">
        <v>78412.2</v>
      </c>
      <c r="R490" s="1">
        <v>12909.4</v>
      </c>
      <c r="S490" s="1">
        <v>91321.600000000006</v>
      </c>
      <c r="T490" s="1">
        <v>16.21</v>
      </c>
      <c r="U490" s="1">
        <v>0.74</v>
      </c>
      <c r="V490" s="1">
        <v>10248</v>
      </c>
      <c r="W490" s="1">
        <v>88660.2</v>
      </c>
      <c r="X490" s="1">
        <v>600.76</v>
      </c>
      <c r="Y490" s="1">
        <v>2400</v>
      </c>
      <c r="Z490" s="1">
        <v>181612.9</v>
      </c>
      <c r="AA490" s="1">
        <v>17.420000000000002</v>
      </c>
      <c r="AB490" s="1">
        <v>8000</v>
      </c>
    </row>
    <row r="491" spans="1:28" x14ac:dyDescent="0.4">
      <c r="A491" s="1" t="s">
        <v>521</v>
      </c>
      <c r="B491" s="1">
        <v>8000</v>
      </c>
      <c r="C491" s="1">
        <v>0.3</v>
      </c>
      <c r="D491" s="1">
        <v>0.5</v>
      </c>
      <c r="E491" s="1">
        <v>500</v>
      </c>
      <c r="F491" s="1">
        <v>2</v>
      </c>
      <c r="G491" s="1">
        <v>5</v>
      </c>
      <c r="H491" s="1" t="s">
        <v>583</v>
      </c>
      <c r="I491" s="1">
        <v>232193.7</v>
      </c>
      <c r="J491" s="1">
        <v>89018.4</v>
      </c>
      <c r="K491" s="1">
        <v>143175.29999999999</v>
      </c>
      <c r="L491" s="1">
        <v>2400</v>
      </c>
      <c r="M491" s="1">
        <v>600.01</v>
      </c>
      <c r="N491" s="1">
        <v>38153.800000000003</v>
      </c>
      <c r="O491" s="1">
        <v>59407.3</v>
      </c>
      <c r="P491" s="1">
        <v>97561.1</v>
      </c>
      <c r="Q491" s="1">
        <v>78198.3</v>
      </c>
      <c r="R491" s="1">
        <v>11604.7</v>
      </c>
      <c r="S491" s="1">
        <v>89803</v>
      </c>
      <c r="T491" s="1">
        <v>19.309999999999999</v>
      </c>
      <c r="U491" s="1">
        <v>0.5</v>
      </c>
      <c r="V491" s="1">
        <v>9413.7000000000007</v>
      </c>
      <c r="W491" s="1">
        <v>87612</v>
      </c>
      <c r="X491" s="1">
        <v>600.51</v>
      </c>
      <c r="Y491" s="1">
        <v>2400</v>
      </c>
      <c r="Z491" s="1">
        <v>185173.1</v>
      </c>
      <c r="AA491" s="1">
        <v>20.25</v>
      </c>
      <c r="AB491" s="1">
        <v>8000</v>
      </c>
    </row>
    <row r="492" spans="1:28" x14ac:dyDescent="0.4">
      <c r="A492" s="1" t="s">
        <v>522</v>
      </c>
      <c r="B492" s="1">
        <v>8000</v>
      </c>
      <c r="C492" s="1">
        <v>0.3</v>
      </c>
      <c r="D492" s="1">
        <v>0.5</v>
      </c>
      <c r="E492" s="1">
        <v>500</v>
      </c>
      <c r="F492" s="1">
        <v>3</v>
      </c>
      <c r="G492" s="1">
        <v>1</v>
      </c>
      <c r="H492" s="1" t="s">
        <v>583</v>
      </c>
      <c r="I492" s="1">
        <v>286207.8</v>
      </c>
      <c r="J492" s="1">
        <v>103330.3</v>
      </c>
      <c r="K492" s="1">
        <v>182877.5</v>
      </c>
      <c r="L492" s="1">
        <v>2400</v>
      </c>
      <c r="M492" s="1">
        <v>600.04999999999995</v>
      </c>
      <c r="N492" s="1">
        <v>46562.3</v>
      </c>
      <c r="O492" s="1">
        <v>82590.3</v>
      </c>
      <c r="P492" s="1">
        <v>129152.6</v>
      </c>
      <c r="Q492" s="1">
        <v>78994.899999999994</v>
      </c>
      <c r="R492" s="1">
        <v>14791.3</v>
      </c>
      <c r="S492" s="1">
        <v>93786.2</v>
      </c>
      <c r="T492" s="1">
        <v>22.11</v>
      </c>
      <c r="U492" s="1">
        <v>1.04</v>
      </c>
      <c r="V492" s="1">
        <v>12024.4</v>
      </c>
      <c r="W492" s="1">
        <v>91019.3</v>
      </c>
      <c r="X492" s="1">
        <v>601.09</v>
      </c>
      <c r="Y492" s="1">
        <v>2400</v>
      </c>
      <c r="Z492" s="1">
        <v>220171.9</v>
      </c>
      <c r="AA492" s="1">
        <v>23.07</v>
      </c>
      <c r="AB492" s="1">
        <v>8000</v>
      </c>
    </row>
    <row r="493" spans="1:28" x14ac:dyDescent="0.4">
      <c r="A493" s="1" t="s">
        <v>523</v>
      </c>
      <c r="B493" s="1">
        <v>8000</v>
      </c>
      <c r="C493" s="1">
        <v>0.3</v>
      </c>
      <c r="D493" s="1">
        <v>0.5</v>
      </c>
      <c r="E493" s="1">
        <v>500</v>
      </c>
      <c r="F493" s="1">
        <v>3</v>
      </c>
      <c r="G493" s="1">
        <v>2</v>
      </c>
      <c r="H493" s="1" t="s">
        <v>583</v>
      </c>
      <c r="I493" s="1">
        <v>292783.7</v>
      </c>
      <c r="J493" s="1">
        <v>109648.3</v>
      </c>
      <c r="K493" s="1">
        <v>183135.4</v>
      </c>
      <c r="L493" s="1">
        <v>2400</v>
      </c>
      <c r="M493" s="1">
        <v>600.03</v>
      </c>
      <c r="N493" s="1">
        <v>50351.9</v>
      </c>
      <c r="O493" s="1">
        <v>82329.899999999994</v>
      </c>
      <c r="P493" s="1">
        <v>132681.79999999999</v>
      </c>
      <c r="Q493" s="1">
        <v>79821.399999999994</v>
      </c>
      <c r="R493" s="1">
        <v>14972.1</v>
      </c>
      <c r="S493" s="1">
        <v>94793.5</v>
      </c>
      <c r="T493" s="1">
        <v>22.31</v>
      </c>
      <c r="U493" s="1">
        <v>0.91</v>
      </c>
      <c r="V493" s="1">
        <v>12295.4</v>
      </c>
      <c r="W493" s="1">
        <v>92116.800000000003</v>
      </c>
      <c r="X493" s="1">
        <v>600.94000000000005</v>
      </c>
      <c r="Y493" s="1">
        <v>2399</v>
      </c>
      <c r="Z493" s="1">
        <v>224798.6</v>
      </c>
      <c r="AA493" s="1">
        <v>23.22</v>
      </c>
      <c r="AB493" s="1">
        <v>8000</v>
      </c>
    </row>
    <row r="494" spans="1:28" x14ac:dyDescent="0.4">
      <c r="A494" s="1" t="s">
        <v>524</v>
      </c>
      <c r="B494" s="1">
        <v>8000</v>
      </c>
      <c r="C494" s="1">
        <v>0.3</v>
      </c>
      <c r="D494" s="1">
        <v>0.5</v>
      </c>
      <c r="E494" s="1">
        <v>500</v>
      </c>
      <c r="F494" s="1">
        <v>3</v>
      </c>
      <c r="G494" s="1">
        <v>3</v>
      </c>
      <c r="H494" s="1" t="s">
        <v>583</v>
      </c>
      <c r="I494" s="1">
        <v>279304.09999999998</v>
      </c>
      <c r="J494" s="1">
        <v>97293.7</v>
      </c>
      <c r="K494" s="1">
        <v>182010.4</v>
      </c>
      <c r="L494" s="1">
        <v>2400</v>
      </c>
      <c r="M494" s="1">
        <v>600.02</v>
      </c>
      <c r="N494" s="1">
        <v>44358.400000000001</v>
      </c>
      <c r="O494" s="1">
        <v>81181.5</v>
      </c>
      <c r="P494" s="1">
        <v>125539.9</v>
      </c>
      <c r="Q494" s="1">
        <v>77830.399999999994</v>
      </c>
      <c r="R494" s="1">
        <v>14419.6</v>
      </c>
      <c r="S494" s="1">
        <v>92250</v>
      </c>
      <c r="T494" s="1">
        <v>22.02</v>
      </c>
      <c r="U494" s="1">
        <v>0.97</v>
      </c>
      <c r="V494" s="1">
        <v>12018.1</v>
      </c>
      <c r="W494" s="1">
        <v>89848.5</v>
      </c>
      <c r="X494" s="1">
        <v>600.99</v>
      </c>
      <c r="Y494" s="1">
        <v>2399</v>
      </c>
      <c r="Z494" s="1">
        <v>215388.4</v>
      </c>
      <c r="AA494" s="1">
        <v>22.88</v>
      </c>
      <c r="AB494" s="1">
        <v>8000</v>
      </c>
    </row>
    <row r="495" spans="1:28" x14ac:dyDescent="0.4">
      <c r="A495" s="1" t="s">
        <v>525</v>
      </c>
      <c r="B495" s="1">
        <v>8000</v>
      </c>
      <c r="C495" s="1">
        <v>0.3</v>
      </c>
      <c r="D495" s="1">
        <v>0.5</v>
      </c>
      <c r="E495" s="1">
        <v>500</v>
      </c>
      <c r="F495" s="1">
        <v>3</v>
      </c>
      <c r="G495" s="1">
        <v>4</v>
      </c>
      <c r="H495" s="1" t="s">
        <v>583</v>
      </c>
      <c r="I495" s="1">
        <v>288972.40000000002</v>
      </c>
      <c r="J495" s="1">
        <v>109882.8</v>
      </c>
      <c r="K495" s="1">
        <v>179089.6</v>
      </c>
      <c r="L495" s="1">
        <v>2400</v>
      </c>
      <c r="M495" s="1">
        <v>600</v>
      </c>
      <c r="N495" s="1">
        <v>49083.1</v>
      </c>
      <c r="O495" s="1">
        <v>75677.100000000006</v>
      </c>
      <c r="P495" s="1">
        <v>124760.2</v>
      </c>
      <c r="Q495" s="1">
        <v>80014.100000000006</v>
      </c>
      <c r="R495" s="1">
        <v>15241.1</v>
      </c>
      <c r="S495" s="1">
        <v>95255.2</v>
      </c>
      <c r="T495" s="1">
        <v>23.86</v>
      </c>
      <c r="U495" s="1">
        <v>1.01</v>
      </c>
      <c r="V495" s="1">
        <v>12764.1</v>
      </c>
      <c r="W495" s="1">
        <v>92778.2</v>
      </c>
      <c r="X495" s="1">
        <v>601.02</v>
      </c>
      <c r="Y495" s="1">
        <v>2400</v>
      </c>
      <c r="Z495" s="1">
        <v>217538.4</v>
      </c>
      <c r="AA495" s="1">
        <v>24.72</v>
      </c>
      <c r="AB495" s="1">
        <v>8000</v>
      </c>
    </row>
    <row r="496" spans="1:28" x14ac:dyDescent="0.4">
      <c r="A496" s="1" t="s">
        <v>526</v>
      </c>
      <c r="B496" s="1">
        <v>8000</v>
      </c>
      <c r="C496" s="1">
        <v>0.3</v>
      </c>
      <c r="D496" s="1">
        <v>0.5</v>
      </c>
      <c r="E496" s="1">
        <v>500</v>
      </c>
      <c r="F496" s="1">
        <v>3</v>
      </c>
      <c r="G496" s="1">
        <v>5</v>
      </c>
      <c r="H496" s="1" t="s">
        <v>583</v>
      </c>
      <c r="I496" s="1">
        <v>289757</v>
      </c>
      <c r="J496" s="1">
        <v>106708</v>
      </c>
      <c r="K496" s="1">
        <v>183049</v>
      </c>
      <c r="L496" s="1">
        <v>2400</v>
      </c>
      <c r="M496" s="1">
        <v>600.01</v>
      </c>
      <c r="N496" s="1">
        <v>48125.4</v>
      </c>
      <c r="O496" s="1">
        <v>79505.100000000006</v>
      </c>
      <c r="P496" s="1">
        <v>127630.5</v>
      </c>
      <c r="Q496" s="1">
        <v>78793</v>
      </c>
      <c r="R496" s="1">
        <v>14724</v>
      </c>
      <c r="S496" s="1">
        <v>93517</v>
      </c>
      <c r="T496" s="1">
        <v>23.68</v>
      </c>
      <c r="U496" s="1">
        <v>0.93</v>
      </c>
      <c r="V496" s="1">
        <v>12128.5</v>
      </c>
      <c r="W496" s="1">
        <v>90921.5</v>
      </c>
      <c r="X496" s="1">
        <v>600.94000000000005</v>
      </c>
      <c r="Y496" s="1">
        <v>2400</v>
      </c>
      <c r="Z496" s="1">
        <v>218552</v>
      </c>
      <c r="AA496" s="1">
        <v>24.57</v>
      </c>
      <c r="AB496" s="1">
        <v>8000</v>
      </c>
    </row>
    <row r="497" spans="1:28" x14ac:dyDescent="0.4">
      <c r="A497" s="1" t="s">
        <v>135</v>
      </c>
      <c r="B497" s="1">
        <v>8000</v>
      </c>
      <c r="C497" s="1">
        <v>0.4</v>
      </c>
      <c r="D497" s="1">
        <v>0.5</v>
      </c>
      <c r="E497" s="1">
        <v>1000</v>
      </c>
      <c r="F497" s="1">
        <v>1</v>
      </c>
      <c r="G497" s="1">
        <v>1</v>
      </c>
      <c r="H497" s="1" t="s">
        <v>583</v>
      </c>
      <c r="I497" s="1">
        <v>278509.5</v>
      </c>
      <c r="J497" s="1">
        <v>112049.60000000001</v>
      </c>
      <c r="K497" s="1">
        <v>166459.9</v>
      </c>
      <c r="L497" s="1">
        <v>2400</v>
      </c>
      <c r="M497" s="1">
        <v>600.02</v>
      </c>
      <c r="N497" s="1">
        <v>46771.6</v>
      </c>
      <c r="O497" s="1">
        <v>69799.7</v>
      </c>
      <c r="P497" s="1">
        <v>116571.3</v>
      </c>
      <c r="Q497" s="1">
        <v>87581.3</v>
      </c>
      <c r="R497" s="1">
        <v>24116.1</v>
      </c>
      <c r="S497" s="1">
        <v>111697.4</v>
      </c>
      <c r="T497" s="1">
        <v>18.04</v>
      </c>
      <c r="U497" s="1">
        <v>1.6</v>
      </c>
      <c r="V497" s="1">
        <v>22711.9</v>
      </c>
      <c r="W497" s="1">
        <v>110293.2</v>
      </c>
      <c r="X497" s="1">
        <v>601.63</v>
      </c>
      <c r="Y497" s="1">
        <v>2400</v>
      </c>
      <c r="Z497" s="1">
        <v>226864.5</v>
      </c>
      <c r="AA497" s="1">
        <v>18.54</v>
      </c>
      <c r="AB497" s="1">
        <v>8000</v>
      </c>
    </row>
    <row r="498" spans="1:28" x14ac:dyDescent="0.4">
      <c r="A498" s="1" t="s">
        <v>136</v>
      </c>
      <c r="B498" s="1">
        <v>8000</v>
      </c>
      <c r="C498" s="1">
        <v>0.4</v>
      </c>
      <c r="D498" s="1">
        <v>0.5</v>
      </c>
      <c r="E498" s="1">
        <v>1000</v>
      </c>
      <c r="F498" s="1">
        <v>1</v>
      </c>
      <c r="G498" s="1">
        <v>2</v>
      </c>
      <c r="H498" s="1" t="s">
        <v>583</v>
      </c>
      <c r="I498" s="1">
        <v>283492.90000000002</v>
      </c>
      <c r="J498" s="1">
        <v>109140.8</v>
      </c>
      <c r="K498" s="1">
        <v>174352.1</v>
      </c>
      <c r="L498" s="1">
        <v>2400</v>
      </c>
      <c r="M498" s="1">
        <v>600.01</v>
      </c>
      <c r="N498" s="1">
        <v>44696.6</v>
      </c>
      <c r="O498" s="1">
        <v>71672.100000000006</v>
      </c>
      <c r="P498" s="1">
        <v>116368.7</v>
      </c>
      <c r="Q498" s="1">
        <v>90003.1</v>
      </c>
      <c r="R498" s="1">
        <v>24542.7</v>
      </c>
      <c r="S498" s="1">
        <v>114545.8</v>
      </c>
      <c r="T498" s="1">
        <v>18.55</v>
      </c>
      <c r="U498" s="1">
        <v>1.36</v>
      </c>
      <c r="V498" s="1">
        <v>23084.400000000001</v>
      </c>
      <c r="W498" s="1">
        <v>113087.5</v>
      </c>
      <c r="X498" s="1">
        <v>601.37</v>
      </c>
      <c r="Y498" s="1">
        <v>2399</v>
      </c>
      <c r="Z498" s="1">
        <v>229456.2</v>
      </c>
      <c r="AA498" s="1">
        <v>19.059999999999999</v>
      </c>
      <c r="AB498" s="1">
        <v>8000</v>
      </c>
    </row>
    <row r="499" spans="1:28" x14ac:dyDescent="0.4">
      <c r="A499" s="1" t="s">
        <v>137</v>
      </c>
      <c r="B499" s="1">
        <v>8000</v>
      </c>
      <c r="C499" s="1">
        <v>0.4</v>
      </c>
      <c r="D499" s="1">
        <v>0.5</v>
      </c>
      <c r="E499" s="1">
        <v>1000</v>
      </c>
      <c r="F499" s="1">
        <v>1</v>
      </c>
      <c r="G499" s="1">
        <v>3</v>
      </c>
      <c r="H499" s="1" t="s">
        <v>583</v>
      </c>
      <c r="I499" s="1">
        <v>288322.90000000002</v>
      </c>
      <c r="J499" s="1">
        <v>112088.6</v>
      </c>
      <c r="K499" s="1">
        <v>176234.3</v>
      </c>
      <c r="L499" s="1">
        <v>2400</v>
      </c>
      <c r="M499" s="1">
        <v>600.01</v>
      </c>
      <c r="N499" s="1">
        <v>47185</v>
      </c>
      <c r="O499" s="1">
        <v>72897.7</v>
      </c>
      <c r="P499" s="1">
        <v>120082.7</v>
      </c>
      <c r="Q499" s="1">
        <v>86994</v>
      </c>
      <c r="R499" s="1">
        <v>23901.5</v>
      </c>
      <c r="S499" s="1">
        <v>110895.5</v>
      </c>
      <c r="T499" s="1">
        <v>19.89</v>
      </c>
      <c r="U499" s="1">
        <v>1.2</v>
      </c>
      <c r="V499" s="1">
        <v>22441.3</v>
      </c>
      <c r="W499" s="1">
        <v>109435.3</v>
      </c>
      <c r="X499" s="1">
        <v>601.21</v>
      </c>
      <c r="Y499" s="1">
        <v>2400</v>
      </c>
      <c r="Z499" s="1">
        <v>229518</v>
      </c>
      <c r="AA499" s="1">
        <v>20.399999999999999</v>
      </c>
      <c r="AB499" s="1">
        <v>8000</v>
      </c>
    </row>
    <row r="500" spans="1:28" x14ac:dyDescent="0.4">
      <c r="A500" s="1" t="s">
        <v>138</v>
      </c>
      <c r="B500" s="1">
        <v>8000</v>
      </c>
      <c r="C500" s="1">
        <v>0.4</v>
      </c>
      <c r="D500" s="1">
        <v>0.5</v>
      </c>
      <c r="E500" s="1">
        <v>1000</v>
      </c>
      <c r="F500" s="1">
        <v>1</v>
      </c>
      <c r="G500" s="1">
        <v>4</v>
      </c>
      <c r="H500" s="1" t="s">
        <v>583</v>
      </c>
      <c r="I500" s="1">
        <v>273858.09999999998</v>
      </c>
      <c r="J500" s="1">
        <v>109017.3</v>
      </c>
      <c r="K500" s="1">
        <v>164840.79999999999</v>
      </c>
      <c r="L500" s="1">
        <v>2400</v>
      </c>
      <c r="M500" s="1">
        <v>600</v>
      </c>
      <c r="N500" s="1">
        <v>46213.1</v>
      </c>
      <c r="O500" s="1">
        <v>68648.899999999994</v>
      </c>
      <c r="P500" s="1">
        <v>114862</v>
      </c>
      <c r="Q500" s="1">
        <v>89027.199999999997</v>
      </c>
      <c r="R500" s="1">
        <v>24655.3</v>
      </c>
      <c r="S500" s="1">
        <v>113682.5</v>
      </c>
      <c r="T500" s="1">
        <v>16.55</v>
      </c>
      <c r="U500" s="1">
        <v>1.31</v>
      </c>
      <c r="V500" s="1">
        <v>23161.599999999999</v>
      </c>
      <c r="W500" s="1">
        <v>112188.8</v>
      </c>
      <c r="X500" s="1">
        <v>601.32000000000005</v>
      </c>
      <c r="Y500" s="1">
        <v>2400</v>
      </c>
      <c r="Z500" s="1">
        <v>227050.8</v>
      </c>
      <c r="AA500" s="1">
        <v>17.09</v>
      </c>
      <c r="AB500" s="1">
        <v>8000</v>
      </c>
    </row>
    <row r="501" spans="1:28" x14ac:dyDescent="0.4">
      <c r="A501" s="1" t="s">
        <v>139</v>
      </c>
      <c r="B501" s="1">
        <v>8000</v>
      </c>
      <c r="C501" s="1">
        <v>0.4</v>
      </c>
      <c r="D501" s="1">
        <v>0.5</v>
      </c>
      <c r="E501" s="1">
        <v>1000</v>
      </c>
      <c r="F501" s="1">
        <v>1</v>
      </c>
      <c r="G501" s="1">
        <v>5</v>
      </c>
      <c r="H501" s="1" t="s">
        <v>583</v>
      </c>
      <c r="I501" s="1">
        <v>283949.09999999998</v>
      </c>
      <c r="J501" s="1">
        <v>113617.60000000001</v>
      </c>
      <c r="K501" s="1">
        <v>170331.5</v>
      </c>
      <c r="L501" s="1">
        <v>2400</v>
      </c>
      <c r="M501" s="1">
        <v>600.04</v>
      </c>
      <c r="N501" s="1">
        <v>49119.1</v>
      </c>
      <c r="O501" s="1">
        <v>73144.7</v>
      </c>
      <c r="P501" s="1">
        <v>122263.8</v>
      </c>
      <c r="Q501" s="1">
        <v>86290.9</v>
      </c>
      <c r="R501" s="1">
        <v>23737.3</v>
      </c>
      <c r="S501" s="1">
        <v>110028.2</v>
      </c>
      <c r="T501" s="1">
        <v>18.190000000000001</v>
      </c>
      <c r="U501" s="1">
        <v>1.34</v>
      </c>
      <c r="V501" s="1">
        <v>22180.6</v>
      </c>
      <c r="W501" s="1">
        <v>108471.5</v>
      </c>
      <c r="X501" s="1">
        <v>601.39</v>
      </c>
      <c r="Y501" s="1">
        <v>2400</v>
      </c>
      <c r="Z501" s="1">
        <v>230735.3</v>
      </c>
      <c r="AA501" s="1">
        <v>18.739999999999998</v>
      </c>
      <c r="AB501" s="1">
        <v>8000</v>
      </c>
    </row>
    <row r="502" spans="1:28" x14ac:dyDescent="0.4">
      <c r="A502" s="1" t="s">
        <v>140</v>
      </c>
      <c r="B502" s="1">
        <v>8000</v>
      </c>
      <c r="C502" s="1">
        <v>0.4</v>
      </c>
      <c r="D502" s="1">
        <v>0.5</v>
      </c>
      <c r="E502" s="1">
        <v>1000</v>
      </c>
      <c r="F502" s="1">
        <v>2</v>
      </c>
      <c r="G502" s="1">
        <v>1</v>
      </c>
      <c r="H502" s="1" t="s">
        <v>583</v>
      </c>
      <c r="I502" s="1">
        <v>435805.3</v>
      </c>
      <c r="J502" s="1">
        <v>168093.4</v>
      </c>
      <c r="K502" s="1">
        <v>267711.90000000002</v>
      </c>
      <c r="L502" s="1">
        <v>2400</v>
      </c>
      <c r="M502" s="1">
        <v>600.03</v>
      </c>
      <c r="N502" s="1">
        <v>77630.2</v>
      </c>
      <c r="O502" s="1">
        <v>116096.2</v>
      </c>
      <c r="P502" s="1">
        <v>193726.4</v>
      </c>
      <c r="Q502" s="1">
        <v>87723.9</v>
      </c>
      <c r="R502" s="1">
        <v>28915.599999999999</v>
      </c>
      <c r="S502" s="1">
        <v>116639.5</v>
      </c>
      <c r="T502" s="1">
        <v>28.78</v>
      </c>
      <c r="U502" s="1">
        <v>1.78</v>
      </c>
      <c r="V502" s="1">
        <v>25420.6</v>
      </c>
      <c r="W502" s="1">
        <v>113144.5</v>
      </c>
      <c r="X502" s="1">
        <v>601.79999999999995</v>
      </c>
      <c r="Y502" s="1">
        <v>2400</v>
      </c>
      <c r="Z502" s="1">
        <v>306870.90000000002</v>
      </c>
      <c r="AA502" s="1">
        <v>29.59</v>
      </c>
      <c r="AB502" s="1">
        <v>8000</v>
      </c>
    </row>
    <row r="503" spans="1:28" x14ac:dyDescent="0.4">
      <c r="A503" s="1" t="s">
        <v>141</v>
      </c>
      <c r="B503" s="1">
        <v>8000</v>
      </c>
      <c r="C503" s="1">
        <v>0.4</v>
      </c>
      <c r="D503" s="1">
        <v>0.5</v>
      </c>
      <c r="E503" s="1">
        <v>1000</v>
      </c>
      <c r="F503" s="1">
        <v>2</v>
      </c>
      <c r="G503" s="1">
        <v>2</v>
      </c>
      <c r="H503" s="1" t="s">
        <v>583</v>
      </c>
      <c r="I503" s="1">
        <v>442496.5</v>
      </c>
      <c r="J503" s="1">
        <v>166733.79999999999</v>
      </c>
      <c r="K503" s="1">
        <v>275762.7</v>
      </c>
      <c r="L503" s="1">
        <v>2400</v>
      </c>
      <c r="M503" s="1">
        <v>600.04999999999995</v>
      </c>
      <c r="N503" s="1">
        <v>76214.2</v>
      </c>
      <c r="O503" s="1">
        <v>118808.9</v>
      </c>
      <c r="P503" s="1">
        <v>195023.1</v>
      </c>
      <c r="Q503" s="1">
        <v>88225.3</v>
      </c>
      <c r="R503" s="1">
        <v>27667.7</v>
      </c>
      <c r="S503" s="1">
        <v>115893</v>
      </c>
      <c r="T503" s="1">
        <v>29.74</v>
      </c>
      <c r="U503" s="1">
        <v>1.88</v>
      </c>
      <c r="V503" s="1">
        <v>23739</v>
      </c>
      <c r="W503" s="1">
        <v>111964.3</v>
      </c>
      <c r="X503" s="1">
        <v>601.92999999999995</v>
      </c>
      <c r="Y503" s="1">
        <v>2400</v>
      </c>
      <c r="Z503" s="1">
        <v>306987.40000000002</v>
      </c>
      <c r="AA503" s="1">
        <v>30.62</v>
      </c>
      <c r="AB503" s="1">
        <v>8000</v>
      </c>
    </row>
    <row r="504" spans="1:28" x14ac:dyDescent="0.4">
      <c r="A504" s="1" t="s">
        <v>142</v>
      </c>
      <c r="B504" s="1">
        <v>8000</v>
      </c>
      <c r="C504" s="1">
        <v>0.4</v>
      </c>
      <c r="D504" s="1">
        <v>0.5</v>
      </c>
      <c r="E504" s="1">
        <v>1000</v>
      </c>
      <c r="F504" s="1">
        <v>2</v>
      </c>
      <c r="G504" s="1">
        <v>3</v>
      </c>
      <c r="H504" s="1" t="s">
        <v>583</v>
      </c>
      <c r="I504" s="1">
        <v>452037.4</v>
      </c>
      <c r="J504" s="1">
        <v>182112.7</v>
      </c>
      <c r="K504" s="1">
        <v>269924.7</v>
      </c>
      <c r="L504" s="1">
        <v>2400</v>
      </c>
      <c r="M504" s="1">
        <v>600.02</v>
      </c>
      <c r="N504" s="1">
        <v>81481</v>
      </c>
      <c r="O504" s="1">
        <v>112248.1</v>
      </c>
      <c r="P504" s="1">
        <v>193729.1</v>
      </c>
      <c r="Q504" s="1">
        <v>89956.800000000003</v>
      </c>
      <c r="R504" s="1">
        <v>28623.3</v>
      </c>
      <c r="S504" s="1">
        <v>118580.1</v>
      </c>
      <c r="T504" s="1">
        <v>30.91</v>
      </c>
      <c r="U504" s="1">
        <v>2</v>
      </c>
      <c r="V504" s="1">
        <v>25421.4</v>
      </c>
      <c r="W504" s="1">
        <v>115378.2</v>
      </c>
      <c r="X504" s="1">
        <v>602.02</v>
      </c>
      <c r="Y504" s="1">
        <v>2400</v>
      </c>
      <c r="Z504" s="1">
        <v>309107.3</v>
      </c>
      <c r="AA504" s="1">
        <v>31.62</v>
      </c>
      <c r="AB504" s="1">
        <v>8000</v>
      </c>
    </row>
    <row r="505" spans="1:28" x14ac:dyDescent="0.4">
      <c r="A505" s="1" t="s">
        <v>143</v>
      </c>
      <c r="B505" s="1">
        <v>8000</v>
      </c>
      <c r="C505" s="1">
        <v>0.4</v>
      </c>
      <c r="D505" s="1">
        <v>0.5</v>
      </c>
      <c r="E505" s="1">
        <v>1000</v>
      </c>
      <c r="F505" s="1">
        <v>2</v>
      </c>
      <c r="G505" s="1">
        <v>4</v>
      </c>
      <c r="H505" s="1" t="s">
        <v>583</v>
      </c>
      <c r="I505" s="1">
        <v>441614.5</v>
      </c>
      <c r="J505" s="1">
        <v>169950.8</v>
      </c>
      <c r="K505" s="1">
        <v>271663.7</v>
      </c>
      <c r="L505" s="1">
        <v>2400</v>
      </c>
      <c r="M505" s="1">
        <v>600.02</v>
      </c>
      <c r="N505" s="1">
        <v>76975.399999999994</v>
      </c>
      <c r="O505" s="1">
        <v>118987</v>
      </c>
      <c r="P505" s="1">
        <v>195962.4</v>
      </c>
      <c r="Q505" s="1">
        <v>90381.9</v>
      </c>
      <c r="R505" s="1">
        <v>28696.3</v>
      </c>
      <c r="S505" s="1">
        <v>119078.2</v>
      </c>
      <c r="T505" s="1">
        <v>28.66</v>
      </c>
      <c r="U505" s="1">
        <v>1.85</v>
      </c>
      <c r="V505" s="1">
        <v>25758.2</v>
      </c>
      <c r="W505" s="1">
        <v>116140.1</v>
      </c>
      <c r="X505" s="1">
        <v>601.87</v>
      </c>
      <c r="Y505" s="1">
        <v>2400</v>
      </c>
      <c r="Z505" s="1">
        <v>312102.5</v>
      </c>
      <c r="AA505" s="1">
        <v>29.33</v>
      </c>
      <c r="AB505" s="1">
        <v>8000</v>
      </c>
    </row>
    <row r="506" spans="1:28" x14ac:dyDescent="0.4">
      <c r="A506" s="1" t="s">
        <v>144</v>
      </c>
      <c r="B506" s="1">
        <v>8000</v>
      </c>
      <c r="C506" s="1">
        <v>0.4</v>
      </c>
      <c r="D506" s="1">
        <v>0.5</v>
      </c>
      <c r="E506" s="1">
        <v>1000</v>
      </c>
      <c r="F506" s="1">
        <v>2</v>
      </c>
      <c r="G506" s="1">
        <v>5</v>
      </c>
      <c r="H506" s="1" t="s">
        <v>583</v>
      </c>
      <c r="I506" s="1">
        <v>456297.9</v>
      </c>
      <c r="J506" s="1">
        <v>162777.9</v>
      </c>
      <c r="K506" s="1">
        <v>293520</v>
      </c>
      <c r="L506" s="1">
        <v>2400</v>
      </c>
      <c r="M506" s="1">
        <v>600.04999999999995</v>
      </c>
      <c r="N506" s="1">
        <v>75417.2</v>
      </c>
      <c r="O506" s="1">
        <v>124797.5</v>
      </c>
      <c r="P506" s="1">
        <v>200214.7</v>
      </c>
      <c r="Q506" s="1">
        <v>89411.199999999997</v>
      </c>
      <c r="R506" s="1">
        <v>28514.1</v>
      </c>
      <c r="S506" s="1">
        <v>117925.3</v>
      </c>
      <c r="T506" s="1">
        <v>30.28</v>
      </c>
      <c r="U506" s="1">
        <v>1.7</v>
      </c>
      <c r="V506" s="1">
        <v>25395.7</v>
      </c>
      <c r="W506" s="1">
        <v>114806.9</v>
      </c>
      <c r="X506" s="1">
        <v>601.74</v>
      </c>
      <c r="Y506" s="1">
        <v>2400</v>
      </c>
      <c r="Z506" s="1">
        <v>315021.59999999998</v>
      </c>
      <c r="AA506" s="1">
        <v>30.96</v>
      </c>
      <c r="AB506" s="1">
        <v>8000</v>
      </c>
    </row>
    <row r="507" spans="1:28" x14ac:dyDescent="0.4">
      <c r="A507" s="1" t="s">
        <v>145</v>
      </c>
      <c r="B507" s="1">
        <v>8000</v>
      </c>
      <c r="C507" s="1">
        <v>0.4</v>
      </c>
      <c r="D507" s="1">
        <v>0.5</v>
      </c>
      <c r="E507" s="1">
        <v>1000</v>
      </c>
      <c r="F507" s="1">
        <v>3</v>
      </c>
      <c r="G507" s="1">
        <v>1</v>
      </c>
      <c r="H507" s="1" t="s">
        <v>583</v>
      </c>
      <c r="I507" s="1">
        <v>557435.6</v>
      </c>
      <c r="J507" s="1">
        <v>222718.9</v>
      </c>
      <c r="K507" s="1">
        <v>334716.7</v>
      </c>
      <c r="L507" s="1">
        <v>2400</v>
      </c>
      <c r="M507" s="1">
        <v>600</v>
      </c>
      <c r="N507" s="1">
        <v>102266</v>
      </c>
      <c r="O507" s="1">
        <v>151395.29999999999</v>
      </c>
      <c r="P507" s="1">
        <v>253661.3</v>
      </c>
      <c r="Q507" s="1">
        <v>90044.1</v>
      </c>
      <c r="R507" s="1">
        <v>31307.4</v>
      </c>
      <c r="S507" s="1">
        <v>121351.5</v>
      </c>
      <c r="T507" s="1">
        <v>32.729999999999997</v>
      </c>
      <c r="U507" s="1">
        <v>2.15</v>
      </c>
      <c r="V507" s="1">
        <v>27163.7</v>
      </c>
      <c r="W507" s="1">
        <v>117207.8</v>
      </c>
      <c r="X507" s="1">
        <v>602.16</v>
      </c>
      <c r="Y507" s="1">
        <v>2400</v>
      </c>
      <c r="Z507" s="1">
        <v>370869.1</v>
      </c>
      <c r="AA507" s="1">
        <v>33.47</v>
      </c>
      <c r="AB507" s="1">
        <v>8000</v>
      </c>
    </row>
    <row r="508" spans="1:28" x14ac:dyDescent="0.4">
      <c r="A508" s="1" t="s">
        <v>146</v>
      </c>
      <c r="B508" s="1">
        <v>8000</v>
      </c>
      <c r="C508" s="1">
        <v>0.4</v>
      </c>
      <c r="D508" s="1">
        <v>0.5</v>
      </c>
      <c r="E508" s="1">
        <v>1000</v>
      </c>
      <c r="F508" s="1">
        <v>3</v>
      </c>
      <c r="G508" s="1">
        <v>2</v>
      </c>
      <c r="H508" s="1" t="s">
        <v>583</v>
      </c>
      <c r="I508" s="1">
        <v>581757.6</v>
      </c>
      <c r="J508" s="1">
        <v>227255.3</v>
      </c>
      <c r="K508" s="1">
        <v>354502.3</v>
      </c>
      <c r="L508" s="1">
        <v>2400</v>
      </c>
      <c r="M508" s="1">
        <v>600.01</v>
      </c>
      <c r="N508" s="1">
        <v>105192.1</v>
      </c>
      <c r="O508" s="1">
        <v>161971.4</v>
      </c>
      <c r="P508" s="1">
        <v>267163.5</v>
      </c>
      <c r="Q508" s="1">
        <v>91523.3</v>
      </c>
      <c r="R508" s="1">
        <v>31926.5</v>
      </c>
      <c r="S508" s="1">
        <v>123449.8</v>
      </c>
      <c r="T508" s="1">
        <v>32.86</v>
      </c>
      <c r="U508" s="1">
        <v>2.4700000000000002</v>
      </c>
      <c r="V508" s="1">
        <v>27072.799999999999</v>
      </c>
      <c r="W508" s="1">
        <v>118596.1</v>
      </c>
      <c r="X508" s="1">
        <v>602.48</v>
      </c>
      <c r="Y508" s="1">
        <v>2400</v>
      </c>
      <c r="Z508" s="1">
        <v>385759.6</v>
      </c>
      <c r="AA508" s="1">
        <v>33.69</v>
      </c>
      <c r="AB508" s="1">
        <v>8000</v>
      </c>
    </row>
    <row r="509" spans="1:28" x14ac:dyDescent="0.4">
      <c r="A509" s="1" t="s">
        <v>147</v>
      </c>
      <c r="B509" s="1">
        <v>8000</v>
      </c>
      <c r="C509" s="1">
        <v>0.4</v>
      </c>
      <c r="D509" s="1">
        <v>0.5</v>
      </c>
      <c r="E509" s="1">
        <v>1000</v>
      </c>
      <c r="F509" s="1">
        <v>3</v>
      </c>
      <c r="G509" s="1">
        <v>3</v>
      </c>
      <c r="H509" s="1" t="s">
        <v>583</v>
      </c>
      <c r="I509" s="1">
        <v>567769.5</v>
      </c>
      <c r="J509" s="1">
        <v>226650.8</v>
      </c>
      <c r="K509" s="1">
        <v>341118.7</v>
      </c>
      <c r="L509" s="1">
        <v>2400</v>
      </c>
      <c r="M509" s="1">
        <v>600.03</v>
      </c>
      <c r="N509" s="1">
        <v>104491.9</v>
      </c>
      <c r="O509" s="1">
        <v>154184</v>
      </c>
      <c r="P509" s="1">
        <v>258675.9</v>
      </c>
      <c r="Q509" s="1">
        <v>90496.5</v>
      </c>
      <c r="R509" s="1">
        <v>30843.4</v>
      </c>
      <c r="S509" s="1">
        <v>121339.9</v>
      </c>
      <c r="T509" s="1">
        <v>33.07</v>
      </c>
      <c r="U509" s="1">
        <v>2.25</v>
      </c>
      <c r="V509" s="1">
        <v>26719.7</v>
      </c>
      <c r="W509" s="1">
        <v>117216.2</v>
      </c>
      <c r="X509" s="1">
        <v>602.28</v>
      </c>
      <c r="Y509" s="1">
        <v>2399</v>
      </c>
      <c r="Z509" s="1">
        <v>375892.1</v>
      </c>
      <c r="AA509" s="1">
        <v>33.79</v>
      </c>
      <c r="AB509" s="1">
        <v>8000</v>
      </c>
    </row>
    <row r="510" spans="1:28" x14ac:dyDescent="0.4">
      <c r="A510" s="1" t="s">
        <v>148</v>
      </c>
      <c r="B510" s="1">
        <v>8000</v>
      </c>
      <c r="C510" s="1">
        <v>0.4</v>
      </c>
      <c r="D510" s="1">
        <v>0.5</v>
      </c>
      <c r="E510" s="1">
        <v>1000</v>
      </c>
      <c r="F510" s="1">
        <v>3</v>
      </c>
      <c r="G510" s="1">
        <v>4</v>
      </c>
      <c r="H510" s="1" t="s">
        <v>583</v>
      </c>
      <c r="I510" s="1">
        <v>578695.1</v>
      </c>
      <c r="J510" s="1">
        <v>220248.4</v>
      </c>
      <c r="K510" s="1">
        <v>358446.7</v>
      </c>
      <c r="L510" s="1">
        <v>2400</v>
      </c>
      <c r="M510" s="1">
        <v>600.02</v>
      </c>
      <c r="N510" s="1">
        <v>102741.9</v>
      </c>
      <c r="O510" s="1">
        <v>162893.6</v>
      </c>
      <c r="P510" s="1">
        <v>265635.5</v>
      </c>
      <c r="Q510" s="1">
        <v>91463</v>
      </c>
      <c r="R510" s="1">
        <v>33064.1</v>
      </c>
      <c r="S510" s="1">
        <v>124527.1</v>
      </c>
      <c r="T510" s="1">
        <v>32.58</v>
      </c>
      <c r="U510" s="1">
        <v>2.11</v>
      </c>
      <c r="V510" s="1">
        <v>28316.5</v>
      </c>
      <c r="W510" s="1">
        <v>119779.5</v>
      </c>
      <c r="X510" s="1">
        <v>602.13</v>
      </c>
      <c r="Y510" s="1">
        <v>2400</v>
      </c>
      <c r="Z510" s="1">
        <v>385415</v>
      </c>
      <c r="AA510" s="1">
        <v>33.4</v>
      </c>
      <c r="AB510" s="1">
        <v>8000</v>
      </c>
    </row>
    <row r="511" spans="1:28" x14ac:dyDescent="0.4">
      <c r="A511" s="1" t="s">
        <v>149</v>
      </c>
      <c r="B511" s="1">
        <v>8000</v>
      </c>
      <c r="C511" s="1">
        <v>0.4</v>
      </c>
      <c r="D511" s="1">
        <v>0.5</v>
      </c>
      <c r="E511" s="1">
        <v>1000</v>
      </c>
      <c r="F511" s="1">
        <v>3</v>
      </c>
      <c r="G511" s="1">
        <v>5</v>
      </c>
      <c r="H511" s="1" t="s">
        <v>583</v>
      </c>
      <c r="I511" s="1">
        <v>590660.69999999995</v>
      </c>
      <c r="J511" s="1">
        <v>215654.3</v>
      </c>
      <c r="K511" s="1">
        <v>375006.4</v>
      </c>
      <c r="L511" s="1">
        <v>2400</v>
      </c>
      <c r="M511" s="1">
        <v>600.07000000000005</v>
      </c>
      <c r="N511" s="1">
        <v>102439.6</v>
      </c>
      <c r="O511" s="1">
        <v>172181.8</v>
      </c>
      <c r="P511" s="1">
        <v>274621.40000000002</v>
      </c>
      <c r="Q511" s="1">
        <v>92178.5</v>
      </c>
      <c r="R511" s="1">
        <v>32748.2</v>
      </c>
      <c r="S511" s="1">
        <v>124926.7</v>
      </c>
      <c r="T511" s="1">
        <v>32.36</v>
      </c>
      <c r="U511" s="1">
        <v>1.96</v>
      </c>
      <c r="V511" s="1">
        <v>28241.200000000001</v>
      </c>
      <c r="W511" s="1">
        <v>120419.7</v>
      </c>
      <c r="X511" s="1">
        <v>602.03</v>
      </c>
      <c r="Y511" s="1">
        <v>2400</v>
      </c>
      <c r="Z511" s="1">
        <v>395041.1</v>
      </c>
      <c r="AA511" s="1">
        <v>33.119999999999997</v>
      </c>
      <c r="AB511" s="1">
        <v>8000</v>
      </c>
    </row>
    <row r="512" spans="1:28" x14ac:dyDescent="0.4">
      <c r="A512" s="1" t="s">
        <v>527</v>
      </c>
      <c r="B512" s="1">
        <v>8000</v>
      </c>
      <c r="C512" s="1">
        <v>0.4</v>
      </c>
      <c r="D512" s="1">
        <v>0.5</v>
      </c>
      <c r="E512" s="1">
        <v>2000</v>
      </c>
      <c r="F512" s="1">
        <v>1</v>
      </c>
      <c r="G512" s="1">
        <v>1</v>
      </c>
      <c r="H512" s="1" t="s">
        <v>583</v>
      </c>
      <c r="I512" s="1">
        <v>557823.1</v>
      </c>
      <c r="J512" s="1">
        <v>221562.4</v>
      </c>
      <c r="K512" s="1">
        <v>336260.7</v>
      </c>
      <c r="L512" s="1">
        <v>2400</v>
      </c>
      <c r="M512" s="1">
        <v>600</v>
      </c>
      <c r="N512" s="1">
        <v>107620.8</v>
      </c>
      <c r="O512" s="1">
        <v>155030.79999999999</v>
      </c>
      <c r="P512" s="1">
        <v>262651.59999999998</v>
      </c>
      <c r="Q512" s="1">
        <v>102262.39999999999</v>
      </c>
      <c r="R512" s="1">
        <v>39138.400000000001</v>
      </c>
      <c r="S512" s="1">
        <v>141400.79999999999</v>
      </c>
      <c r="T512" s="1">
        <v>27.57</v>
      </c>
      <c r="U512" s="1">
        <v>1.1499999999999999</v>
      </c>
      <c r="V512" s="1">
        <v>37644.800000000003</v>
      </c>
      <c r="W512" s="1">
        <v>139907.20000000001</v>
      </c>
      <c r="X512" s="1">
        <v>601.15</v>
      </c>
      <c r="Y512" s="1">
        <v>2400</v>
      </c>
      <c r="Z512" s="1">
        <v>402558.8</v>
      </c>
      <c r="AA512" s="1">
        <v>27.83</v>
      </c>
      <c r="AB512" s="1">
        <v>8000</v>
      </c>
    </row>
    <row r="513" spans="1:28" x14ac:dyDescent="0.4">
      <c r="A513" s="1" t="s">
        <v>528</v>
      </c>
      <c r="B513" s="1">
        <v>8000</v>
      </c>
      <c r="C513" s="1">
        <v>0.4</v>
      </c>
      <c r="D513" s="1">
        <v>0.5</v>
      </c>
      <c r="E513" s="1">
        <v>2000</v>
      </c>
      <c r="F513" s="1">
        <v>1</v>
      </c>
      <c r="G513" s="1">
        <v>2</v>
      </c>
      <c r="H513" s="1" t="s">
        <v>583</v>
      </c>
      <c r="I513" s="1">
        <v>574477.4</v>
      </c>
      <c r="J513" s="1">
        <v>217902.4</v>
      </c>
      <c r="K513" s="1">
        <v>356575</v>
      </c>
      <c r="L513" s="1">
        <v>2400</v>
      </c>
      <c r="M513" s="1">
        <v>600.02</v>
      </c>
      <c r="N513" s="1">
        <v>105367.1</v>
      </c>
      <c r="O513" s="1">
        <v>161722.20000000001</v>
      </c>
      <c r="P513" s="1">
        <v>267089.3</v>
      </c>
      <c r="Q513" s="1">
        <v>104064.7</v>
      </c>
      <c r="R513" s="1">
        <v>40601.5</v>
      </c>
      <c r="S513" s="1">
        <v>144666.20000000001</v>
      </c>
      <c r="T513" s="1">
        <v>28.33</v>
      </c>
      <c r="U513" s="1">
        <v>1.36</v>
      </c>
      <c r="V513" s="1">
        <v>39326.1</v>
      </c>
      <c r="W513" s="1">
        <v>143390.79999999999</v>
      </c>
      <c r="X513" s="1">
        <v>601.38</v>
      </c>
      <c r="Y513" s="1">
        <v>2400</v>
      </c>
      <c r="Z513" s="1">
        <v>410480.1</v>
      </c>
      <c r="AA513" s="1">
        <v>28.55</v>
      </c>
      <c r="AB513" s="1">
        <v>8000</v>
      </c>
    </row>
    <row r="514" spans="1:28" x14ac:dyDescent="0.4">
      <c r="A514" s="1" t="s">
        <v>529</v>
      </c>
      <c r="B514" s="1">
        <v>8000</v>
      </c>
      <c r="C514" s="1">
        <v>0.4</v>
      </c>
      <c r="D514" s="1">
        <v>0.5</v>
      </c>
      <c r="E514" s="1">
        <v>2000</v>
      </c>
      <c r="F514" s="1">
        <v>1</v>
      </c>
      <c r="G514" s="1">
        <v>3</v>
      </c>
      <c r="H514" s="1" t="s">
        <v>583</v>
      </c>
      <c r="I514" s="1">
        <v>568049.30000000005</v>
      </c>
      <c r="J514" s="1">
        <v>222300.5</v>
      </c>
      <c r="K514" s="1">
        <v>345748.8</v>
      </c>
      <c r="L514" s="1">
        <v>2400</v>
      </c>
      <c r="M514" s="1">
        <v>600.01</v>
      </c>
      <c r="N514" s="1">
        <v>106239.3</v>
      </c>
      <c r="O514" s="1">
        <v>159969</v>
      </c>
      <c r="P514" s="1">
        <v>266208.3</v>
      </c>
      <c r="Q514" s="1">
        <v>103538.1</v>
      </c>
      <c r="R514" s="1">
        <v>39318.699999999997</v>
      </c>
      <c r="S514" s="1">
        <v>142856.79999999999</v>
      </c>
      <c r="T514" s="1">
        <v>27.99</v>
      </c>
      <c r="U514" s="1">
        <v>1.1499999999999999</v>
      </c>
      <c r="V514" s="1">
        <v>38292.800000000003</v>
      </c>
      <c r="W514" s="1">
        <v>141830.9</v>
      </c>
      <c r="X514" s="1">
        <v>601.16</v>
      </c>
      <c r="Y514" s="1">
        <v>2400</v>
      </c>
      <c r="Z514" s="1">
        <v>408039.2</v>
      </c>
      <c r="AA514" s="1">
        <v>28.17</v>
      </c>
      <c r="AB514" s="1">
        <v>8000</v>
      </c>
    </row>
    <row r="515" spans="1:28" x14ac:dyDescent="0.4">
      <c r="A515" s="1" t="s">
        <v>530</v>
      </c>
      <c r="B515" s="1">
        <v>8000</v>
      </c>
      <c r="C515" s="1">
        <v>0.4</v>
      </c>
      <c r="D515" s="1">
        <v>0.5</v>
      </c>
      <c r="E515" s="1">
        <v>2000</v>
      </c>
      <c r="F515" s="1">
        <v>1</v>
      </c>
      <c r="G515" s="1">
        <v>4</v>
      </c>
      <c r="H515" s="1" t="s">
        <v>583</v>
      </c>
      <c r="I515" s="1">
        <v>581912.6</v>
      </c>
      <c r="J515" s="1">
        <v>225923.8</v>
      </c>
      <c r="K515" s="1">
        <v>355988.8</v>
      </c>
      <c r="L515" s="1">
        <v>2400</v>
      </c>
      <c r="M515" s="1">
        <v>600.04</v>
      </c>
      <c r="N515" s="1">
        <v>106511.2</v>
      </c>
      <c r="O515" s="1">
        <v>164276.5</v>
      </c>
      <c r="P515" s="1">
        <v>270787.7</v>
      </c>
      <c r="Q515" s="1">
        <v>103386.5</v>
      </c>
      <c r="R515" s="1">
        <v>39189.800000000003</v>
      </c>
      <c r="S515" s="1">
        <v>142576.29999999999</v>
      </c>
      <c r="T515" s="1">
        <v>28.96</v>
      </c>
      <c r="U515" s="1">
        <v>1.3</v>
      </c>
      <c r="V515" s="1">
        <v>37603.5</v>
      </c>
      <c r="W515" s="1">
        <v>140990</v>
      </c>
      <c r="X515" s="1">
        <v>601.34</v>
      </c>
      <c r="Y515" s="1">
        <v>2400</v>
      </c>
      <c r="Z515" s="1">
        <v>411777.7</v>
      </c>
      <c r="AA515" s="1">
        <v>29.24</v>
      </c>
      <c r="AB515" s="1">
        <v>8000</v>
      </c>
    </row>
    <row r="516" spans="1:28" x14ac:dyDescent="0.4">
      <c r="A516" s="1" t="s">
        <v>531</v>
      </c>
      <c r="B516" s="1">
        <v>8000</v>
      </c>
      <c r="C516" s="1">
        <v>0.4</v>
      </c>
      <c r="D516" s="1">
        <v>0.5</v>
      </c>
      <c r="E516" s="1">
        <v>2000</v>
      </c>
      <c r="F516" s="1">
        <v>1</v>
      </c>
      <c r="G516" s="1">
        <v>5</v>
      </c>
      <c r="H516" s="1" t="s">
        <v>583</v>
      </c>
      <c r="I516" s="1">
        <v>572459.9</v>
      </c>
      <c r="J516" s="1">
        <v>219618.8</v>
      </c>
      <c r="K516" s="1">
        <v>352841.1</v>
      </c>
      <c r="L516" s="1">
        <v>2400</v>
      </c>
      <c r="M516" s="1">
        <v>600.01</v>
      </c>
      <c r="N516" s="1">
        <v>103092.8</v>
      </c>
      <c r="O516" s="1">
        <v>163385.5</v>
      </c>
      <c r="P516" s="1">
        <v>266478.3</v>
      </c>
      <c r="Q516" s="1">
        <v>102038</v>
      </c>
      <c r="R516" s="1">
        <v>39136.300000000003</v>
      </c>
      <c r="S516" s="1">
        <v>141174.29999999999</v>
      </c>
      <c r="T516" s="1">
        <v>28.79</v>
      </c>
      <c r="U516" s="1">
        <v>1.31</v>
      </c>
      <c r="V516" s="1">
        <v>37558.300000000003</v>
      </c>
      <c r="W516" s="1">
        <v>139596.29999999999</v>
      </c>
      <c r="X516" s="1">
        <v>601.32000000000005</v>
      </c>
      <c r="Y516" s="1">
        <v>2400</v>
      </c>
      <c r="Z516" s="1">
        <v>406074.6</v>
      </c>
      <c r="AA516" s="1">
        <v>29.06</v>
      </c>
      <c r="AB516" s="1">
        <v>8000</v>
      </c>
    </row>
    <row r="517" spans="1:28" x14ac:dyDescent="0.4">
      <c r="A517" s="1" t="s">
        <v>532</v>
      </c>
      <c r="B517" s="1">
        <v>8000</v>
      </c>
      <c r="C517" s="1">
        <v>0.4</v>
      </c>
      <c r="D517" s="1">
        <v>0.5</v>
      </c>
      <c r="E517" s="1">
        <v>2000</v>
      </c>
      <c r="F517" s="1">
        <v>2</v>
      </c>
      <c r="G517" s="1">
        <v>1</v>
      </c>
      <c r="H517" s="1" t="s">
        <v>583</v>
      </c>
      <c r="I517" s="1">
        <v>879041</v>
      </c>
      <c r="J517" s="1">
        <v>331624.40000000002</v>
      </c>
      <c r="K517" s="1">
        <v>547416.6</v>
      </c>
      <c r="L517" s="1">
        <v>2400</v>
      </c>
      <c r="M517" s="1">
        <v>600.08000000000004</v>
      </c>
      <c r="N517" s="1">
        <v>168694.6</v>
      </c>
      <c r="O517" s="1">
        <v>263259.40000000002</v>
      </c>
      <c r="P517" s="1">
        <v>431954</v>
      </c>
      <c r="Q517" s="1">
        <v>99501.2</v>
      </c>
      <c r="R517" s="1">
        <v>42063.8</v>
      </c>
      <c r="S517" s="1">
        <v>141565</v>
      </c>
      <c r="T517" s="1">
        <v>34.76</v>
      </c>
      <c r="U517" s="1">
        <v>2.4500000000000002</v>
      </c>
      <c r="V517" s="1">
        <v>38009</v>
      </c>
      <c r="W517" s="1">
        <v>137510.20000000001</v>
      </c>
      <c r="X517" s="1">
        <v>602.53</v>
      </c>
      <c r="Y517" s="1">
        <v>2400</v>
      </c>
      <c r="Z517" s="1">
        <v>569464.19999999995</v>
      </c>
      <c r="AA517" s="1">
        <v>35.22</v>
      </c>
      <c r="AB517" s="1">
        <v>8000</v>
      </c>
    </row>
    <row r="518" spans="1:28" x14ac:dyDescent="0.4">
      <c r="A518" s="1" t="s">
        <v>533</v>
      </c>
      <c r="B518" s="1">
        <v>8000</v>
      </c>
      <c r="C518" s="1">
        <v>0.4</v>
      </c>
      <c r="D518" s="1">
        <v>0.5</v>
      </c>
      <c r="E518" s="1">
        <v>2000</v>
      </c>
      <c r="F518" s="1">
        <v>2</v>
      </c>
      <c r="G518" s="1">
        <v>2</v>
      </c>
      <c r="H518" s="1" t="s">
        <v>583</v>
      </c>
      <c r="I518" s="1">
        <v>895929.2</v>
      </c>
      <c r="J518" s="1">
        <v>335858.2</v>
      </c>
      <c r="K518" s="1">
        <v>560071</v>
      </c>
      <c r="L518" s="1">
        <v>2400</v>
      </c>
      <c r="M518" s="1">
        <v>600.01</v>
      </c>
      <c r="N518" s="1">
        <v>170503</v>
      </c>
      <c r="O518" s="1">
        <v>271152.40000000002</v>
      </c>
      <c r="P518" s="1">
        <v>441655.4</v>
      </c>
      <c r="Q518" s="1">
        <v>100345.2</v>
      </c>
      <c r="R518" s="1">
        <v>42121.3</v>
      </c>
      <c r="S518" s="1">
        <v>142466.5</v>
      </c>
      <c r="T518" s="1">
        <v>34.799999999999997</v>
      </c>
      <c r="U518" s="1">
        <v>2.0099999999999998</v>
      </c>
      <c r="V518" s="1">
        <v>38424.699999999997</v>
      </c>
      <c r="W518" s="1">
        <v>138769.9</v>
      </c>
      <c r="X518" s="1">
        <v>602.02</v>
      </c>
      <c r="Y518" s="1">
        <v>2400</v>
      </c>
      <c r="Z518" s="1">
        <v>580425.30000000005</v>
      </c>
      <c r="AA518" s="1">
        <v>35.22</v>
      </c>
      <c r="AB518" s="1">
        <v>8000</v>
      </c>
    </row>
    <row r="519" spans="1:28" x14ac:dyDescent="0.4">
      <c r="A519" s="1" t="s">
        <v>534</v>
      </c>
      <c r="B519" s="1">
        <v>8000</v>
      </c>
      <c r="C519" s="1">
        <v>0.4</v>
      </c>
      <c r="D519" s="1">
        <v>0.5</v>
      </c>
      <c r="E519" s="1">
        <v>2000</v>
      </c>
      <c r="F519" s="1">
        <v>2</v>
      </c>
      <c r="G519" s="1">
        <v>3</v>
      </c>
      <c r="H519" s="1" t="s">
        <v>583</v>
      </c>
      <c r="I519" s="1">
        <v>882760.1</v>
      </c>
      <c r="J519" s="1">
        <v>328520.5</v>
      </c>
      <c r="K519" s="1">
        <v>554239.6</v>
      </c>
      <c r="L519" s="1">
        <v>2400</v>
      </c>
      <c r="M519" s="1">
        <v>600.03</v>
      </c>
      <c r="N519" s="1">
        <v>165670.70000000001</v>
      </c>
      <c r="O519" s="1">
        <v>265946.8</v>
      </c>
      <c r="P519" s="1">
        <v>431617.5</v>
      </c>
      <c r="Q519" s="1">
        <v>99521.8</v>
      </c>
      <c r="R519" s="1">
        <v>41287</v>
      </c>
      <c r="S519" s="1">
        <v>140808.79999999999</v>
      </c>
      <c r="T519" s="1">
        <v>35.15</v>
      </c>
      <c r="U519" s="1">
        <v>2.42</v>
      </c>
      <c r="V519" s="1">
        <v>37290.1</v>
      </c>
      <c r="W519" s="1">
        <v>136811.9</v>
      </c>
      <c r="X519" s="1">
        <v>602.45000000000005</v>
      </c>
      <c r="Y519" s="1">
        <v>2399</v>
      </c>
      <c r="Z519" s="1">
        <v>568429.4</v>
      </c>
      <c r="AA519" s="1">
        <v>35.61</v>
      </c>
      <c r="AB519" s="1">
        <v>8000</v>
      </c>
    </row>
    <row r="520" spans="1:28" x14ac:dyDescent="0.4">
      <c r="A520" s="1" t="s">
        <v>535</v>
      </c>
      <c r="B520" s="1">
        <v>8000</v>
      </c>
      <c r="C520" s="1">
        <v>0.4</v>
      </c>
      <c r="D520" s="1">
        <v>0.5</v>
      </c>
      <c r="E520" s="1">
        <v>2000</v>
      </c>
      <c r="F520" s="1">
        <v>2</v>
      </c>
      <c r="G520" s="1">
        <v>4</v>
      </c>
      <c r="H520" s="1" t="s">
        <v>583</v>
      </c>
      <c r="I520" s="1">
        <v>890793.9</v>
      </c>
      <c r="J520" s="1">
        <v>333769.09999999998</v>
      </c>
      <c r="K520" s="1">
        <v>557024.80000000005</v>
      </c>
      <c r="L520" s="1">
        <v>2400</v>
      </c>
      <c r="M520" s="1">
        <v>600.04</v>
      </c>
      <c r="N520" s="1">
        <v>168610.4</v>
      </c>
      <c r="O520" s="1">
        <v>263335.2</v>
      </c>
      <c r="P520" s="1">
        <v>431945.6</v>
      </c>
      <c r="Q520" s="1">
        <v>98278.5</v>
      </c>
      <c r="R520" s="1">
        <v>41149.9</v>
      </c>
      <c r="S520" s="1">
        <v>139428.4</v>
      </c>
      <c r="T520" s="1">
        <v>35.86</v>
      </c>
      <c r="U520" s="1">
        <v>1.94</v>
      </c>
      <c r="V520" s="1">
        <v>37893.599999999999</v>
      </c>
      <c r="W520" s="1">
        <v>136172.1</v>
      </c>
      <c r="X520" s="1">
        <v>601.98</v>
      </c>
      <c r="Y520" s="1">
        <v>2400</v>
      </c>
      <c r="Z520" s="1">
        <v>568117.69999999995</v>
      </c>
      <c r="AA520" s="1">
        <v>36.22</v>
      </c>
      <c r="AB520" s="1">
        <v>8000</v>
      </c>
    </row>
    <row r="521" spans="1:28" x14ac:dyDescent="0.4">
      <c r="A521" s="1" t="s">
        <v>536</v>
      </c>
      <c r="B521" s="1">
        <v>8000</v>
      </c>
      <c r="C521" s="1">
        <v>0.4</v>
      </c>
      <c r="D521" s="1">
        <v>0.5</v>
      </c>
      <c r="E521" s="1">
        <v>2000</v>
      </c>
      <c r="F521" s="1">
        <v>2</v>
      </c>
      <c r="G521" s="1">
        <v>5</v>
      </c>
      <c r="H521" s="1" t="s">
        <v>583</v>
      </c>
      <c r="I521" s="1">
        <v>911648.3</v>
      </c>
      <c r="J521" s="1">
        <v>355200.1</v>
      </c>
      <c r="K521" s="1">
        <v>556448.19999999995</v>
      </c>
      <c r="L521" s="1">
        <v>2400</v>
      </c>
      <c r="M521" s="1">
        <v>600.05999999999995</v>
      </c>
      <c r="N521" s="1">
        <v>178801.6</v>
      </c>
      <c r="O521" s="1">
        <v>270669.90000000002</v>
      </c>
      <c r="P521" s="1">
        <v>449471.5</v>
      </c>
      <c r="Q521" s="1">
        <v>98883.6</v>
      </c>
      <c r="R521" s="1">
        <v>42233.599999999999</v>
      </c>
      <c r="S521" s="1">
        <v>141117.20000000001</v>
      </c>
      <c r="T521" s="1">
        <v>35.22</v>
      </c>
      <c r="U521" s="1">
        <v>2.15</v>
      </c>
      <c r="V521" s="1">
        <v>38425.5</v>
      </c>
      <c r="W521" s="1">
        <v>137309.1</v>
      </c>
      <c r="X521" s="1">
        <v>602.21</v>
      </c>
      <c r="Y521" s="1">
        <v>2400</v>
      </c>
      <c r="Z521" s="1">
        <v>586780.6</v>
      </c>
      <c r="AA521" s="1">
        <v>35.64</v>
      </c>
      <c r="AB521" s="1">
        <v>8000</v>
      </c>
    </row>
    <row r="522" spans="1:28" x14ac:dyDescent="0.4">
      <c r="A522" s="1" t="s">
        <v>537</v>
      </c>
      <c r="B522" s="1">
        <v>8000</v>
      </c>
      <c r="C522" s="1">
        <v>0.4</v>
      </c>
      <c r="D522" s="1">
        <v>0.5</v>
      </c>
      <c r="E522" s="1">
        <v>2000</v>
      </c>
      <c r="F522" s="1">
        <v>3</v>
      </c>
      <c r="G522" s="1">
        <v>1</v>
      </c>
      <c r="H522" s="1" t="s">
        <v>583</v>
      </c>
      <c r="I522" s="1">
        <v>1144134.7</v>
      </c>
      <c r="J522" s="1">
        <v>435526.8</v>
      </c>
      <c r="K522" s="1">
        <v>708607.9</v>
      </c>
      <c r="L522" s="1">
        <v>2400</v>
      </c>
      <c r="M522" s="1">
        <v>600.03</v>
      </c>
      <c r="N522" s="1">
        <v>229662.8</v>
      </c>
      <c r="O522" s="1">
        <v>362159.3</v>
      </c>
      <c r="P522" s="1">
        <v>591822.1</v>
      </c>
      <c r="Q522" s="1">
        <v>95963.3</v>
      </c>
      <c r="R522" s="1">
        <v>40406.5</v>
      </c>
      <c r="S522" s="1">
        <v>136369.79999999999</v>
      </c>
      <c r="T522" s="1">
        <v>36.35</v>
      </c>
      <c r="U522" s="1">
        <v>2.2799999999999998</v>
      </c>
      <c r="V522" s="1">
        <v>34807.4</v>
      </c>
      <c r="W522" s="1">
        <v>130770.7</v>
      </c>
      <c r="X522" s="1">
        <v>602.30999999999995</v>
      </c>
      <c r="Y522" s="1">
        <v>2399</v>
      </c>
      <c r="Z522" s="1">
        <v>722592.8</v>
      </c>
      <c r="AA522" s="1">
        <v>36.840000000000003</v>
      </c>
      <c r="AB522" s="1">
        <v>8000</v>
      </c>
    </row>
    <row r="523" spans="1:28" x14ac:dyDescent="0.4">
      <c r="A523" s="1" t="s">
        <v>538</v>
      </c>
      <c r="B523" s="1">
        <v>8000</v>
      </c>
      <c r="C523" s="1">
        <v>0.4</v>
      </c>
      <c r="D523" s="1">
        <v>0.5</v>
      </c>
      <c r="E523" s="1">
        <v>2000</v>
      </c>
      <c r="F523" s="1">
        <v>3</v>
      </c>
      <c r="G523" s="1">
        <v>2</v>
      </c>
      <c r="H523" s="1" t="s">
        <v>583</v>
      </c>
      <c r="I523" s="1">
        <v>1169628.8</v>
      </c>
      <c r="J523" s="1">
        <v>444905.8</v>
      </c>
      <c r="K523" s="1">
        <v>724723</v>
      </c>
      <c r="L523" s="1">
        <v>2400</v>
      </c>
      <c r="M523" s="1">
        <v>600.04</v>
      </c>
      <c r="N523" s="1">
        <v>235527.3</v>
      </c>
      <c r="O523" s="1">
        <v>370311.1</v>
      </c>
      <c r="P523" s="1">
        <v>605838.4</v>
      </c>
      <c r="Q523" s="1">
        <v>94636.2</v>
      </c>
      <c r="R523" s="1">
        <v>40930.800000000003</v>
      </c>
      <c r="S523" s="1">
        <v>135567</v>
      </c>
      <c r="T523" s="1">
        <v>36.61</v>
      </c>
      <c r="U523" s="1">
        <v>2.09</v>
      </c>
      <c r="V523" s="1">
        <v>35198.300000000003</v>
      </c>
      <c r="W523" s="1">
        <v>129834.5</v>
      </c>
      <c r="X523" s="1">
        <v>602.13</v>
      </c>
      <c r="Y523" s="1">
        <v>2400</v>
      </c>
      <c r="Z523" s="1">
        <v>735672.9</v>
      </c>
      <c r="AA523" s="1">
        <v>37.1</v>
      </c>
      <c r="AB523" s="1">
        <v>8000</v>
      </c>
    </row>
    <row r="524" spans="1:28" x14ac:dyDescent="0.4">
      <c r="A524" s="1" t="s">
        <v>539</v>
      </c>
      <c r="B524" s="1">
        <v>8000</v>
      </c>
      <c r="C524" s="1">
        <v>0.4</v>
      </c>
      <c r="D524" s="1">
        <v>0.5</v>
      </c>
      <c r="E524" s="1">
        <v>2000</v>
      </c>
      <c r="F524" s="1">
        <v>3</v>
      </c>
      <c r="G524" s="1">
        <v>3</v>
      </c>
      <c r="H524" s="1" t="s">
        <v>583</v>
      </c>
      <c r="I524" s="1">
        <v>1163270.8</v>
      </c>
      <c r="J524" s="1">
        <v>449150.5</v>
      </c>
      <c r="K524" s="1">
        <v>714120.3</v>
      </c>
      <c r="L524" s="1">
        <v>2400</v>
      </c>
      <c r="M524" s="1">
        <v>600.01</v>
      </c>
      <c r="N524" s="1">
        <v>233957.9</v>
      </c>
      <c r="O524" s="1">
        <v>364231</v>
      </c>
      <c r="P524" s="1">
        <v>598188.9</v>
      </c>
      <c r="Q524" s="1">
        <v>95796.7</v>
      </c>
      <c r="R524" s="1">
        <v>40896.5</v>
      </c>
      <c r="S524" s="1">
        <v>136693.20000000001</v>
      </c>
      <c r="T524" s="1">
        <v>36.83</v>
      </c>
      <c r="U524" s="1">
        <v>2.68</v>
      </c>
      <c r="V524" s="1">
        <v>34967.199999999997</v>
      </c>
      <c r="W524" s="1">
        <v>130763.9</v>
      </c>
      <c r="X524" s="1">
        <v>602.69000000000005</v>
      </c>
      <c r="Y524" s="1">
        <v>2400</v>
      </c>
      <c r="Z524" s="1">
        <v>728952.8</v>
      </c>
      <c r="AA524" s="1">
        <v>37.340000000000003</v>
      </c>
      <c r="AB524" s="1">
        <v>8000</v>
      </c>
    </row>
    <row r="525" spans="1:28" x14ac:dyDescent="0.4">
      <c r="A525" s="1" t="s">
        <v>540</v>
      </c>
      <c r="B525" s="1">
        <v>8000</v>
      </c>
      <c r="C525" s="1">
        <v>0.4</v>
      </c>
      <c r="D525" s="1">
        <v>0.5</v>
      </c>
      <c r="E525" s="1">
        <v>2000</v>
      </c>
      <c r="F525" s="1">
        <v>3</v>
      </c>
      <c r="G525" s="1">
        <v>4</v>
      </c>
      <c r="H525" s="1" t="s">
        <v>583</v>
      </c>
      <c r="I525" s="1">
        <v>1180601.1000000001</v>
      </c>
      <c r="J525" s="1">
        <v>442385.1</v>
      </c>
      <c r="K525" s="1">
        <v>738216</v>
      </c>
      <c r="L525" s="1">
        <v>2400</v>
      </c>
      <c r="M525" s="1">
        <v>600.03</v>
      </c>
      <c r="N525" s="1">
        <v>230321.9</v>
      </c>
      <c r="O525" s="1">
        <v>378918.3</v>
      </c>
      <c r="P525" s="1">
        <v>609240.19999999995</v>
      </c>
      <c r="Q525" s="1">
        <v>96257.7</v>
      </c>
      <c r="R525" s="1">
        <v>42108.1</v>
      </c>
      <c r="S525" s="1">
        <v>138365.79999999999</v>
      </c>
      <c r="T525" s="1">
        <v>36.68</v>
      </c>
      <c r="U525" s="1">
        <v>2.37</v>
      </c>
      <c r="V525" s="1">
        <v>36559.699999999997</v>
      </c>
      <c r="W525" s="1">
        <v>132817.4</v>
      </c>
      <c r="X525" s="1">
        <v>602.39</v>
      </c>
      <c r="Y525" s="1">
        <v>2400</v>
      </c>
      <c r="Z525" s="1">
        <v>742057.6</v>
      </c>
      <c r="AA525" s="1">
        <v>37.15</v>
      </c>
      <c r="AB525" s="1">
        <v>8000</v>
      </c>
    </row>
    <row r="526" spans="1:28" x14ac:dyDescent="0.4">
      <c r="A526" s="1" t="s">
        <v>541</v>
      </c>
      <c r="B526" s="1">
        <v>8000</v>
      </c>
      <c r="C526" s="1">
        <v>0.4</v>
      </c>
      <c r="D526" s="1">
        <v>0.5</v>
      </c>
      <c r="E526" s="1">
        <v>2000</v>
      </c>
      <c r="F526" s="1">
        <v>3</v>
      </c>
      <c r="G526" s="1">
        <v>5</v>
      </c>
      <c r="H526" s="1" t="s">
        <v>583</v>
      </c>
      <c r="I526" s="1">
        <v>1164364.2</v>
      </c>
      <c r="J526" s="1">
        <v>446342.3</v>
      </c>
      <c r="K526" s="1">
        <v>718021.9</v>
      </c>
      <c r="L526" s="1">
        <v>2400</v>
      </c>
      <c r="M526" s="1">
        <v>600.01</v>
      </c>
      <c r="N526" s="1">
        <v>236729.7</v>
      </c>
      <c r="O526" s="1">
        <v>369160.8</v>
      </c>
      <c r="P526" s="1">
        <v>605890.5</v>
      </c>
      <c r="Q526" s="1">
        <v>96765.4</v>
      </c>
      <c r="R526" s="1">
        <v>42363</v>
      </c>
      <c r="S526" s="1">
        <v>139128.4</v>
      </c>
      <c r="T526" s="1">
        <v>36.01</v>
      </c>
      <c r="U526" s="1">
        <v>1.72</v>
      </c>
      <c r="V526" s="1">
        <v>36725.699999999997</v>
      </c>
      <c r="W526" s="1">
        <v>133491.1</v>
      </c>
      <c r="X526" s="1">
        <v>601.72</v>
      </c>
      <c r="Y526" s="1">
        <v>2400</v>
      </c>
      <c r="Z526" s="1">
        <v>739381.6</v>
      </c>
      <c r="AA526" s="1">
        <v>36.5</v>
      </c>
      <c r="AB526" s="1">
        <v>8000</v>
      </c>
    </row>
    <row r="527" spans="1:28" x14ac:dyDescent="0.4">
      <c r="A527" s="1" t="s">
        <v>542</v>
      </c>
      <c r="B527" s="1">
        <v>8000</v>
      </c>
      <c r="C527" s="1">
        <v>0.4</v>
      </c>
      <c r="D527" s="1">
        <v>0.5</v>
      </c>
      <c r="E527" s="1">
        <v>500</v>
      </c>
      <c r="F527" s="1">
        <v>1</v>
      </c>
      <c r="G527" s="1">
        <v>1</v>
      </c>
      <c r="H527" s="1" t="s">
        <v>583</v>
      </c>
      <c r="I527" s="1">
        <v>137948.4</v>
      </c>
      <c r="J527" s="1">
        <v>56686</v>
      </c>
      <c r="K527" s="1">
        <v>81262.399999999994</v>
      </c>
      <c r="L527" s="1">
        <v>2400</v>
      </c>
      <c r="M527" s="1">
        <v>600.01</v>
      </c>
      <c r="N527" s="1">
        <v>15428.8</v>
      </c>
      <c r="O527" s="1">
        <v>21998.1</v>
      </c>
      <c r="P527" s="1">
        <v>37426.9</v>
      </c>
      <c r="Q527" s="1">
        <v>95523.9</v>
      </c>
      <c r="R527" s="1">
        <v>24749.3</v>
      </c>
      <c r="S527" s="1">
        <v>120273.2</v>
      </c>
      <c r="T527" s="1">
        <v>-14.32</v>
      </c>
      <c r="U527" s="1">
        <v>0.85</v>
      </c>
      <c r="V527" s="1">
        <v>24231.8</v>
      </c>
      <c r="W527" s="1">
        <v>119755.7</v>
      </c>
      <c r="X527" s="1">
        <v>600.86</v>
      </c>
      <c r="Y527" s="1">
        <v>2398</v>
      </c>
      <c r="Z527" s="1">
        <v>157182.6</v>
      </c>
      <c r="AA527" s="1">
        <v>-13.94</v>
      </c>
      <c r="AB527" s="1">
        <v>8000</v>
      </c>
    </row>
    <row r="528" spans="1:28" x14ac:dyDescent="0.4">
      <c r="A528" s="1" t="s">
        <v>543</v>
      </c>
      <c r="B528" s="1">
        <v>8000</v>
      </c>
      <c r="C528" s="1">
        <v>0.4</v>
      </c>
      <c r="D528" s="1">
        <v>0.5</v>
      </c>
      <c r="E528" s="1">
        <v>500</v>
      </c>
      <c r="F528" s="1">
        <v>1</v>
      </c>
      <c r="G528" s="1">
        <v>2</v>
      </c>
      <c r="H528" s="1" t="s">
        <v>583</v>
      </c>
      <c r="I528" s="1">
        <v>145133.4</v>
      </c>
      <c r="J528" s="1">
        <v>57078.2</v>
      </c>
      <c r="K528" s="1">
        <v>88055.2</v>
      </c>
      <c r="L528" s="1">
        <v>2400</v>
      </c>
      <c r="M528" s="1">
        <v>600.03</v>
      </c>
      <c r="N528" s="1">
        <v>17565.599999999999</v>
      </c>
      <c r="O528" s="1">
        <v>26015.7</v>
      </c>
      <c r="P528" s="1">
        <v>43581.3</v>
      </c>
      <c r="Q528" s="1">
        <v>85944.2</v>
      </c>
      <c r="R528" s="1">
        <v>20288.900000000001</v>
      </c>
      <c r="S528" s="1">
        <v>106233.1</v>
      </c>
      <c r="T528" s="1">
        <v>-3.23</v>
      </c>
      <c r="U528" s="1">
        <v>1.01</v>
      </c>
      <c r="V528" s="1">
        <v>19116.099999999999</v>
      </c>
      <c r="W528" s="1">
        <v>105060.3</v>
      </c>
      <c r="X528" s="1">
        <v>601.04</v>
      </c>
      <c r="Y528" s="1">
        <v>2396</v>
      </c>
      <c r="Z528" s="1">
        <v>148641.60000000001</v>
      </c>
      <c r="AA528" s="1">
        <v>-2.42</v>
      </c>
      <c r="AB528" s="1">
        <v>8000</v>
      </c>
    </row>
    <row r="529" spans="1:28" x14ac:dyDescent="0.4">
      <c r="A529" s="1" t="s">
        <v>544</v>
      </c>
      <c r="B529" s="1">
        <v>8000</v>
      </c>
      <c r="C529" s="1">
        <v>0.4</v>
      </c>
      <c r="D529" s="1">
        <v>0.5</v>
      </c>
      <c r="E529" s="1">
        <v>500</v>
      </c>
      <c r="F529" s="1">
        <v>1</v>
      </c>
      <c r="G529" s="1">
        <v>3</v>
      </c>
      <c r="H529" s="1" t="s">
        <v>583</v>
      </c>
      <c r="I529" s="1">
        <v>148208.79999999999</v>
      </c>
      <c r="J529" s="1">
        <v>57969.9</v>
      </c>
      <c r="K529" s="1">
        <v>90238.9</v>
      </c>
      <c r="L529" s="1">
        <v>2400</v>
      </c>
      <c r="M529" s="1">
        <v>600.01</v>
      </c>
      <c r="N529" s="1">
        <v>16930.2</v>
      </c>
      <c r="O529" s="1">
        <v>27420.3</v>
      </c>
      <c r="P529" s="1">
        <v>44350.5</v>
      </c>
      <c r="Q529" s="1">
        <v>90278.8</v>
      </c>
      <c r="R529" s="1">
        <v>21865.200000000001</v>
      </c>
      <c r="S529" s="1">
        <v>112144</v>
      </c>
      <c r="T529" s="1">
        <v>-5.59</v>
      </c>
      <c r="U529" s="1">
        <v>0.95</v>
      </c>
      <c r="V529" s="1">
        <v>20840.7</v>
      </c>
      <c r="W529" s="1">
        <v>111119.5</v>
      </c>
      <c r="X529" s="1">
        <v>600.96</v>
      </c>
      <c r="Y529" s="1">
        <v>2399</v>
      </c>
      <c r="Z529" s="1">
        <v>155470</v>
      </c>
      <c r="AA529" s="1">
        <v>-4.9000000000000004</v>
      </c>
      <c r="AB529" s="1">
        <v>8000</v>
      </c>
    </row>
    <row r="530" spans="1:28" x14ac:dyDescent="0.4">
      <c r="A530" s="1" t="s">
        <v>545</v>
      </c>
      <c r="B530" s="1">
        <v>8000</v>
      </c>
      <c r="C530" s="1">
        <v>0.4</v>
      </c>
      <c r="D530" s="1">
        <v>0.5</v>
      </c>
      <c r="E530" s="1">
        <v>500</v>
      </c>
      <c r="F530" s="1">
        <v>1</v>
      </c>
      <c r="G530" s="1">
        <v>4</v>
      </c>
      <c r="H530" s="1" t="s">
        <v>583</v>
      </c>
      <c r="I530" s="1">
        <v>140471.79999999999</v>
      </c>
      <c r="J530" s="1">
        <v>55659.4</v>
      </c>
      <c r="K530" s="1">
        <v>84812.4</v>
      </c>
      <c r="L530" s="1">
        <v>2400</v>
      </c>
      <c r="M530" s="1">
        <v>600</v>
      </c>
      <c r="N530" s="1">
        <v>14633.6</v>
      </c>
      <c r="O530" s="1">
        <v>24952.5</v>
      </c>
      <c r="P530" s="1">
        <v>39586.1</v>
      </c>
      <c r="Q530" s="1">
        <v>90347.9</v>
      </c>
      <c r="R530" s="1">
        <v>22133.1</v>
      </c>
      <c r="S530" s="1">
        <v>112481</v>
      </c>
      <c r="T530" s="1">
        <v>-8.25</v>
      </c>
      <c r="U530" s="1">
        <v>1.04</v>
      </c>
      <c r="V530" s="1">
        <v>21125.5</v>
      </c>
      <c r="W530" s="1">
        <v>111473.4</v>
      </c>
      <c r="X530" s="1">
        <v>601.04</v>
      </c>
      <c r="Y530" s="1">
        <v>2388</v>
      </c>
      <c r="Z530" s="1">
        <v>151059.5</v>
      </c>
      <c r="AA530" s="1">
        <v>-7.54</v>
      </c>
      <c r="AB530" s="1">
        <v>8000</v>
      </c>
    </row>
    <row r="531" spans="1:28" x14ac:dyDescent="0.4">
      <c r="A531" s="1" t="s">
        <v>546</v>
      </c>
      <c r="B531" s="1">
        <v>8000</v>
      </c>
      <c r="C531" s="1">
        <v>0.4</v>
      </c>
      <c r="D531" s="1">
        <v>0.5</v>
      </c>
      <c r="E531" s="1">
        <v>500</v>
      </c>
      <c r="F531" s="1">
        <v>1</v>
      </c>
      <c r="G531" s="1">
        <v>5</v>
      </c>
      <c r="H531" s="1" t="s">
        <v>583</v>
      </c>
      <c r="I531" s="1">
        <v>143922.29999999999</v>
      </c>
      <c r="J531" s="1">
        <v>56113.3</v>
      </c>
      <c r="K531" s="1">
        <v>87809</v>
      </c>
      <c r="L531" s="1">
        <v>2400</v>
      </c>
      <c r="M531" s="1">
        <v>600</v>
      </c>
      <c r="N531" s="1">
        <v>16252.7</v>
      </c>
      <c r="O531" s="1">
        <v>25824.9</v>
      </c>
      <c r="P531" s="1">
        <v>42077.599999999999</v>
      </c>
      <c r="Q531" s="1">
        <v>89853.3</v>
      </c>
      <c r="R531" s="1">
        <v>22501.7</v>
      </c>
      <c r="S531" s="1">
        <v>112355</v>
      </c>
      <c r="T531" s="1">
        <v>-7.3</v>
      </c>
      <c r="U531" s="1">
        <v>0.95</v>
      </c>
      <c r="V531" s="1">
        <v>21376.400000000001</v>
      </c>
      <c r="W531" s="1">
        <v>111229.7</v>
      </c>
      <c r="X531" s="1">
        <v>600.95000000000005</v>
      </c>
      <c r="Y531" s="1">
        <v>2399</v>
      </c>
      <c r="Z531" s="1">
        <v>153307.29999999999</v>
      </c>
      <c r="AA531" s="1">
        <v>-6.52</v>
      </c>
      <c r="AB531" s="1">
        <v>8000</v>
      </c>
    </row>
    <row r="532" spans="1:28" x14ac:dyDescent="0.4">
      <c r="A532" s="1" t="s">
        <v>547</v>
      </c>
      <c r="B532" s="1">
        <v>8000</v>
      </c>
      <c r="C532" s="1">
        <v>0.4</v>
      </c>
      <c r="D532" s="1">
        <v>0.5</v>
      </c>
      <c r="E532" s="1">
        <v>500</v>
      </c>
      <c r="F532" s="1">
        <v>2</v>
      </c>
      <c r="G532" s="1">
        <v>1</v>
      </c>
      <c r="H532" s="1" t="s">
        <v>583</v>
      </c>
      <c r="I532" s="1">
        <v>229282.4</v>
      </c>
      <c r="J532" s="1">
        <v>85888.4</v>
      </c>
      <c r="K532" s="1">
        <v>143394</v>
      </c>
      <c r="L532" s="1">
        <v>2400</v>
      </c>
      <c r="M532" s="1">
        <v>600.01</v>
      </c>
      <c r="N532" s="1">
        <v>34735.9</v>
      </c>
      <c r="O532" s="1">
        <v>56633</v>
      </c>
      <c r="P532" s="1">
        <v>91368.9</v>
      </c>
      <c r="Q532" s="1">
        <v>78952.5</v>
      </c>
      <c r="R532" s="1">
        <v>18023.900000000001</v>
      </c>
      <c r="S532" s="1">
        <v>96976.4</v>
      </c>
      <c r="T532" s="1">
        <v>17.850000000000001</v>
      </c>
      <c r="U532" s="1">
        <v>1.42</v>
      </c>
      <c r="V532" s="1">
        <v>15004</v>
      </c>
      <c r="W532" s="1">
        <v>93956.5</v>
      </c>
      <c r="X532" s="1">
        <v>601.42999999999995</v>
      </c>
      <c r="Y532" s="1">
        <v>2400</v>
      </c>
      <c r="Z532" s="1">
        <v>185325.4</v>
      </c>
      <c r="AA532" s="1">
        <v>19.170000000000002</v>
      </c>
      <c r="AB532" s="1">
        <v>8000</v>
      </c>
    </row>
    <row r="533" spans="1:28" x14ac:dyDescent="0.4">
      <c r="A533" s="1" t="s">
        <v>548</v>
      </c>
      <c r="B533" s="1">
        <v>8000</v>
      </c>
      <c r="C533" s="1">
        <v>0.4</v>
      </c>
      <c r="D533" s="1">
        <v>0.5</v>
      </c>
      <c r="E533" s="1">
        <v>500</v>
      </c>
      <c r="F533" s="1">
        <v>2</v>
      </c>
      <c r="G533" s="1">
        <v>2</v>
      </c>
      <c r="H533" s="1" t="s">
        <v>583</v>
      </c>
      <c r="I533" s="1">
        <v>219348.1</v>
      </c>
      <c r="J533" s="1">
        <v>82554.600000000006</v>
      </c>
      <c r="K533" s="1">
        <v>136793.5</v>
      </c>
      <c r="L533" s="1">
        <v>2400</v>
      </c>
      <c r="M533" s="1">
        <v>600.04</v>
      </c>
      <c r="N533" s="1">
        <v>33964</v>
      </c>
      <c r="O533" s="1">
        <v>51962.3</v>
      </c>
      <c r="P533" s="1">
        <v>85926.3</v>
      </c>
      <c r="Q533" s="1">
        <v>79843.8</v>
      </c>
      <c r="R533" s="1">
        <v>17862.2</v>
      </c>
      <c r="S533" s="1">
        <v>97706</v>
      </c>
      <c r="T533" s="1">
        <v>16.28</v>
      </c>
      <c r="U533" s="1">
        <v>1.61</v>
      </c>
      <c r="V533" s="1">
        <v>14721.6</v>
      </c>
      <c r="W533" s="1">
        <v>94565.4</v>
      </c>
      <c r="X533" s="1">
        <v>601.65</v>
      </c>
      <c r="Y533" s="1">
        <v>2400</v>
      </c>
      <c r="Z533" s="1">
        <v>180491.7</v>
      </c>
      <c r="AA533" s="1">
        <v>17.71</v>
      </c>
      <c r="AB533" s="1">
        <v>8000</v>
      </c>
    </row>
    <row r="534" spans="1:28" x14ac:dyDescent="0.4">
      <c r="A534" s="1" t="s">
        <v>549</v>
      </c>
      <c r="B534" s="1">
        <v>8000</v>
      </c>
      <c r="C534" s="1">
        <v>0.4</v>
      </c>
      <c r="D534" s="1">
        <v>0.5</v>
      </c>
      <c r="E534" s="1">
        <v>500</v>
      </c>
      <c r="F534" s="1">
        <v>2</v>
      </c>
      <c r="G534" s="1">
        <v>3</v>
      </c>
      <c r="H534" s="1" t="s">
        <v>583</v>
      </c>
      <c r="I534" s="1">
        <v>220193.1</v>
      </c>
      <c r="J534" s="1">
        <v>86632.4</v>
      </c>
      <c r="K534" s="1">
        <v>133560.70000000001</v>
      </c>
      <c r="L534" s="1">
        <v>2400</v>
      </c>
      <c r="M534" s="1">
        <v>600</v>
      </c>
      <c r="N534" s="1">
        <v>33561.1</v>
      </c>
      <c r="O534" s="1">
        <v>51859.199999999997</v>
      </c>
      <c r="P534" s="1">
        <v>85420.3</v>
      </c>
      <c r="Q534" s="1">
        <v>81553</v>
      </c>
      <c r="R534" s="1">
        <v>17983.8</v>
      </c>
      <c r="S534" s="1">
        <v>99536.8</v>
      </c>
      <c r="T534" s="1">
        <v>16</v>
      </c>
      <c r="U534" s="1">
        <v>1.45</v>
      </c>
      <c r="V534" s="1">
        <v>15028.1</v>
      </c>
      <c r="W534" s="1">
        <v>96581.1</v>
      </c>
      <c r="X534" s="1">
        <v>601.45000000000005</v>
      </c>
      <c r="Y534" s="1">
        <v>2400</v>
      </c>
      <c r="Z534" s="1">
        <v>182001.4</v>
      </c>
      <c r="AA534" s="1">
        <v>17.34</v>
      </c>
      <c r="AB534" s="1">
        <v>8000</v>
      </c>
    </row>
    <row r="535" spans="1:28" x14ac:dyDescent="0.4">
      <c r="A535" s="1" t="s">
        <v>550</v>
      </c>
      <c r="B535" s="1">
        <v>8000</v>
      </c>
      <c r="C535" s="1">
        <v>0.4</v>
      </c>
      <c r="D535" s="1">
        <v>0.5</v>
      </c>
      <c r="E535" s="1">
        <v>500</v>
      </c>
      <c r="F535" s="1">
        <v>2</v>
      </c>
      <c r="G535" s="1">
        <v>4</v>
      </c>
      <c r="H535" s="1" t="s">
        <v>583</v>
      </c>
      <c r="I535" s="1">
        <v>204104.4</v>
      </c>
      <c r="J535" s="1">
        <v>78709.2</v>
      </c>
      <c r="K535" s="1">
        <v>125395.2</v>
      </c>
      <c r="L535" s="1">
        <v>2400</v>
      </c>
      <c r="M535" s="1">
        <v>600</v>
      </c>
      <c r="N535" s="1">
        <v>30063.9</v>
      </c>
      <c r="O535" s="1">
        <v>46566.9</v>
      </c>
      <c r="P535" s="1">
        <v>76630.8</v>
      </c>
      <c r="Q535" s="1">
        <v>78728.3</v>
      </c>
      <c r="R535" s="1">
        <v>18185</v>
      </c>
      <c r="S535" s="1">
        <v>96913.3</v>
      </c>
      <c r="T535" s="1">
        <v>14.97</v>
      </c>
      <c r="U535" s="1">
        <v>1.32</v>
      </c>
      <c r="V535" s="1">
        <v>15306.3</v>
      </c>
      <c r="W535" s="1">
        <v>94034.6</v>
      </c>
      <c r="X535" s="1">
        <v>601.32000000000005</v>
      </c>
      <c r="Y535" s="1">
        <v>2400</v>
      </c>
      <c r="Z535" s="1">
        <v>170665.4</v>
      </c>
      <c r="AA535" s="1">
        <v>16.38</v>
      </c>
      <c r="AB535" s="1">
        <v>8000</v>
      </c>
    </row>
    <row r="536" spans="1:28" x14ac:dyDescent="0.4">
      <c r="A536" s="1" t="s">
        <v>551</v>
      </c>
      <c r="B536" s="1">
        <v>8000</v>
      </c>
      <c r="C536" s="1">
        <v>0.4</v>
      </c>
      <c r="D536" s="1">
        <v>0.5</v>
      </c>
      <c r="E536" s="1">
        <v>500</v>
      </c>
      <c r="F536" s="1">
        <v>2</v>
      </c>
      <c r="G536" s="1">
        <v>5</v>
      </c>
      <c r="H536" s="1" t="s">
        <v>583</v>
      </c>
      <c r="I536" s="1">
        <v>232301.2</v>
      </c>
      <c r="J536" s="1">
        <v>86860</v>
      </c>
      <c r="K536" s="1">
        <v>145441.20000000001</v>
      </c>
      <c r="L536" s="1">
        <v>2400</v>
      </c>
      <c r="M536" s="1">
        <v>600.05999999999995</v>
      </c>
      <c r="N536" s="1">
        <v>35089.599999999999</v>
      </c>
      <c r="O536" s="1">
        <v>57089.7</v>
      </c>
      <c r="P536" s="1">
        <v>92179.3</v>
      </c>
      <c r="Q536" s="1">
        <v>78166.399999999994</v>
      </c>
      <c r="R536" s="1">
        <v>17728.7</v>
      </c>
      <c r="S536" s="1">
        <v>95895.1</v>
      </c>
      <c r="T536" s="1">
        <v>19.04</v>
      </c>
      <c r="U536" s="1">
        <v>1.31</v>
      </c>
      <c r="V536" s="1">
        <v>14775.5</v>
      </c>
      <c r="W536" s="1">
        <v>92941.9</v>
      </c>
      <c r="X536" s="1">
        <v>601.36</v>
      </c>
      <c r="Y536" s="1">
        <v>2400</v>
      </c>
      <c r="Z536" s="1">
        <v>185121.2</v>
      </c>
      <c r="AA536" s="1">
        <v>20.309999999999999</v>
      </c>
      <c r="AB536" s="1">
        <v>8000</v>
      </c>
    </row>
    <row r="537" spans="1:28" x14ac:dyDescent="0.4">
      <c r="A537" s="1" t="s">
        <v>552</v>
      </c>
      <c r="B537" s="1">
        <v>8000</v>
      </c>
      <c r="C537" s="1">
        <v>0.4</v>
      </c>
      <c r="D537" s="1">
        <v>0.5</v>
      </c>
      <c r="E537" s="1">
        <v>500</v>
      </c>
      <c r="F537" s="1">
        <v>3</v>
      </c>
      <c r="G537" s="1">
        <v>1</v>
      </c>
      <c r="H537" s="1" t="s">
        <v>583</v>
      </c>
      <c r="I537" s="1">
        <v>296222.40000000002</v>
      </c>
      <c r="J537" s="1">
        <v>117972.9</v>
      </c>
      <c r="K537" s="1">
        <v>178249.5</v>
      </c>
      <c r="L537" s="1">
        <v>2400</v>
      </c>
      <c r="M537" s="1">
        <v>600.01</v>
      </c>
      <c r="N537" s="1">
        <v>47804.2</v>
      </c>
      <c r="O537" s="1">
        <v>71532.399999999994</v>
      </c>
      <c r="P537" s="1">
        <v>119336.6</v>
      </c>
      <c r="Q537" s="1">
        <v>82161.2</v>
      </c>
      <c r="R537" s="1">
        <v>21086.7</v>
      </c>
      <c r="S537" s="1">
        <v>103247.9</v>
      </c>
      <c r="T537" s="1">
        <v>24.86</v>
      </c>
      <c r="U537" s="1">
        <v>1.7</v>
      </c>
      <c r="V537" s="1">
        <v>17387.400000000001</v>
      </c>
      <c r="W537" s="1">
        <v>99548.6</v>
      </c>
      <c r="X537" s="1">
        <v>601.72</v>
      </c>
      <c r="Y537" s="1">
        <v>2400</v>
      </c>
      <c r="Z537" s="1">
        <v>218885.2</v>
      </c>
      <c r="AA537" s="1">
        <v>26.11</v>
      </c>
      <c r="AB537" s="1">
        <v>8000</v>
      </c>
    </row>
    <row r="538" spans="1:28" x14ac:dyDescent="0.4">
      <c r="A538" s="1" t="s">
        <v>553</v>
      </c>
      <c r="B538" s="1">
        <v>8000</v>
      </c>
      <c r="C538" s="1">
        <v>0.4</v>
      </c>
      <c r="D538" s="1">
        <v>0.5</v>
      </c>
      <c r="E538" s="1">
        <v>500</v>
      </c>
      <c r="F538" s="1">
        <v>3</v>
      </c>
      <c r="G538" s="1">
        <v>2</v>
      </c>
      <c r="H538" s="1" t="s">
        <v>583</v>
      </c>
      <c r="I538" s="1">
        <v>292071.5</v>
      </c>
      <c r="J538" s="1">
        <v>117693.5</v>
      </c>
      <c r="K538" s="1">
        <v>174378</v>
      </c>
      <c r="L538" s="1">
        <v>2400</v>
      </c>
      <c r="M538" s="1">
        <v>600.01</v>
      </c>
      <c r="N538" s="1">
        <v>48785.3</v>
      </c>
      <c r="O538" s="1">
        <v>69826.7</v>
      </c>
      <c r="P538" s="1">
        <v>118612</v>
      </c>
      <c r="Q538" s="1">
        <v>78682.2</v>
      </c>
      <c r="R538" s="1">
        <v>20279.5</v>
      </c>
      <c r="S538" s="1">
        <v>98961.7</v>
      </c>
      <c r="T538" s="1">
        <v>25.51</v>
      </c>
      <c r="U538" s="1">
        <v>1.91</v>
      </c>
      <c r="V538" s="1">
        <v>16533.5</v>
      </c>
      <c r="W538" s="1">
        <v>95215.7</v>
      </c>
      <c r="X538" s="1">
        <v>601.91999999999996</v>
      </c>
      <c r="Y538" s="1">
        <v>2400</v>
      </c>
      <c r="Z538" s="1">
        <v>213827.7</v>
      </c>
      <c r="AA538" s="1">
        <v>26.79</v>
      </c>
      <c r="AB538" s="1">
        <v>8000</v>
      </c>
    </row>
    <row r="539" spans="1:28" x14ac:dyDescent="0.4">
      <c r="A539" s="1" t="s">
        <v>554</v>
      </c>
      <c r="B539" s="1">
        <v>8000</v>
      </c>
      <c r="C539" s="1">
        <v>0.4</v>
      </c>
      <c r="D539" s="1">
        <v>0.5</v>
      </c>
      <c r="E539" s="1">
        <v>500</v>
      </c>
      <c r="F539" s="1">
        <v>3</v>
      </c>
      <c r="G539" s="1">
        <v>3</v>
      </c>
      <c r="H539" s="1" t="s">
        <v>583</v>
      </c>
      <c r="I539" s="1">
        <v>284594.5</v>
      </c>
      <c r="J539" s="1">
        <v>104800.7</v>
      </c>
      <c r="K539" s="1">
        <v>179793.8</v>
      </c>
      <c r="L539" s="1">
        <v>2400</v>
      </c>
      <c r="M539" s="1">
        <v>600.01</v>
      </c>
      <c r="N539" s="1">
        <v>43230</v>
      </c>
      <c r="O539" s="1">
        <v>72197.8</v>
      </c>
      <c r="P539" s="1">
        <v>115427.8</v>
      </c>
      <c r="Q539" s="1">
        <v>79487.7</v>
      </c>
      <c r="R539" s="1">
        <v>19974.099999999999</v>
      </c>
      <c r="S539" s="1">
        <v>99461.8</v>
      </c>
      <c r="T539" s="1">
        <v>24.49</v>
      </c>
      <c r="U539" s="1">
        <v>1.67</v>
      </c>
      <c r="V539" s="1">
        <v>16140.4</v>
      </c>
      <c r="W539" s="1">
        <v>95628.1</v>
      </c>
      <c r="X539" s="1">
        <v>601.67999999999995</v>
      </c>
      <c r="Y539" s="1">
        <v>2400</v>
      </c>
      <c r="Z539" s="1">
        <v>211055.9</v>
      </c>
      <c r="AA539" s="1">
        <v>25.84</v>
      </c>
      <c r="AB539" s="1">
        <v>8000</v>
      </c>
    </row>
    <row r="540" spans="1:28" x14ac:dyDescent="0.4">
      <c r="A540" s="1" t="s">
        <v>555</v>
      </c>
      <c r="B540" s="1">
        <v>8000</v>
      </c>
      <c r="C540" s="1">
        <v>0.4</v>
      </c>
      <c r="D540" s="1">
        <v>0.5</v>
      </c>
      <c r="E540" s="1">
        <v>500</v>
      </c>
      <c r="F540" s="1">
        <v>3</v>
      </c>
      <c r="G540" s="1">
        <v>4</v>
      </c>
      <c r="H540" s="1" t="s">
        <v>583</v>
      </c>
      <c r="I540" s="1">
        <v>291141.09999999998</v>
      </c>
      <c r="J540" s="1">
        <v>116731.8</v>
      </c>
      <c r="K540" s="1">
        <v>174409.3</v>
      </c>
      <c r="L540" s="1">
        <v>2400</v>
      </c>
      <c r="M540" s="1">
        <v>600.04999999999995</v>
      </c>
      <c r="N540" s="1">
        <v>48218.2</v>
      </c>
      <c r="O540" s="1">
        <v>70442.3</v>
      </c>
      <c r="P540" s="1">
        <v>118660.5</v>
      </c>
      <c r="Q540" s="1">
        <v>81586.2</v>
      </c>
      <c r="R540" s="1">
        <v>20551.2</v>
      </c>
      <c r="S540" s="1">
        <v>102137.4</v>
      </c>
      <c r="T540" s="1">
        <v>24.16</v>
      </c>
      <c r="U540" s="1">
        <v>1.96</v>
      </c>
      <c r="V540" s="1">
        <v>16674.7</v>
      </c>
      <c r="W540" s="1">
        <v>98260.9</v>
      </c>
      <c r="X540" s="1">
        <v>602.01</v>
      </c>
      <c r="Y540" s="1">
        <v>2400</v>
      </c>
      <c r="Z540" s="1">
        <v>216921.4</v>
      </c>
      <c r="AA540" s="1">
        <v>25.49</v>
      </c>
      <c r="AB540" s="1">
        <v>8000</v>
      </c>
    </row>
    <row r="541" spans="1:28" x14ac:dyDescent="0.4">
      <c r="A541" s="1" t="s">
        <v>556</v>
      </c>
      <c r="B541" s="1">
        <v>8000</v>
      </c>
      <c r="C541" s="1">
        <v>0.4</v>
      </c>
      <c r="D541" s="1">
        <v>0.5</v>
      </c>
      <c r="E541" s="1">
        <v>500</v>
      </c>
      <c r="F541" s="1">
        <v>3</v>
      </c>
      <c r="G541" s="1">
        <v>5</v>
      </c>
      <c r="H541" s="1" t="s">
        <v>583</v>
      </c>
      <c r="I541" s="1">
        <v>298157.2</v>
      </c>
      <c r="J541" s="1">
        <v>109464.7</v>
      </c>
      <c r="K541" s="1">
        <v>188692.5</v>
      </c>
      <c r="L541" s="1">
        <v>2400</v>
      </c>
      <c r="M541" s="1">
        <v>600</v>
      </c>
      <c r="N541" s="1">
        <v>45102.7</v>
      </c>
      <c r="O541" s="1">
        <v>75935</v>
      </c>
      <c r="P541" s="1">
        <v>121037.7</v>
      </c>
      <c r="Q541" s="1">
        <v>81679.5</v>
      </c>
      <c r="R541" s="1">
        <v>20359.400000000001</v>
      </c>
      <c r="S541" s="1">
        <v>102038.9</v>
      </c>
      <c r="T541" s="1">
        <v>25.18</v>
      </c>
      <c r="U541" s="1">
        <v>1.58</v>
      </c>
      <c r="V541" s="1">
        <v>16708.3</v>
      </c>
      <c r="W541" s="1">
        <v>98387.8</v>
      </c>
      <c r="X541" s="1">
        <v>601.58000000000004</v>
      </c>
      <c r="Y541" s="1">
        <v>2400</v>
      </c>
      <c r="Z541" s="1">
        <v>219425.5</v>
      </c>
      <c r="AA541" s="1">
        <v>26.41</v>
      </c>
      <c r="AB541" s="1">
        <v>8000</v>
      </c>
    </row>
    <row r="542" spans="1:28" x14ac:dyDescent="0.4">
      <c r="A542" s="1" t="s">
        <v>13</v>
      </c>
      <c r="B542" s="1">
        <v>2000</v>
      </c>
      <c r="C542" s="1">
        <v>0.2</v>
      </c>
      <c r="D542" s="1">
        <v>0.5</v>
      </c>
      <c r="E542" s="1">
        <v>1000</v>
      </c>
      <c r="F542" s="1">
        <v>1</v>
      </c>
      <c r="G542" s="1">
        <v>1</v>
      </c>
      <c r="H542" s="1" t="s">
        <v>595</v>
      </c>
      <c r="I542" s="1">
        <v>143148.20000000001</v>
      </c>
      <c r="J542" s="1">
        <v>59273.2</v>
      </c>
      <c r="K542" s="1">
        <v>83875</v>
      </c>
      <c r="L542" s="1">
        <v>600</v>
      </c>
      <c r="M542" s="1">
        <v>0.2</v>
      </c>
      <c r="N542" s="1">
        <v>43579.4</v>
      </c>
      <c r="O542" s="1">
        <v>64725.7</v>
      </c>
      <c r="P542" s="1">
        <v>108305.1</v>
      </c>
      <c r="Q542" s="1">
        <v>12996.4</v>
      </c>
      <c r="R542" s="1">
        <v>3489.1</v>
      </c>
      <c r="S542" s="1">
        <v>16485.5</v>
      </c>
      <c r="T542" s="1">
        <v>12.82</v>
      </c>
      <c r="U542" s="1">
        <v>0.02</v>
      </c>
      <c r="V542" s="1">
        <v>3327.2</v>
      </c>
      <c r="W542" s="1">
        <v>16323.6</v>
      </c>
      <c r="X542" s="1">
        <v>0.23</v>
      </c>
      <c r="Y542" s="1">
        <v>598</v>
      </c>
      <c r="Z542" s="1">
        <v>124628.7</v>
      </c>
      <c r="AA542" s="1">
        <v>12.94</v>
      </c>
      <c r="AB542" s="1">
        <v>2000</v>
      </c>
    </row>
    <row r="543" spans="1:28" x14ac:dyDescent="0.4">
      <c r="A543" s="1" t="s">
        <v>16</v>
      </c>
      <c r="B543" s="1">
        <v>2000</v>
      </c>
      <c r="C543" s="1">
        <v>0.2</v>
      </c>
      <c r="D543" s="1">
        <v>0.5</v>
      </c>
      <c r="E543" s="1">
        <v>1000</v>
      </c>
      <c r="F543" s="1">
        <v>1</v>
      </c>
      <c r="G543" s="1">
        <v>2</v>
      </c>
      <c r="H543" s="1" t="s">
        <v>595</v>
      </c>
      <c r="I543" s="1">
        <v>146066.9</v>
      </c>
      <c r="J543" s="1">
        <v>58967.199999999997</v>
      </c>
      <c r="K543" s="1">
        <v>87099.7</v>
      </c>
      <c r="L543" s="1">
        <v>600</v>
      </c>
      <c r="M543" s="1">
        <v>0.21</v>
      </c>
      <c r="N543" s="1">
        <v>44809.4</v>
      </c>
      <c r="O543" s="1">
        <v>68776.399999999994</v>
      </c>
      <c r="P543" s="1">
        <v>113585.8</v>
      </c>
      <c r="Q543" s="1">
        <v>12405.8</v>
      </c>
      <c r="R543" s="1">
        <v>3535.5</v>
      </c>
      <c r="S543" s="1">
        <v>15941.3</v>
      </c>
      <c r="T543" s="1">
        <v>11.32</v>
      </c>
      <c r="U543" s="1">
        <v>0.02</v>
      </c>
      <c r="V543" s="1">
        <v>3332.5</v>
      </c>
      <c r="W543" s="1">
        <v>15738.3</v>
      </c>
      <c r="X543" s="1">
        <v>0.24</v>
      </c>
      <c r="Y543" s="1">
        <v>541</v>
      </c>
      <c r="Z543" s="1">
        <v>129324.1</v>
      </c>
      <c r="AA543" s="1">
        <v>11.46</v>
      </c>
      <c r="AB543" s="1">
        <v>2000</v>
      </c>
    </row>
    <row r="544" spans="1:28" x14ac:dyDescent="0.4">
      <c r="A544" s="1" t="s">
        <v>17</v>
      </c>
      <c r="B544" s="1">
        <v>2000</v>
      </c>
      <c r="C544" s="1">
        <v>0.2</v>
      </c>
      <c r="D544" s="1">
        <v>0.5</v>
      </c>
      <c r="E544" s="1">
        <v>1000</v>
      </c>
      <c r="F544" s="1">
        <v>1</v>
      </c>
      <c r="G544" s="1">
        <v>3</v>
      </c>
      <c r="H544" s="1" t="s">
        <v>595</v>
      </c>
      <c r="I544" s="1">
        <v>149207.6</v>
      </c>
      <c r="J544" s="1">
        <v>59172.800000000003</v>
      </c>
      <c r="K544" s="1">
        <v>90034.8</v>
      </c>
      <c r="L544" s="1">
        <v>600</v>
      </c>
      <c r="M544" s="1">
        <v>0.23</v>
      </c>
      <c r="N544" s="1">
        <v>44860.3</v>
      </c>
      <c r="O544" s="1">
        <v>70156.800000000003</v>
      </c>
      <c r="P544" s="1">
        <v>115017.1</v>
      </c>
      <c r="Q544" s="1">
        <v>11595.6</v>
      </c>
      <c r="R544" s="1">
        <v>3121.7</v>
      </c>
      <c r="S544" s="1">
        <v>14717.3</v>
      </c>
      <c r="T544" s="1">
        <v>13.05</v>
      </c>
      <c r="U544" s="1">
        <v>0.02</v>
      </c>
      <c r="V544" s="1">
        <v>2934.5</v>
      </c>
      <c r="W544" s="1">
        <v>14530.1</v>
      </c>
      <c r="X544" s="1">
        <v>0.25</v>
      </c>
      <c r="Y544" s="1">
        <v>511</v>
      </c>
      <c r="Z544" s="1">
        <v>129547.2</v>
      </c>
      <c r="AA544" s="1">
        <v>13.18</v>
      </c>
      <c r="AB544" s="1">
        <v>2000</v>
      </c>
    </row>
    <row r="545" spans="1:28" x14ac:dyDescent="0.4">
      <c r="A545" s="1" t="s">
        <v>18</v>
      </c>
      <c r="B545" s="1">
        <v>2000</v>
      </c>
      <c r="C545" s="1">
        <v>0.2</v>
      </c>
      <c r="D545" s="1">
        <v>0.5</v>
      </c>
      <c r="E545" s="1">
        <v>1000</v>
      </c>
      <c r="F545" s="1">
        <v>1</v>
      </c>
      <c r="G545" s="1">
        <v>4</v>
      </c>
      <c r="H545" s="1" t="s">
        <v>595</v>
      </c>
      <c r="I545" s="1">
        <v>153789.20000000001</v>
      </c>
      <c r="J545" s="1">
        <v>63196.800000000003</v>
      </c>
      <c r="K545" s="1">
        <v>90592.4</v>
      </c>
      <c r="L545" s="1">
        <v>600</v>
      </c>
      <c r="M545" s="1">
        <v>0.25</v>
      </c>
      <c r="N545" s="1">
        <v>45696.6</v>
      </c>
      <c r="O545" s="1">
        <v>68588.3</v>
      </c>
      <c r="P545" s="1">
        <v>114284.9</v>
      </c>
      <c r="Q545" s="1">
        <v>13733.6</v>
      </c>
      <c r="R545" s="1">
        <v>3647.4</v>
      </c>
      <c r="S545" s="1">
        <v>17381</v>
      </c>
      <c r="T545" s="1">
        <v>14.39</v>
      </c>
      <c r="U545" s="1">
        <v>0.02</v>
      </c>
      <c r="V545" s="1">
        <v>3400.5</v>
      </c>
      <c r="W545" s="1">
        <v>17134.099999999999</v>
      </c>
      <c r="X545" s="1">
        <v>0.27</v>
      </c>
      <c r="Y545" s="1">
        <v>600</v>
      </c>
      <c r="Z545" s="1">
        <v>131419</v>
      </c>
      <c r="AA545" s="1">
        <v>14.55</v>
      </c>
      <c r="AB545" s="1">
        <v>2000</v>
      </c>
    </row>
    <row r="546" spans="1:28" x14ac:dyDescent="0.4">
      <c r="A546" s="1" t="s">
        <v>19</v>
      </c>
      <c r="B546" s="1">
        <v>2000</v>
      </c>
      <c r="C546" s="1">
        <v>0.2</v>
      </c>
      <c r="D546" s="1">
        <v>0.5</v>
      </c>
      <c r="E546" s="1">
        <v>1000</v>
      </c>
      <c r="F546" s="1">
        <v>1</v>
      </c>
      <c r="G546" s="1">
        <v>5</v>
      </c>
      <c r="H546" s="1" t="s">
        <v>595</v>
      </c>
      <c r="I546" s="1">
        <v>148706.20000000001</v>
      </c>
      <c r="J546" s="1">
        <v>59702</v>
      </c>
      <c r="K546" s="1">
        <v>89004.2</v>
      </c>
      <c r="L546" s="1">
        <v>600</v>
      </c>
      <c r="M546" s="1">
        <v>0.25</v>
      </c>
      <c r="N546" s="1">
        <v>44729.9</v>
      </c>
      <c r="O546" s="1">
        <v>68563.399999999994</v>
      </c>
      <c r="P546" s="1">
        <v>113293.3</v>
      </c>
      <c r="Q546" s="1">
        <v>13570.9</v>
      </c>
      <c r="R546" s="1">
        <v>3571.2</v>
      </c>
      <c r="S546" s="1">
        <v>17142.099999999999</v>
      </c>
      <c r="T546" s="1">
        <v>12.29</v>
      </c>
      <c r="U546" s="1">
        <v>0.02</v>
      </c>
      <c r="V546" s="1">
        <v>3342.9</v>
      </c>
      <c r="W546" s="1">
        <v>16913.8</v>
      </c>
      <c r="X546" s="1">
        <v>0.27</v>
      </c>
      <c r="Y546" s="1">
        <v>600</v>
      </c>
      <c r="Z546" s="1">
        <v>130207.1</v>
      </c>
      <c r="AA546" s="1">
        <v>12.44</v>
      </c>
      <c r="AB546" s="1">
        <v>2000</v>
      </c>
    </row>
    <row r="547" spans="1:28" x14ac:dyDescent="0.4">
      <c r="A547" s="1" t="s">
        <v>20</v>
      </c>
      <c r="B547" s="1">
        <v>2000</v>
      </c>
      <c r="C547" s="1">
        <v>0.2</v>
      </c>
      <c r="D547" s="1">
        <v>0.5</v>
      </c>
      <c r="E547" s="1">
        <v>1000</v>
      </c>
      <c r="F547" s="1">
        <v>2</v>
      </c>
      <c r="G547" s="1">
        <v>1</v>
      </c>
      <c r="H547" s="1" t="s">
        <v>595</v>
      </c>
      <c r="I547" s="1">
        <v>224341</v>
      </c>
      <c r="J547" s="1">
        <v>90336.7</v>
      </c>
      <c r="K547" s="1">
        <v>134004.29999999999</v>
      </c>
      <c r="L547" s="1">
        <v>600</v>
      </c>
      <c r="M547" s="1">
        <v>0.41</v>
      </c>
      <c r="N547" s="1">
        <v>71652.7</v>
      </c>
      <c r="O547" s="1">
        <v>110202.9</v>
      </c>
      <c r="P547" s="1">
        <v>181855.6</v>
      </c>
      <c r="Q547" s="1">
        <v>12853.6</v>
      </c>
      <c r="R547" s="1">
        <v>3788.1</v>
      </c>
      <c r="S547" s="1">
        <v>16641.7</v>
      </c>
      <c r="T547" s="1">
        <v>11.52</v>
      </c>
      <c r="U547" s="1">
        <v>0.03</v>
      </c>
      <c r="V547" s="1">
        <v>3489.6</v>
      </c>
      <c r="W547" s="1">
        <v>16343.2</v>
      </c>
      <c r="X547" s="1">
        <v>0.44</v>
      </c>
      <c r="Y547" s="1">
        <v>569</v>
      </c>
      <c r="Z547" s="1">
        <v>198198.8</v>
      </c>
      <c r="AA547" s="1">
        <v>11.65</v>
      </c>
      <c r="AB547" s="1">
        <v>2000</v>
      </c>
    </row>
    <row r="548" spans="1:28" x14ac:dyDescent="0.4">
      <c r="A548" s="1" t="s">
        <v>21</v>
      </c>
      <c r="B548" s="1">
        <v>2000</v>
      </c>
      <c r="C548" s="1">
        <v>0.2</v>
      </c>
      <c r="D548" s="1">
        <v>0.5</v>
      </c>
      <c r="E548" s="1">
        <v>1000</v>
      </c>
      <c r="F548" s="1">
        <v>2</v>
      </c>
      <c r="G548" s="1">
        <v>2</v>
      </c>
      <c r="H548" s="1" t="s">
        <v>595</v>
      </c>
      <c r="I548" s="1">
        <v>220474.4</v>
      </c>
      <c r="J548" s="1">
        <v>85625.4</v>
      </c>
      <c r="K548" s="1">
        <v>134849</v>
      </c>
      <c r="L548" s="1">
        <v>600</v>
      </c>
      <c r="M548" s="1">
        <v>0.36</v>
      </c>
      <c r="N548" s="1">
        <v>67362.3</v>
      </c>
      <c r="O548" s="1">
        <v>108730.9</v>
      </c>
      <c r="P548" s="1">
        <v>176093.2</v>
      </c>
      <c r="Q548" s="1">
        <v>12899.1</v>
      </c>
      <c r="R548" s="1">
        <v>3889.5</v>
      </c>
      <c r="S548" s="1">
        <v>16788.599999999999</v>
      </c>
      <c r="T548" s="1">
        <v>12.52</v>
      </c>
      <c r="U548" s="1">
        <v>0.04</v>
      </c>
      <c r="V548" s="1">
        <v>3509.4</v>
      </c>
      <c r="W548" s="1">
        <v>16408.5</v>
      </c>
      <c r="X548" s="1">
        <v>0.4</v>
      </c>
      <c r="Y548" s="1">
        <v>591</v>
      </c>
      <c r="Z548" s="1">
        <v>192501.7</v>
      </c>
      <c r="AA548" s="1">
        <v>12.69</v>
      </c>
      <c r="AB548" s="1">
        <v>2000</v>
      </c>
    </row>
    <row r="549" spans="1:28" x14ac:dyDescent="0.4">
      <c r="A549" s="1" t="s">
        <v>22</v>
      </c>
      <c r="B549" s="1">
        <v>2000</v>
      </c>
      <c r="C549" s="1">
        <v>0.2</v>
      </c>
      <c r="D549" s="1">
        <v>0.5</v>
      </c>
      <c r="E549" s="1">
        <v>1000</v>
      </c>
      <c r="F549" s="1">
        <v>2</v>
      </c>
      <c r="G549" s="1">
        <v>3</v>
      </c>
      <c r="H549" s="1" t="s">
        <v>595</v>
      </c>
      <c r="I549" s="1">
        <v>220428.7</v>
      </c>
      <c r="J549" s="1">
        <v>86108.800000000003</v>
      </c>
      <c r="K549" s="1">
        <v>134319.9</v>
      </c>
      <c r="L549" s="1">
        <v>600</v>
      </c>
      <c r="M549" s="1">
        <v>0.35</v>
      </c>
      <c r="N549" s="1">
        <v>69182.3</v>
      </c>
      <c r="O549" s="1">
        <v>112320.4</v>
      </c>
      <c r="P549" s="1">
        <v>181502.7</v>
      </c>
      <c r="Q549" s="1">
        <v>12273.4</v>
      </c>
      <c r="R549" s="1">
        <v>3383.1</v>
      </c>
      <c r="S549" s="1">
        <v>15656.5</v>
      </c>
      <c r="T549" s="1">
        <v>10.56</v>
      </c>
      <c r="U549" s="1">
        <v>0.03</v>
      </c>
      <c r="V549" s="1">
        <v>3183.2</v>
      </c>
      <c r="W549" s="1">
        <v>15456.6</v>
      </c>
      <c r="X549" s="1">
        <v>0.38</v>
      </c>
      <c r="Y549" s="1">
        <v>569</v>
      </c>
      <c r="Z549" s="1">
        <v>196959.3</v>
      </c>
      <c r="AA549" s="1">
        <v>10.65</v>
      </c>
      <c r="AB549" s="1">
        <v>2000</v>
      </c>
    </row>
    <row r="550" spans="1:28" x14ac:dyDescent="0.4">
      <c r="A550" s="1" t="s">
        <v>23</v>
      </c>
      <c r="B550" s="1">
        <v>2000</v>
      </c>
      <c r="C550" s="1">
        <v>0.2</v>
      </c>
      <c r="D550" s="1">
        <v>0.5</v>
      </c>
      <c r="E550" s="1">
        <v>1000</v>
      </c>
      <c r="F550" s="1">
        <v>2</v>
      </c>
      <c r="G550" s="1">
        <v>4</v>
      </c>
      <c r="H550" s="1" t="s">
        <v>595</v>
      </c>
      <c r="I550" s="1">
        <v>210055.4</v>
      </c>
      <c r="J550" s="1">
        <v>82377.100000000006</v>
      </c>
      <c r="K550" s="1">
        <v>127678.3</v>
      </c>
      <c r="L550" s="1">
        <v>600</v>
      </c>
      <c r="M550" s="1">
        <v>0.34</v>
      </c>
      <c r="N550" s="1">
        <v>66751.899999999994</v>
      </c>
      <c r="O550" s="1">
        <v>107056.2</v>
      </c>
      <c r="P550" s="1">
        <v>173808.1</v>
      </c>
      <c r="Q550" s="1">
        <v>10133.299999999999</v>
      </c>
      <c r="R550" s="1">
        <v>3399.9</v>
      </c>
      <c r="S550" s="1">
        <v>13533.2</v>
      </c>
      <c r="T550" s="1">
        <v>10.81</v>
      </c>
      <c r="U550" s="1">
        <v>0.04</v>
      </c>
      <c r="V550" s="1">
        <v>3203.8</v>
      </c>
      <c r="W550" s="1">
        <v>13337.1</v>
      </c>
      <c r="X550" s="1">
        <v>0.38</v>
      </c>
      <c r="Y550" s="1">
        <v>481</v>
      </c>
      <c r="Z550" s="1">
        <v>187145.2</v>
      </c>
      <c r="AA550" s="1">
        <v>10.91</v>
      </c>
      <c r="AB550" s="1">
        <v>2000</v>
      </c>
    </row>
    <row r="551" spans="1:28" x14ac:dyDescent="0.4">
      <c r="A551" s="1" t="s">
        <v>24</v>
      </c>
      <c r="B551" s="1">
        <v>2000</v>
      </c>
      <c r="C551" s="1">
        <v>0.2</v>
      </c>
      <c r="D551" s="1">
        <v>0.5</v>
      </c>
      <c r="E551" s="1">
        <v>1000</v>
      </c>
      <c r="F551" s="1">
        <v>2</v>
      </c>
      <c r="G551" s="1">
        <v>5</v>
      </c>
      <c r="H551" s="1" t="s">
        <v>595</v>
      </c>
      <c r="I551" s="1">
        <v>223013.3</v>
      </c>
      <c r="J551" s="1">
        <v>88414.3</v>
      </c>
      <c r="K551" s="1">
        <v>134599</v>
      </c>
      <c r="L551" s="1">
        <v>600</v>
      </c>
      <c r="M551" s="1">
        <v>0.32</v>
      </c>
      <c r="N551" s="1">
        <v>70595.100000000006</v>
      </c>
      <c r="O551" s="1">
        <v>110543.5</v>
      </c>
      <c r="P551" s="1">
        <v>181138.6</v>
      </c>
      <c r="Q551" s="1">
        <v>12700</v>
      </c>
      <c r="R551" s="1">
        <v>4007.3</v>
      </c>
      <c r="S551" s="1">
        <v>16707.3</v>
      </c>
      <c r="T551" s="1">
        <v>11.29</v>
      </c>
      <c r="U551" s="1">
        <v>0.05</v>
      </c>
      <c r="V551" s="1">
        <v>3736.2</v>
      </c>
      <c r="W551" s="1">
        <v>16436.2</v>
      </c>
      <c r="X551" s="1">
        <v>0.37</v>
      </c>
      <c r="Y551" s="1">
        <v>571</v>
      </c>
      <c r="Z551" s="1">
        <v>197574.8</v>
      </c>
      <c r="AA551" s="1">
        <v>11.41</v>
      </c>
      <c r="AB551" s="1">
        <v>2000</v>
      </c>
    </row>
    <row r="552" spans="1:28" x14ac:dyDescent="0.4">
      <c r="A552" s="1" t="s">
        <v>25</v>
      </c>
      <c r="B552" s="1">
        <v>2000</v>
      </c>
      <c r="C552" s="1">
        <v>0.2</v>
      </c>
      <c r="D552" s="1">
        <v>0.5</v>
      </c>
      <c r="E552" s="1">
        <v>1000</v>
      </c>
      <c r="F552" s="1">
        <v>3</v>
      </c>
      <c r="G552" s="1">
        <v>1</v>
      </c>
      <c r="H552" s="1" t="s">
        <v>595</v>
      </c>
      <c r="I552" s="1">
        <v>283040.5</v>
      </c>
      <c r="J552" s="1">
        <v>115997.2</v>
      </c>
      <c r="K552" s="1">
        <v>167043.29999999999</v>
      </c>
      <c r="L552" s="1">
        <v>600</v>
      </c>
      <c r="M552" s="1">
        <v>0.53</v>
      </c>
      <c r="N552" s="1">
        <v>95296.8</v>
      </c>
      <c r="O552" s="1">
        <v>142651.9</v>
      </c>
      <c r="P552" s="1">
        <v>237948.7</v>
      </c>
      <c r="Q552" s="1">
        <v>12649.5</v>
      </c>
      <c r="R552" s="1">
        <v>3829</v>
      </c>
      <c r="S552" s="1">
        <v>16478.5</v>
      </c>
      <c r="T552" s="1">
        <v>10.11</v>
      </c>
      <c r="U552" s="1">
        <v>0.05</v>
      </c>
      <c r="V552" s="1">
        <v>3623.4</v>
      </c>
      <c r="W552" s="1">
        <v>16272.9</v>
      </c>
      <c r="X552" s="1">
        <v>0.57999999999999996</v>
      </c>
      <c r="Y552" s="1">
        <v>570</v>
      </c>
      <c r="Z552" s="1">
        <v>254221.6</v>
      </c>
      <c r="AA552" s="1">
        <v>10.18</v>
      </c>
      <c r="AB552" s="1">
        <v>2000</v>
      </c>
    </row>
    <row r="553" spans="1:28" x14ac:dyDescent="0.4">
      <c r="A553" s="1" t="s">
        <v>26</v>
      </c>
      <c r="B553" s="1">
        <v>2000</v>
      </c>
      <c r="C553" s="1">
        <v>0.2</v>
      </c>
      <c r="D553" s="1">
        <v>0.5</v>
      </c>
      <c r="E553" s="1">
        <v>1000</v>
      </c>
      <c r="F553" s="1">
        <v>3</v>
      </c>
      <c r="G553" s="1">
        <v>2</v>
      </c>
      <c r="H553" s="1" t="s">
        <v>595</v>
      </c>
      <c r="I553" s="1">
        <v>287067.8</v>
      </c>
      <c r="J553" s="1">
        <v>115740.2</v>
      </c>
      <c r="K553" s="1">
        <v>171327.6</v>
      </c>
      <c r="L553" s="1">
        <v>600</v>
      </c>
      <c r="M553" s="1">
        <v>0.47</v>
      </c>
      <c r="N553" s="1">
        <v>95134.5</v>
      </c>
      <c r="O553" s="1">
        <v>143969.29999999999</v>
      </c>
      <c r="P553" s="1">
        <v>239103.8</v>
      </c>
      <c r="Q553" s="1">
        <v>11976</v>
      </c>
      <c r="R553" s="1">
        <v>3900.5</v>
      </c>
      <c r="S553" s="1">
        <v>15876.5</v>
      </c>
      <c r="T553" s="1">
        <v>11.18</v>
      </c>
      <c r="U553" s="1">
        <v>0.06</v>
      </c>
      <c r="V553" s="1">
        <v>3725.2</v>
      </c>
      <c r="W553" s="1">
        <v>15701.2</v>
      </c>
      <c r="X553" s="1">
        <v>0.53</v>
      </c>
      <c r="Y553" s="1">
        <v>555</v>
      </c>
      <c r="Z553" s="1">
        <v>254805</v>
      </c>
      <c r="AA553" s="1">
        <v>11.24</v>
      </c>
      <c r="AB553" s="1">
        <v>2000</v>
      </c>
    </row>
    <row r="554" spans="1:28" x14ac:dyDescent="0.4">
      <c r="A554" s="1" t="s">
        <v>27</v>
      </c>
      <c r="B554" s="1">
        <v>2000</v>
      </c>
      <c r="C554" s="1">
        <v>0.2</v>
      </c>
      <c r="D554" s="1">
        <v>0.5</v>
      </c>
      <c r="E554" s="1">
        <v>1000</v>
      </c>
      <c r="F554" s="1">
        <v>3</v>
      </c>
      <c r="G554" s="1">
        <v>3</v>
      </c>
      <c r="H554" s="1" t="s">
        <v>595</v>
      </c>
      <c r="I554" s="1">
        <v>275704.5</v>
      </c>
      <c r="J554" s="1">
        <v>112434.7</v>
      </c>
      <c r="K554" s="1">
        <v>163269.79999999999</v>
      </c>
      <c r="L554" s="1">
        <v>600</v>
      </c>
      <c r="M554" s="1">
        <v>0.52</v>
      </c>
      <c r="N554" s="1">
        <v>91734.9</v>
      </c>
      <c r="O554" s="1">
        <v>138953.79999999999</v>
      </c>
      <c r="P554" s="1">
        <v>230688.7</v>
      </c>
      <c r="Q554" s="1">
        <v>12267.9</v>
      </c>
      <c r="R554" s="1">
        <v>3555.6</v>
      </c>
      <c r="S554" s="1">
        <v>15823.5</v>
      </c>
      <c r="T554" s="1">
        <v>10.59</v>
      </c>
      <c r="U554" s="1">
        <v>0.05</v>
      </c>
      <c r="V554" s="1">
        <v>3302.4</v>
      </c>
      <c r="W554" s="1">
        <v>15570.3</v>
      </c>
      <c r="X554" s="1">
        <v>0.56000000000000005</v>
      </c>
      <c r="Y554" s="1">
        <v>563</v>
      </c>
      <c r="Z554" s="1">
        <v>246259</v>
      </c>
      <c r="AA554" s="1">
        <v>10.68</v>
      </c>
      <c r="AB554" s="1">
        <v>2000</v>
      </c>
    </row>
    <row r="555" spans="1:28" x14ac:dyDescent="0.4">
      <c r="A555" s="1" t="s">
        <v>28</v>
      </c>
      <c r="B555" s="1">
        <v>2000</v>
      </c>
      <c r="C555" s="1">
        <v>0.2</v>
      </c>
      <c r="D555" s="1">
        <v>0.5</v>
      </c>
      <c r="E555" s="1">
        <v>1000</v>
      </c>
      <c r="F555" s="1">
        <v>3</v>
      </c>
      <c r="G555" s="1">
        <v>4</v>
      </c>
      <c r="H555" s="1" t="s">
        <v>595</v>
      </c>
      <c r="I555" s="1">
        <v>282330.5</v>
      </c>
      <c r="J555" s="1">
        <v>110718.7</v>
      </c>
      <c r="K555" s="1">
        <v>171611.8</v>
      </c>
      <c r="L555" s="1">
        <v>600</v>
      </c>
      <c r="M555" s="1">
        <v>0.53</v>
      </c>
      <c r="N555" s="1">
        <v>91995.199999999997</v>
      </c>
      <c r="O555" s="1">
        <v>147534.29999999999</v>
      </c>
      <c r="P555" s="1">
        <v>239529.5</v>
      </c>
      <c r="Q555" s="1">
        <v>10219.700000000001</v>
      </c>
      <c r="R555" s="1">
        <v>3594.5</v>
      </c>
      <c r="S555" s="1">
        <v>13814.2</v>
      </c>
      <c r="T555" s="1">
        <v>10.27</v>
      </c>
      <c r="U555" s="1">
        <v>0.05</v>
      </c>
      <c r="V555" s="1">
        <v>3357.8</v>
      </c>
      <c r="W555" s="1">
        <v>13577.5</v>
      </c>
      <c r="X555" s="1">
        <v>0.56999999999999995</v>
      </c>
      <c r="Y555" s="1">
        <v>480</v>
      </c>
      <c r="Z555" s="1">
        <v>253107</v>
      </c>
      <c r="AA555" s="1">
        <v>10.35</v>
      </c>
      <c r="AB555" s="1">
        <v>2000</v>
      </c>
    </row>
    <row r="556" spans="1:28" x14ac:dyDescent="0.4">
      <c r="A556" s="1" t="s">
        <v>29</v>
      </c>
      <c r="B556" s="1">
        <v>2000</v>
      </c>
      <c r="C556" s="1">
        <v>0.2</v>
      </c>
      <c r="D556" s="1">
        <v>0.5</v>
      </c>
      <c r="E556" s="1">
        <v>1000</v>
      </c>
      <c r="F556" s="1">
        <v>3</v>
      </c>
      <c r="G556" s="1">
        <v>5</v>
      </c>
      <c r="H556" s="1" t="s">
        <v>595</v>
      </c>
      <c r="I556" s="1">
        <v>283217.40000000002</v>
      </c>
      <c r="J556" s="1">
        <v>112913.8</v>
      </c>
      <c r="K556" s="1">
        <v>170303.6</v>
      </c>
      <c r="L556" s="1">
        <v>600</v>
      </c>
      <c r="M556" s="1">
        <v>0.55000000000000004</v>
      </c>
      <c r="N556" s="1">
        <v>91243.7</v>
      </c>
      <c r="O556" s="1">
        <v>142064.70000000001</v>
      </c>
      <c r="P556" s="1">
        <v>233308.4</v>
      </c>
      <c r="Q556" s="1">
        <v>12931.5</v>
      </c>
      <c r="R556" s="1">
        <v>3948</v>
      </c>
      <c r="S556" s="1">
        <v>16879.5</v>
      </c>
      <c r="T556" s="1">
        <v>11.66</v>
      </c>
      <c r="U556" s="1">
        <v>0.05</v>
      </c>
      <c r="V556" s="1">
        <v>3652.8</v>
      </c>
      <c r="W556" s="1">
        <v>16584.3</v>
      </c>
      <c r="X556" s="1">
        <v>0.59</v>
      </c>
      <c r="Y556" s="1">
        <v>594</v>
      </c>
      <c r="Z556" s="1">
        <v>249892.7</v>
      </c>
      <c r="AA556" s="1">
        <v>11.77</v>
      </c>
      <c r="AB556" s="1">
        <v>2000</v>
      </c>
    </row>
    <row r="557" spans="1:28" x14ac:dyDescent="0.4">
      <c r="A557" s="1" t="s">
        <v>287</v>
      </c>
      <c r="B557" s="1">
        <v>2000</v>
      </c>
      <c r="C557" s="1">
        <v>0.2</v>
      </c>
      <c r="D557" s="1">
        <v>0.5</v>
      </c>
      <c r="E557" s="1">
        <v>2000</v>
      </c>
      <c r="F557" s="1">
        <v>1</v>
      </c>
      <c r="G557" s="1">
        <v>1</v>
      </c>
      <c r="H557" s="1" t="s">
        <v>595</v>
      </c>
      <c r="I557" s="1">
        <v>294766.8</v>
      </c>
      <c r="J557" s="1">
        <v>117148.4</v>
      </c>
      <c r="K557" s="1">
        <v>177618.4</v>
      </c>
      <c r="L557" s="1">
        <v>600</v>
      </c>
      <c r="M557" s="1">
        <v>0.34</v>
      </c>
      <c r="N557" s="1">
        <v>91615.9</v>
      </c>
      <c r="O557" s="1">
        <v>143509.9</v>
      </c>
      <c r="P557" s="1">
        <v>235125.8</v>
      </c>
      <c r="Q557" s="1">
        <v>12001.9</v>
      </c>
      <c r="R557" s="1">
        <v>3637.1</v>
      </c>
      <c r="S557" s="1">
        <v>15639</v>
      </c>
      <c r="T557" s="1">
        <v>14.93</v>
      </c>
      <c r="U557" s="1">
        <v>0.03</v>
      </c>
      <c r="V557" s="1">
        <v>3455.2</v>
      </c>
      <c r="W557" s="1">
        <v>15457.1</v>
      </c>
      <c r="X557" s="1">
        <v>0.37</v>
      </c>
      <c r="Y557" s="1">
        <v>541</v>
      </c>
      <c r="Z557" s="1">
        <v>250582.9</v>
      </c>
      <c r="AA557" s="1">
        <v>14.99</v>
      </c>
      <c r="AB557" s="1">
        <v>2000</v>
      </c>
    </row>
    <row r="558" spans="1:28" x14ac:dyDescent="0.4">
      <c r="A558" s="1" t="s">
        <v>288</v>
      </c>
      <c r="B558" s="1">
        <v>2000</v>
      </c>
      <c r="C558" s="1">
        <v>0.2</v>
      </c>
      <c r="D558" s="1">
        <v>0.5</v>
      </c>
      <c r="E558" s="1">
        <v>2000</v>
      </c>
      <c r="F558" s="1">
        <v>1</v>
      </c>
      <c r="G558" s="1">
        <v>2</v>
      </c>
      <c r="H558" s="1" t="s">
        <v>595</v>
      </c>
      <c r="I558" s="1">
        <v>298715.5</v>
      </c>
      <c r="J558" s="1">
        <v>118446.39999999999</v>
      </c>
      <c r="K558" s="1">
        <v>180269.1</v>
      </c>
      <c r="L558" s="1">
        <v>600</v>
      </c>
      <c r="M558" s="1">
        <v>0.34</v>
      </c>
      <c r="N558" s="1">
        <v>90696.1</v>
      </c>
      <c r="O558" s="1">
        <v>141644.79999999999</v>
      </c>
      <c r="P558" s="1">
        <v>232340.9</v>
      </c>
      <c r="Q558" s="1">
        <v>13142.4</v>
      </c>
      <c r="R558" s="1">
        <v>3639.9</v>
      </c>
      <c r="S558" s="1">
        <v>16782.3</v>
      </c>
      <c r="T558" s="1">
        <v>16.600000000000001</v>
      </c>
      <c r="U558" s="1">
        <v>0.03</v>
      </c>
      <c r="V558" s="1">
        <v>3383.3</v>
      </c>
      <c r="W558" s="1">
        <v>16525.7</v>
      </c>
      <c r="X558" s="1">
        <v>0.37</v>
      </c>
      <c r="Y558" s="1">
        <v>599</v>
      </c>
      <c r="Z558" s="1">
        <v>248866.6</v>
      </c>
      <c r="AA558" s="1">
        <v>16.690000000000001</v>
      </c>
      <c r="AB558" s="1">
        <v>2000</v>
      </c>
    </row>
    <row r="559" spans="1:28" x14ac:dyDescent="0.4">
      <c r="A559" s="1" t="s">
        <v>289</v>
      </c>
      <c r="B559" s="1">
        <v>2000</v>
      </c>
      <c r="C559" s="1">
        <v>0.2</v>
      </c>
      <c r="D559" s="1">
        <v>0.5</v>
      </c>
      <c r="E559" s="1">
        <v>2000</v>
      </c>
      <c r="F559" s="1">
        <v>1</v>
      </c>
      <c r="G559" s="1">
        <v>3</v>
      </c>
      <c r="H559" s="1" t="s">
        <v>595</v>
      </c>
      <c r="I559" s="1">
        <v>291372.59999999998</v>
      </c>
      <c r="J559" s="1">
        <v>115923.7</v>
      </c>
      <c r="K559" s="1">
        <v>175448.9</v>
      </c>
      <c r="L559" s="1">
        <v>600</v>
      </c>
      <c r="M559" s="1">
        <v>0.28000000000000003</v>
      </c>
      <c r="N559" s="1">
        <v>91388</v>
      </c>
      <c r="O559" s="1">
        <v>141863.1</v>
      </c>
      <c r="P559" s="1">
        <v>233251.1</v>
      </c>
      <c r="Q559" s="1">
        <v>11215</v>
      </c>
      <c r="R559" s="1">
        <v>3695.8</v>
      </c>
      <c r="S559" s="1">
        <v>14910.8</v>
      </c>
      <c r="T559" s="1">
        <v>14.83</v>
      </c>
      <c r="U559" s="1">
        <v>0.04</v>
      </c>
      <c r="V559" s="1">
        <v>3439.6</v>
      </c>
      <c r="W559" s="1">
        <v>14654.6</v>
      </c>
      <c r="X559" s="1">
        <v>0.32</v>
      </c>
      <c r="Y559" s="1">
        <v>535</v>
      </c>
      <c r="Z559" s="1">
        <v>247905.7</v>
      </c>
      <c r="AA559" s="1">
        <v>14.92</v>
      </c>
      <c r="AB559" s="1">
        <v>2000</v>
      </c>
    </row>
    <row r="560" spans="1:28" x14ac:dyDescent="0.4">
      <c r="A560" s="1" t="s">
        <v>290</v>
      </c>
      <c r="B560" s="1">
        <v>2000</v>
      </c>
      <c r="C560" s="1">
        <v>0.2</v>
      </c>
      <c r="D560" s="1">
        <v>0.5</v>
      </c>
      <c r="E560" s="1">
        <v>2000</v>
      </c>
      <c r="F560" s="1">
        <v>1</v>
      </c>
      <c r="G560" s="1">
        <v>4</v>
      </c>
      <c r="H560" s="1" t="s">
        <v>595</v>
      </c>
      <c r="I560" s="1">
        <v>294821.8</v>
      </c>
      <c r="J560" s="1">
        <v>116489.4</v>
      </c>
      <c r="K560" s="1">
        <v>178332.4</v>
      </c>
      <c r="L560" s="1">
        <v>600</v>
      </c>
      <c r="M560" s="1">
        <v>0.28999999999999998</v>
      </c>
      <c r="N560" s="1">
        <v>91993.9</v>
      </c>
      <c r="O560" s="1">
        <v>144959.79999999999</v>
      </c>
      <c r="P560" s="1">
        <v>236953.7</v>
      </c>
      <c r="Q560" s="1">
        <v>13157.7</v>
      </c>
      <c r="R560" s="1">
        <v>3578.6</v>
      </c>
      <c r="S560" s="1">
        <v>16736.3</v>
      </c>
      <c r="T560" s="1">
        <v>13.95</v>
      </c>
      <c r="U560" s="1">
        <v>0.03</v>
      </c>
      <c r="V560" s="1">
        <v>3298</v>
      </c>
      <c r="W560" s="1">
        <v>16455.7</v>
      </c>
      <c r="X560" s="1">
        <v>0.33</v>
      </c>
      <c r="Y560" s="1">
        <v>598</v>
      </c>
      <c r="Z560" s="1">
        <v>253409.4</v>
      </c>
      <c r="AA560" s="1">
        <v>14.05</v>
      </c>
      <c r="AB560" s="1">
        <v>2000</v>
      </c>
    </row>
    <row r="561" spans="1:28" x14ac:dyDescent="0.4">
      <c r="A561" s="1" t="s">
        <v>291</v>
      </c>
      <c r="B561" s="1">
        <v>2000</v>
      </c>
      <c r="C561" s="1">
        <v>0.2</v>
      </c>
      <c r="D561" s="1">
        <v>0.5</v>
      </c>
      <c r="E561" s="1">
        <v>2000</v>
      </c>
      <c r="F561" s="1">
        <v>1</v>
      </c>
      <c r="G561" s="1">
        <v>5</v>
      </c>
      <c r="H561" s="1" t="s">
        <v>595</v>
      </c>
      <c r="I561" s="1">
        <v>290639.59999999998</v>
      </c>
      <c r="J561" s="1">
        <v>114516.4</v>
      </c>
      <c r="K561" s="1">
        <v>176123.2</v>
      </c>
      <c r="L561" s="1">
        <v>600</v>
      </c>
      <c r="M561" s="1">
        <v>0.31</v>
      </c>
      <c r="N561" s="1">
        <v>88188.6</v>
      </c>
      <c r="O561" s="1">
        <v>139850.9</v>
      </c>
      <c r="P561" s="1">
        <v>228039.5</v>
      </c>
      <c r="Q561" s="1">
        <v>12827.5</v>
      </c>
      <c r="R561" s="1">
        <v>3928.9</v>
      </c>
      <c r="S561" s="1">
        <v>16756.400000000001</v>
      </c>
      <c r="T561" s="1">
        <v>15.77</v>
      </c>
      <c r="U561" s="1">
        <v>0.03</v>
      </c>
      <c r="V561" s="1">
        <v>3694.8</v>
      </c>
      <c r="W561" s="1">
        <v>16522.3</v>
      </c>
      <c r="X561" s="1">
        <v>0.35</v>
      </c>
      <c r="Y561" s="1">
        <v>598</v>
      </c>
      <c r="Z561" s="1">
        <v>244561.8</v>
      </c>
      <c r="AA561" s="1">
        <v>15.85</v>
      </c>
      <c r="AB561" s="1">
        <v>2000</v>
      </c>
    </row>
    <row r="562" spans="1:28" x14ac:dyDescent="0.4">
      <c r="A562" s="1" t="s">
        <v>292</v>
      </c>
      <c r="B562" s="1">
        <v>2000</v>
      </c>
      <c r="C562" s="1">
        <v>0.2</v>
      </c>
      <c r="D562" s="1">
        <v>0.5</v>
      </c>
      <c r="E562" s="1">
        <v>2000</v>
      </c>
      <c r="F562" s="1">
        <v>2</v>
      </c>
      <c r="G562" s="1">
        <v>1</v>
      </c>
      <c r="H562" s="1" t="s">
        <v>595</v>
      </c>
      <c r="I562" s="1">
        <v>429372.1</v>
      </c>
      <c r="J562" s="1">
        <v>169836.6</v>
      </c>
      <c r="K562" s="1">
        <v>259535.5</v>
      </c>
      <c r="L562" s="1">
        <v>600</v>
      </c>
      <c r="M562" s="1">
        <v>0.56999999999999995</v>
      </c>
      <c r="N562" s="1">
        <v>141180.20000000001</v>
      </c>
      <c r="O562" s="1">
        <v>222277.7</v>
      </c>
      <c r="P562" s="1">
        <v>363457.9</v>
      </c>
      <c r="Q562" s="1">
        <v>11931.9</v>
      </c>
      <c r="R562" s="1">
        <v>3766.7</v>
      </c>
      <c r="S562" s="1">
        <v>15698.6</v>
      </c>
      <c r="T562" s="1">
        <v>11.7</v>
      </c>
      <c r="U562" s="1">
        <v>0.06</v>
      </c>
      <c r="V562" s="1">
        <v>3566</v>
      </c>
      <c r="W562" s="1">
        <v>15497.9</v>
      </c>
      <c r="X562" s="1">
        <v>0.63</v>
      </c>
      <c r="Y562" s="1">
        <v>561</v>
      </c>
      <c r="Z562" s="1">
        <v>378955.8</v>
      </c>
      <c r="AA562" s="1">
        <v>11.74</v>
      </c>
      <c r="AB562" s="1">
        <v>2000</v>
      </c>
    </row>
    <row r="563" spans="1:28" x14ac:dyDescent="0.4">
      <c r="A563" s="1" t="s">
        <v>293</v>
      </c>
      <c r="B563" s="1">
        <v>2000</v>
      </c>
      <c r="C563" s="1">
        <v>0.2</v>
      </c>
      <c r="D563" s="1">
        <v>0.5</v>
      </c>
      <c r="E563" s="1">
        <v>2000</v>
      </c>
      <c r="F563" s="1">
        <v>2</v>
      </c>
      <c r="G563" s="1">
        <v>2</v>
      </c>
      <c r="H563" s="1" t="s">
        <v>595</v>
      </c>
      <c r="I563" s="1">
        <v>449279.9</v>
      </c>
      <c r="J563" s="1">
        <v>176283.8</v>
      </c>
      <c r="K563" s="1">
        <v>272996.09999999998</v>
      </c>
      <c r="L563" s="1">
        <v>600</v>
      </c>
      <c r="M563" s="1">
        <v>0.6</v>
      </c>
      <c r="N563" s="1">
        <v>141962.9</v>
      </c>
      <c r="O563" s="1">
        <v>227229</v>
      </c>
      <c r="P563" s="1">
        <v>369191.9</v>
      </c>
      <c r="Q563" s="1">
        <v>12241.7</v>
      </c>
      <c r="R563" s="1">
        <v>4240.1000000000004</v>
      </c>
      <c r="S563" s="1">
        <v>16481.8</v>
      </c>
      <c r="T563" s="1">
        <v>14.16</v>
      </c>
      <c r="U563" s="1">
        <v>0.05</v>
      </c>
      <c r="V563" s="1">
        <v>3744.3</v>
      </c>
      <c r="W563" s="1">
        <v>15986</v>
      </c>
      <c r="X563" s="1">
        <v>0.65</v>
      </c>
      <c r="Y563" s="1">
        <v>560</v>
      </c>
      <c r="Z563" s="1">
        <v>385177.9</v>
      </c>
      <c r="AA563" s="1">
        <v>14.27</v>
      </c>
      <c r="AB563" s="1">
        <v>2000</v>
      </c>
    </row>
    <row r="564" spans="1:28" x14ac:dyDescent="0.4">
      <c r="A564" s="1" t="s">
        <v>294</v>
      </c>
      <c r="B564" s="1">
        <v>2000</v>
      </c>
      <c r="C564" s="1">
        <v>0.2</v>
      </c>
      <c r="D564" s="1">
        <v>0.5</v>
      </c>
      <c r="E564" s="1">
        <v>2000</v>
      </c>
      <c r="F564" s="1">
        <v>2</v>
      </c>
      <c r="G564" s="1">
        <v>3</v>
      </c>
      <c r="H564" s="1" t="s">
        <v>595</v>
      </c>
      <c r="I564" s="1">
        <v>434628.2</v>
      </c>
      <c r="J564" s="1">
        <v>169462.1</v>
      </c>
      <c r="K564" s="1">
        <v>265166.09999999998</v>
      </c>
      <c r="L564" s="1">
        <v>600</v>
      </c>
      <c r="M564" s="1">
        <v>0.54</v>
      </c>
      <c r="N564" s="1">
        <v>136581</v>
      </c>
      <c r="O564" s="1">
        <v>223748</v>
      </c>
      <c r="P564" s="1">
        <v>360329</v>
      </c>
      <c r="Q564" s="1">
        <v>12004.6</v>
      </c>
      <c r="R564" s="1">
        <v>4335.6000000000004</v>
      </c>
      <c r="S564" s="1">
        <v>16340.2</v>
      </c>
      <c r="T564" s="1">
        <v>13.34</v>
      </c>
      <c r="U564" s="1">
        <v>0.05</v>
      </c>
      <c r="V564" s="1">
        <v>4064.2</v>
      </c>
      <c r="W564" s="1">
        <v>16068.8</v>
      </c>
      <c r="X564" s="1">
        <v>0.59</v>
      </c>
      <c r="Y564" s="1">
        <v>545</v>
      </c>
      <c r="Z564" s="1">
        <v>376397.8</v>
      </c>
      <c r="AA564" s="1">
        <v>13.4</v>
      </c>
      <c r="AB564" s="1">
        <v>2000</v>
      </c>
    </row>
    <row r="565" spans="1:28" x14ac:dyDescent="0.4">
      <c r="A565" s="1" t="s">
        <v>295</v>
      </c>
      <c r="B565" s="1">
        <v>2000</v>
      </c>
      <c r="C565" s="1">
        <v>0.2</v>
      </c>
      <c r="D565" s="1">
        <v>0.5</v>
      </c>
      <c r="E565" s="1">
        <v>2000</v>
      </c>
      <c r="F565" s="1">
        <v>2</v>
      </c>
      <c r="G565" s="1">
        <v>4</v>
      </c>
      <c r="H565" s="1" t="s">
        <v>595</v>
      </c>
      <c r="I565" s="1">
        <v>434426.7</v>
      </c>
      <c r="J565" s="1">
        <v>171944.5</v>
      </c>
      <c r="K565" s="1">
        <v>262482.2</v>
      </c>
      <c r="L565" s="1">
        <v>600</v>
      </c>
      <c r="M565" s="1">
        <v>0.54</v>
      </c>
      <c r="N565" s="1">
        <v>139506.79999999999</v>
      </c>
      <c r="O565" s="1">
        <v>222467.8</v>
      </c>
      <c r="P565" s="1">
        <v>361974.6</v>
      </c>
      <c r="Q565" s="1">
        <v>11461.2</v>
      </c>
      <c r="R565" s="1">
        <v>4092.3</v>
      </c>
      <c r="S565" s="1">
        <v>15553.5</v>
      </c>
      <c r="T565" s="1">
        <v>13.1</v>
      </c>
      <c r="U565" s="1">
        <v>0.05</v>
      </c>
      <c r="V565" s="1">
        <v>3742.1</v>
      </c>
      <c r="W565" s="1">
        <v>15203.3</v>
      </c>
      <c r="X565" s="1">
        <v>0.59</v>
      </c>
      <c r="Y565" s="1">
        <v>527</v>
      </c>
      <c r="Z565" s="1">
        <v>377177.9</v>
      </c>
      <c r="AA565" s="1">
        <v>13.18</v>
      </c>
      <c r="AB565" s="1">
        <v>2000</v>
      </c>
    </row>
    <row r="566" spans="1:28" x14ac:dyDescent="0.4">
      <c r="A566" s="1" t="s">
        <v>296</v>
      </c>
      <c r="B566" s="1">
        <v>2000</v>
      </c>
      <c r="C566" s="1">
        <v>0.2</v>
      </c>
      <c r="D566" s="1">
        <v>0.5</v>
      </c>
      <c r="E566" s="1">
        <v>2000</v>
      </c>
      <c r="F566" s="1">
        <v>2</v>
      </c>
      <c r="G566" s="1">
        <v>5</v>
      </c>
      <c r="H566" s="1" t="s">
        <v>595</v>
      </c>
      <c r="I566" s="1">
        <v>445237.3</v>
      </c>
      <c r="J566" s="1">
        <v>173515.2</v>
      </c>
      <c r="K566" s="1">
        <v>271722.09999999998</v>
      </c>
      <c r="L566" s="1">
        <v>600</v>
      </c>
      <c r="M566" s="1">
        <v>0.56000000000000005</v>
      </c>
      <c r="N566" s="1">
        <v>141264.70000000001</v>
      </c>
      <c r="O566" s="1">
        <v>229295.9</v>
      </c>
      <c r="P566" s="1">
        <v>370560.6</v>
      </c>
      <c r="Q566" s="1">
        <v>11674.2</v>
      </c>
      <c r="R566" s="1">
        <v>3824.4</v>
      </c>
      <c r="S566" s="1">
        <v>15498.6</v>
      </c>
      <c r="T566" s="1">
        <v>13.29</v>
      </c>
      <c r="U566" s="1">
        <v>0.06</v>
      </c>
      <c r="V566" s="1">
        <v>3480.5</v>
      </c>
      <c r="W566" s="1">
        <v>15154.7</v>
      </c>
      <c r="X566" s="1">
        <v>0.62</v>
      </c>
      <c r="Y566" s="1">
        <v>543</v>
      </c>
      <c r="Z566" s="1">
        <v>385715.3</v>
      </c>
      <c r="AA566" s="1">
        <v>13.37</v>
      </c>
      <c r="AB566" s="1">
        <v>2000</v>
      </c>
    </row>
    <row r="567" spans="1:28" x14ac:dyDescent="0.4">
      <c r="A567" s="1" t="s">
        <v>297</v>
      </c>
      <c r="B567" s="1">
        <v>2000</v>
      </c>
      <c r="C567" s="1">
        <v>0.2</v>
      </c>
      <c r="D567" s="1">
        <v>0.5</v>
      </c>
      <c r="E567" s="1">
        <v>2000</v>
      </c>
      <c r="F567" s="1">
        <v>3</v>
      </c>
      <c r="G567" s="1">
        <v>1</v>
      </c>
      <c r="H567" s="1" t="s">
        <v>595</v>
      </c>
      <c r="I567" s="1">
        <v>567589.1</v>
      </c>
      <c r="J567" s="1">
        <v>227659.9</v>
      </c>
      <c r="K567" s="1">
        <v>339929.2</v>
      </c>
      <c r="L567" s="1">
        <v>600</v>
      </c>
      <c r="M567" s="1">
        <v>1.04</v>
      </c>
      <c r="N567" s="1">
        <v>193358.8</v>
      </c>
      <c r="O567" s="1">
        <v>294068.5</v>
      </c>
      <c r="P567" s="1">
        <v>487427.3</v>
      </c>
      <c r="Q567" s="1">
        <v>11696.4</v>
      </c>
      <c r="R567" s="1">
        <v>3847.8</v>
      </c>
      <c r="S567" s="1">
        <v>15544.2</v>
      </c>
      <c r="T567" s="1">
        <v>11.38</v>
      </c>
      <c r="U567" s="1">
        <v>0.06</v>
      </c>
      <c r="V567" s="1">
        <v>3553.5</v>
      </c>
      <c r="W567" s="1">
        <v>15249.9</v>
      </c>
      <c r="X567" s="1">
        <v>1.1000000000000001</v>
      </c>
      <c r="Y567" s="1">
        <v>546</v>
      </c>
      <c r="Z567" s="1">
        <v>502677.2</v>
      </c>
      <c r="AA567" s="1">
        <v>11.44</v>
      </c>
      <c r="AB567" s="1">
        <v>2000</v>
      </c>
    </row>
    <row r="568" spans="1:28" x14ac:dyDescent="0.4">
      <c r="A568" s="1" t="s">
        <v>298</v>
      </c>
      <c r="B568" s="1">
        <v>2000</v>
      </c>
      <c r="C568" s="1">
        <v>0.2</v>
      </c>
      <c r="D568" s="1">
        <v>0.5</v>
      </c>
      <c r="E568" s="1">
        <v>2000</v>
      </c>
      <c r="F568" s="1">
        <v>3</v>
      </c>
      <c r="G568" s="1">
        <v>2</v>
      </c>
      <c r="H568" s="1" t="s">
        <v>595</v>
      </c>
      <c r="I568" s="1">
        <v>574652.6</v>
      </c>
      <c r="J568" s="1">
        <v>228791.7</v>
      </c>
      <c r="K568" s="1">
        <v>345860.9</v>
      </c>
      <c r="L568" s="1">
        <v>600</v>
      </c>
      <c r="M568" s="1">
        <v>1.01</v>
      </c>
      <c r="N568" s="1">
        <v>190559.2</v>
      </c>
      <c r="O568" s="1">
        <v>298846.5</v>
      </c>
      <c r="P568" s="1">
        <v>489405.7</v>
      </c>
      <c r="Q568" s="1">
        <v>12255.8</v>
      </c>
      <c r="R568" s="1">
        <v>4096.5</v>
      </c>
      <c r="S568" s="1">
        <v>16352.3</v>
      </c>
      <c r="T568" s="1">
        <v>11.99</v>
      </c>
      <c r="U568" s="1">
        <v>0.05</v>
      </c>
      <c r="V568" s="1">
        <v>3772.2</v>
      </c>
      <c r="W568" s="1">
        <v>16028</v>
      </c>
      <c r="X568" s="1">
        <v>1.06</v>
      </c>
      <c r="Y568" s="1">
        <v>563</v>
      </c>
      <c r="Z568" s="1">
        <v>505433.7</v>
      </c>
      <c r="AA568" s="1">
        <v>12.05</v>
      </c>
      <c r="AB568" s="1">
        <v>2000</v>
      </c>
    </row>
    <row r="569" spans="1:28" x14ac:dyDescent="0.4">
      <c r="A569" s="1" t="s">
        <v>299</v>
      </c>
      <c r="B569" s="1">
        <v>2000</v>
      </c>
      <c r="C569" s="1">
        <v>0.2</v>
      </c>
      <c r="D569" s="1">
        <v>0.5</v>
      </c>
      <c r="E569" s="1">
        <v>2000</v>
      </c>
      <c r="F569" s="1">
        <v>3</v>
      </c>
      <c r="G569" s="1">
        <v>3</v>
      </c>
      <c r="H569" s="1" t="s">
        <v>595</v>
      </c>
      <c r="I569" s="1">
        <v>569085.69999999995</v>
      </c>
      <c r="J569" s="1">
        <v>222208.8</v>
      </c>
      <c r="K569" s="1">
        <v>346876.9</v>
      </c>
      <c r="L569" s="1">
        <v>600</v>
      </c>
      <c r="M569" s="1">
        <v>1.08</v>
      </c>
      <c r="N569" s="1">
        <v>184926.7</v>
      </c>
      <c r="O569" s="1">
        <v>297105.59999999998</v>
      </c>
      <c r="P569" s="1">
        <v>482032.3</v>
      </c>
      <c r="Q569" s="1">
        <v>11608</v>
      </c>
      <c r="R569" s="1">
        <v>4042.7</v>
      </c>
      <c r="S569" s="1">
        <v>15650.7</v>
      </c>
      <c r="T569" s="1">
        <v>12.55</v>
      </c>
      <c r="U569" s="1">
        <v>0.06</v>
      </c>
      <c r="V569" s="1">
        <v>3734.2</v>
      </c>
      <c r="W569" s="1">
        <v>15342.2</v>
      </c>
      <c r="X569" s="1">
        <v>1.1399999999999999</v>
      </c>
      <c r="Y569" s="1">
        <v>526</v>
      </c>
      <c r="Z569" s="1">
        <v>497374.5</v>
      </c>
      <c r="AA569" s="1">
        <v>12.6</v>
      </c>
      <c r="AB569" s="1">
        <v>2000</v>
      </c>
    </row>
    <row r="570" spans="1:28" x14ac:dyDescent="0.4">
      <c r="A570" s="1" t="s">
        <v>300</v>
      </c>
      <c r="B570" s="1">
        <v>2000</v>
      </c>
      <c r="C570" s="1">
        <v>0.2</v>
      </c>
      <c r="D570" s="1">
        <v>0.5</v>
      </c>
      <c r="E570" s="1">
        <v>2000</v>
      </c>
      <c r="F570" s="1">
        <v>3</v>
      </c>
      <c r="G570" s="1">
        <v>4</v>
      </c>
      <c r="H570" s="1" t="s">
        <v>595</v>
      </c>
      <c r="I570" s="1">
        <v>568129.1</v>
      </c>
      <c r="J570" s="1">
        <v>230045.8</v>
      </c>
      <c r="K570" s="1">
        <v>338083.3</v>
      </c>
      <c r="L570" s="1">
        <v>600</v>
      </c>
      <c r="M570" s="1">
        <v>0.98</v>
      </c>
      <c r="N570" s="1">
        <v>189308.1</v>
      </c>
      <c r="O570" s="1">
        <v>289178.7</v>
      </c>
      <c r="P570" s="1">
        <v>478486.8</v>
      </c>
      <c r="Q570" s="1">
        <v>12317.8</v>
      </c>
      <c r="R570" s="1">
        <v>3885.1</v>
      </c>
      <c r="S570" s="1">
        <v>16202.9</v>
      </c>
      <c r="T570" s="1">
        <v>12.93</v>
      </c>
      <c r="U570" s="1">
        <v>0.06</v>
      </c>
      <c r="V570" s="1">
        <v>3683.5</v>
      </c>
      <c r="W570" s="1">
        <v>16001.3</v>
      </c>
      <c r="X570" s="1">
        <v>1.04</v>
      </c>
      <c r="Y570" s="1">
        <v>562</v>
      </c>
      <c r="Z570" s="1">
        <v>494488.1</v>
      </c>
      <c r="AA570" s="1">
        <v>12.96</v>
      </c>
      <c r="AB570" s="1">
        <v>2000</v>
      </c>
    </row>
    <row r="571" spans="1:28" x14ac:dyDescent="0.4">
      <c r="A571" s="1" t="s">
        <v>301</v>
      </c>
      <c r="B571" s="1">
        <v>2000</v>
      </c>
      <c r="C571" s="1">
        <v>0.2</v>
      </c>
      <c r="D571" s="1">
        <v>0.5</v>
      </c>
      <c r="E571" s="1">
        <v>2000</v>
      </c>
      <c r="F571" s="1">
        <v>3</v>
      </c>
      <c r="G571" s="1">
        <v>5</v>
      </c>
      <c r="H571" s="1" t="s">
        <v>595</v>
      </c>
      <c r="I571" s="1">
        <v>568907.69999999995</v>
      </c>
      <c r="J571" s="1">
        <v>232908.3</v>
      </c>
      <c r="K571" s="1">
        <v>335999.4</v>
      </c>
      <c r="L571" s="1">
        <v>600</v>
      </c>
      <c r="M571" s="1">
        <v>1.02</v>
      </c>
      <c r="N571" s="1">
        <v>195500.6</v>
      </c>
      <c r="O571" s="1">
        <v>289043.40000000002</v>
      </c>
      <c r="P571" s="1">
        <v>484544</v>
      </c>
      <c r="Q571" s="1">
        <v>11162.9</v>
      </c>
      <c r="R571" s="1">
        <v>3883.5</v>
      </c>
      <c r="S571" s="1">
        <v>15046.4</v>
      </c>
      <c r="T571" s="1">
        <v>12.18</v>
      </c>
      <c r="U571" s="1">
        <v>0.05</v>
      </c>
      <c r="V571" s="1">
        <v>3653</v>
      </c>
      <c r="W571" s="1">
        <v>14815.9</v>
      </c>
      <c r="X571" s="1">
        <v>1.07</v>
      </c>
      <c r="Y571" s="1">
        <v>524</v>
      </c>
      <c r="Z571" s="1">
        <v>499359.9</v>
      </c>
      <c r="AA571" s="1">
        <v>12.22</v>
      </c>
      <c r="AB571" s="1">
        <v>2000</v>
      </c>
    </row>
    <row r="572" spans="1:28" x14ac:dyDescent="0.4">
      <c r="A572" s="1" t="s">
        <v>302</v>
      </c>
      <c r="B572" s="1">
        <v>2000</v>
      </c>
      <c r="C572" s="1">
        <v>0.2</v>
      </c>
      <c r="D572" s="1">
        <v>0.5</v>
      </c>
      <c r="E572" s="1">
        <v>500</v>
      </c>
      <c r="F572" s="1">
        <v>1</v>
      </c>
      <c r="G572" s="1">
        <v>1</v>
      </c>
      <c r="H572" s="1" t="s">
        <v>595</v>
      </c>
      <c r="I572" s="1">
        <v>72828.100000000006</v>
      </c>
      <c r="J572" s="1">
        <v>30131.8</v>
      </c>
      <c r="K572" s="1">
        <v>42696.3</v>
      </c>
      <c r="L572" s="1">
        <v>600</v>
      </c>
      <c r="M572" s="1">
        <v>0.2</v>
      </c>
      <c r="N572" s="1">
        <v>22767.599999999999</v>
      </c>
      <c r="O572" s="1">
        <v>33676.5</v>
      </c>
      <c r="P572" s="1">
        <v>56444.1</v>
      </c>
      <c r="Q572" s="1">
        <v>8421.2999999999993</v>
      </c>
      <c r="R572" s="1">
        <v>1876.1</v>
      </c>
      <c r="S572" s="1">
        <v>10297.4</v>
      </c>
      <c r="T572" s="1">
        <v>8.36</v>
      </c>
      <c r="U572" s="1">
        <v>0.01</v>
      </c>
      <c r="V572" s="1">
        <v>1771.4</v>
      </c>
      <c r="W572" s="1">
        <v>10192.700000000001</v>
      </c>
      <c r="X572" s="1">
        <v>0.21</v>
      </c>
      <c r="Y572" s="1">
        <v>362</v>
      </c>
      <c r="Z572" s="1">
        <v>66636.800000000003</v>
      </c>
      <c r="AA572" s="1">
        <v>8.5</v>
      </c>
      <c r="AB572" s="1">
        <v>2000</v>
      </c>
    </row>
    <row r="573" spans="1:28" x14ac:dyDescent="0.4">
      <c r="A573" s="1" t="s">
        <v>303</v>
      </c>
      <c r="B573" s="1">
        <v>2000</v>
      </c>
      <c r="C573" s="1">
        <v>0.2</v>
      </c>
      <c r="D573" s="1">
        <v>0.5</v>
      </c>
      <c r="E573" s="1">
        <v>500</v>
      </c>
      <c r="F573" s="1">
        <v>1</v>
      </c>
      <c r="G573" s="1">
        <v>2</v>
      </c>
      <c r="H573" s="1" t="s">
        <v>595</v>
      </c>
      <c r="I573" s="1">
        <v>73709.399999999994</v>
      </c>
      <c r="J573" s="1">
        <v>30448</v>
      </c>
      <c r="K573" s="1">
        <v>43261.4</v>
      </c>
      <c r="L573" s="1">
        <v>600</v>
      </c>
      <c r="M573" s="1">
        <v>0.2</v>
      </c>
      <c r="N573" s="1">
        <v>24518</v>
      </c>
      <c r="O573" s="1">
        <v>36776.6</v>
      </c>
      <c r="P573" s="1">
        <v>61294.6</v>
      </c>
      <c r="Q573" s="1">
        <v>5663.6</v>
      </c>
      <c r="R573" s="1">
        <v>1138.4000000000001</v>
      </c>
      <c r="S573" s="1">
        <v>6802</v>
      </c>
      <c r="T573" s="1">
        <v>7.61</v>
      </c>
      <c r="U573" s="1">
        <v>0</v>
      </c>
      <c r="V573" s="1">
        <v>1078</v>
      </c>
      <c r="W573" s="1">
        <v>6741.6</v>
      </c>
      <c r="X573" s="1">
        <v>0.2</v>
      </c>
      <c r="Y573" s="1">
        <v>227</v>
      </c>
      <c r="Z573" s="1">
        <v>68036.2</v>
      </c>
      <c r="AA573" s="1">
        <v>7.7</v>
      </c>
      <c r="AB573" s="1">
        <v>2000</v>
      </c>
    </row>
    <row r="574" spans="1:28" x14ac:dyDescent="0.4">
      <c r="A574" s="1" t="s">
        <v>304</v>
      </c>
      <c r="B574" s="1">
        <v>2000</v>
      </c>
      <c r="C574" s="1">
        <v>0.2</v>
      </c>
      <c r="D574" s="1">
        <v>0.5</v>
      </c>
      <c r="E574" s="1">
        <v>500</v>
      </c>
      <c r="F574" s="1">
        <v>1</v>
      </c>
      <c r="G574" s="1">
        <v>3</v>
      </c>
      <c r="H574" s="1" t="s">
        <v>595</v>
      </c>
      <c r="I574" s="1">
        <v>73291.199999999997</v>
      </c>
      <c r="J574" s="1">
        <v>29361</v>
      </c>
      <c r="K574" s="1">
        <v>43930.2</v>
      </c>
      <c r="L574" s="1">
        <v>600</v>
      </c>
      <c r="M574" s="1">
        <v>0.19</v>
      </c>
      <c r="N574" s="1">
        <v>22247.8</v>
      </c>
      <c r="O574" s="1">
        <v>33318.800000000003</v>
      </c>
      <c r="P574" s="1">
        <v>55566.6</v>
      </c>
      <c r="Q574" s="1">
        <v>11235.1</v>
      </c>
      <c r="R574" s="1">
        <v>2424.1</v>
      </c>
      <c r="S574" s="1">
        <v>13659.2</v>
      </c>
      <c r="T574" s="1">
        <v>5.55</v>
      </c>
      <c r="U574" s="1">
        <v>0.02</v>
      </c>
      <c r="V574" s="1">
        <v>2298.1999999999998</v>
      </c>
      <c r="W574" s="1">
        <v>13533.3</v>
      </c>
      <c r="X574" s="1">
        <v>0.21</v>
      </c>
      <c r="Y574" s="1">
        <v>474</v>
      </c>
      <c r="Z574" s="1">
        <v>69099.899999999994</v>
      </c>
      <c r="AA574" s="1">
        <v>5.72</v>
      </c>
      <c r="AB574" s="1">
        <v>2000</v>
      </c>
    </row>
    <row r="575" spans="1:28" x14ac:dyDescent="0.4">
      <c r="A575" s="1" t="s">
        <v>305</v>
      </c>
      <c r="B575" s="1">
        <v>2000</v>
      </c>
      <c r="C575" s="1">
        <v>0.2</v>
      </c>
      <c r="D575" s="1">
        <v>0.5</v>
      </c>
      <c r="E575" s="1">
        <v>500</v>
      </c>
      <c r="F575" s="1">
        <v>1</v>
      </c>
      <c r="G575" s="1">
        <v>4</v>
      </c>
      <c r="H575" s="1" t="s">
        <v>595</v>
      </c>
      <c r="I575" s="1">
        <v>70840.800000000003</v>
      </c>
      <c r="J575" s="1">
        <v>28183.5</v>
      </c>
      <c r="K575" s="1">
        <v>42657.3</v>
      </c>
      <c r="L575" s="1">
        <v>600</v>
      </c>
      <c r="M575" s="1">
        <v>0.21</v>
      </c>
      <c r="N575" s="1">
        <v>20815.3</v>
      </c>
      <c r="O575" s="1">
        <v>32964.699999999997</v>
      </c>
      <c r="P575" s="1">
        <v>53780</v>
      </c>
      <c r="Q575" s="1">
        <v>9576.2000000000007</v>
      </c>
      <c r="R575" s="1">
        <v>2220.8000000000002</v>
      </c>
      <c r="S575" s="1">
        <v>11797</v>
      </c>
      <c r="T575" s="1">
        <v>7.43</v>
      </c>
      <c r="U575" s="1">
        <v>0.01</v>
      </c>
      <c r="V575" s="1">
        <v>2031.1</v>
      </c>
      <c r="W575" s="1">
        <v>11607.3</v>
      </c>
      <c r="X575" s="1">
        <v>0.22</v>
      </c>
      <c r="Y575" s="1">
        <v>405</v>
      </c>
      <c r="Z575" s="1">
        <v>65387.3</v>
      </c>
      <c r="AA575" s="1">
        <v>7.7</v>
      </c>
      <c r="AB575" s="1">
        <v>2000</v>
      </c>
    </row>
    <row r="576" spans="1:28" x14ac:dyDescent="0.4">
      <c r="A576" s="1" t="s">
        <v>306</v>
      </c>
      <c r="B576" s="1">
        <v>2000</v>
      </c>
      <c r="C576" s="1">
        <v>0.2</v>
      </c>
      <c r="D576" s="1">
        <v>0.5</v>
      </c>
      <c r="E576" s="1">
        <v>500</v>
      </c>
      <c r="F576" s="1">
        <v>1</v>
      </c>
      <c r="G576" s="1">
        <v>5</v>
      </c>
      <c r="H576" s="1" t="s">
        <v>595</v>
      </c>
      <c r="I576" s="1">
        <v>71315</v>
      </c>
      <c r="J576" s="1">
        <v>28392.400000000001</v>
      </c>
      <c r="K576" s="1">
        <v>42922.6</v>
      </c>
      <c r="L576" s="1">
        <v>600</v>
      </c>
      <c r="M576" s="1">
        <v>0.18</v>
      </c>
      <c r="N576" s="1">
        <v>21069.599999999999</v>
      </c>
      <c r="O576" s="1">
        <v>34233.599999999999</v>
      </c>
      <c r="P576" s="1">
        <v>55303.199999999997</v>
      </c>
      <c r="Q576" s="1">
        <v>8591.6</v>
      </c>
      <c r="R576" s="1">
        <v>2342.8000000000002</v>
      </c>
      <c r="S576" s="1">
        <v>10934.4</v>
      </c>
      <c r="T576" s="1">
        <v>7.12</v>
      </c>
      <c r="U576" s="1">
        <v>0.01</v>
      </c>
      <c r="V576" s="1">
        <v>2207.6</v>
      </c>
      <c r="W576" s="1">
        <v>10799.2</v>
      </c>
      <c r="X576" s="1">
        <v>0.19</v>
      </c>
      <c r="Y576" s="1">
        <v>357</v>
      </c>
      <c r="Z576" s="1">
        <v>66102.399999999994</v>
      </c>
      <c r="AA576" s="1">
        <v>7.31</v>
      </c>
      <c r="AB576" s="1">
        <v>2000</v>
      </c>
    </row>
    <row r="577" spans="1:28" x14ac:dyDescent="0.4">
      <c r="A577" s="1" t="s">
        <v>307</v>
      </c>
      <c r="B577" s="1">
        <v>2000</v>
      </c>
      <c r="C577" s="1">
        <v>0.2</v>
      </c>
      <c r="D577" s="1">
        <v>0.5</v>
      </c>
      <c r="E577" s="1">
        <v>500</v>
      </c>
      <c r="F577" s="1">
        <v>2</v>
      </c>
      <c r="G577" s="1">
        <v>1</v>
      </c>
      <c r="H577" s="1" t="s">
        <v>595</v>
      </c>
      <c r="I577" s="1">
        <v>109987.8</v>
      </c>
      <c r="J577" s="1">
        <v>45375.9</v>
      </c>
      <c r="K577" s="1">
        <v>64611.9</v>
      </c>
      <c r="L577" s="1">
        <v>600</v>
      </c>
      <c r="M577" s="1">
        <v>0.26</v>
      </c>
      <c r="N577" s="1">
        <v>34987.9</v>
      </c>
      <c r="O577" s="1">
        <v>50360.2</v>
      </c>
      <c r="P577" s="1">
        <v>85348.1</v>
      </c>
      <c r="Q577" s="1">
        <v>12803.7</v>
      </c>
      <c r="R577" s="1">
        <v>3177.9</v>
      </c>
      <c r="S577" s="1">
        <v>15981.6</v>
      </c>
      <c r="T577" s="1">
        <v>7.87</v>
      </c>
      <c r="U577" s="1">
        <v>0.02</v>
      </c>
      <c r="V577" s="1">
        <v>2991.6</v>
      </c>
      <c r="W577" s="1">
        <v>15795.3</v>
      </c>
      <c r="X577" s="1">
        <v>0.28000000000000003</v>
      </c>
      <c r="Y577" s="1">
        <v>541</v>
      </c>
      <c r="Z577" s="1">
        <v>101143.4</v>
      </c>
      <c r="AA577" s="1">
        <v>8.0399999999999991</v>
      </c>
      <c r="AB577" s="1">
        <v>2000</v>
      </c>
    </row>
    <row r="578" spans="1:28" x14ac:dyDescent="0.4">
      <c r="A578" s="1" t="s">
        <v>308</v>
      </c>
      <c r="B578" s="1">
        <v>2000</v>
      </c>
      <c r="C578" s="1">
        <v>0.2</v>
      </c>
      <c r="D578" s="1">
        <v>0.5</v>
      </c>
      <c r="E578" s="1">
        <v>500</v>
      </c>
      <c r="F578" s="1">
        <v>2</v>
      </c>
      <c r="G578" s="1">
        <v>2</v>
      </c>
      <c r="H578" s="1" t="s">
        <v>595</v>
      </c>
      <c r="I578" s="1">
        <v>111693.6</v>
      </c>
      <c r="J578" s="1">
        <v>43333.7</v>
      </c>
      <c r="K578" s="1">
        <v>68359.899999999994</v>
      </c>
      <c r="L578" s="1">
        <v>600</v>
      </c>
      <c r="M578" s="1">
        <v>0.24</v>
      </c>
      <c r="N578" s="1">
        <v>32750.5</v>
      </c>
      <c r="O578" s="1">
        <v>52292</v>
      </c>
      <c r="P578" s="1">
        <v>85042.5</v>
      </c>
      <c r="Q578" s="1">
        <v>12712</v>
      </c>
      <c r="R578" s="1">
        <v>3355.2</v>
      </c>
      <c r="S578" s="1">
        <v>16067.2</v>
      </c>
      <c r="T578" s="1">
        <v>9.48</v>
      </c>
      <c r="U578" s="1">
        <v>0.02</v>
      </c>
      <c r="V578" s="1">
        <v>3192.9</v>
      </c>
      <c r="W578" s="1">
        <v>15904.9</v>
      </c>
      <c r="X578" s="1">
        <v>0.26</v>
      </c>
      <c r="Y578" s="1">
        <v>571</v>
      </c>
      <c r="Z578" s="1">
        <v>100947.4</v>
      </c>
      <c r="AA578" s="1">
        <v>9.6199999999999992</v>
      </c>
      <c r="AB578" s="1">
        <v>2000</v>
      </c>
    </row>
    <row r="579" spans="1:28" x14ac:dyDescent="0.4">
      <c r="A579" s="1" t="s">
        <v>309</v>
      </c>
      <c r="B579" s="1">
        <v>2000</v>
      </c>
      <c r="C579" s="1">
        <v>0.2</v>
      </c>
      <c r="D579" s="1">
        <v>0.5</v>
      </c>
      <c r="E579" s="1">
        <v>500</v>
      </c>
      <c r="F579" s="1">
        <v>2</v>
      </c>
      <c r="G579" s="1">
        <v>3</v>
      </c>
      <c r="H579" s="1" t="s">
        <v>595</v>
      </c>
      <c r="I579" s="1">
        <v>105271.7</v>
      </c>
      <c r="J579" s="1">
        <v>43538.6</v>
      </c>
      <c r="K579" s="1">
        <v>61733.1</v>
      </c>
      <c r="L579" s="1">
        <v>600</v>
      </c>
      <c r="M579" s="1">
        <v>0.27</v>
      </c>
      <c r="N579" s="1">
        <v>33375.599999999999</v>
      </c>
      <c r="O579" s="1">
        <v>49158.8</v>
      </c>
      <c r="P579" s="1">
        <v>82534.399999999994</v>
      </c>
      <c r="Q579" s="1">
        <v>12048.1</v>
      </c>
      <c r="R579" s="1">
        <v>2953.2</v>
      </c>
      <c r="S579" s="1">
        <v>15001.3</v>
      </c>
      <c r="T579" s="1">
        <v>7.35</v>
      </c>
      <c r="U579" s="1">
        <v>0.02</v>
      </c>
      <c r="V579" s="1">
        <v>2819.9</v>
      </c>
      <c r="W579" s="1">
        <v>14868</v>
      </c>
      <c r="X579" s="1">
        <v>0.28000000000000003</v>
      </c>
      <c r="Y579" s="1">
        <v>541</v>
      </c>
      <c r="Z579" s="1">
        <v>97402.4</v>
      </c>
      <c r="AA579" s="1">
        <v>7.48</v>
      </c>
      <c r="AB579" s="1">
        <v>2000</v>
      </c>
    </row>
    <row r="580" spans="1:28" x14ac:dyDescent="0.4">
      <c r="A580" s="1" t="s">
        <v>310</v>
      </c>
      <c r="B580" s="1">
        <v>2000</v>
      </c>
      <c r="C580" s="1">
        <v>0.2</v>
      </c>
      <c r="D580" s="1">
        <v>0.5</v>
      </c>
      <c r="E580" s="1">
        <v>500</v>
      </c>
      <c r="F580" s="1">
        <v>2</v>
      </c>
      <c r="G580" s="1">
        <v>4</v>
      </c>
      <c r="H580" s="1" t="s">
        <v>595</v>
      </c>
      <c r="I580" s="1">
        <v>114285.5</v>
      </c>
      <c r="J580" s="1">
        <v>42781.8</v>
      </c>
      <c r="K580" s="1">
        <v>71503.7</v>
      </c>
      <c r="L580" s="1">
        <v>600</v>
      </c>
      <c r="M580" s="1">
        <v>0.28000000000000003</v>
      </c>
      <c r="N580" s="1">
        <v>35210.400000000001</v>
      </c>
      <c r="O580" s="1">
        <v>59757.2</v>
      </c>
      <c r="P580" s="1">
        <v>94967.6</v>
      </c>
      <c r="Q580" s="1">
        <v>8714</v>
      </c>
      <c r="R580" s="1">
        <v>2529.3000000000002</v>
      </c>
      <c r="S580" s="1">
        <v>11243.3</v>
      </c>
      <c r="T580" s="1">
        <v>7.07</v>
      </c>
      <c r="U580" s="1">
        <v>0.01</v>
      </c>
      <c r="V580" s="1">
        <v>2418.6999999999998</v>
      </c>
      <c r="W580" s="1">
        <v>11132.7</v>
      </c>
      <c r="X580" s="1">
        <v>0.28999999999999998</v>
      </c>
      <c r="Y580" s="1">
        <v>375</v>
      </c>
      <c r="Z580" s="1">
        <v>106100.3</v>
      </c>
      <c r="AA580" s="1">
        <v>7.16</v>
      </c>
      <c r="AB580" s="1">
        <v>2000</v>
      </c>
    </row>
    <row r="581" spans="1:28" x14ac:dyDescent="0.4">
      <c r="A581" s="1" t="s">
        <v>311</v>
      </c>
      <c r="B581" s="1">
        <v>2000</v>
      </c>
      <c r="C581" s="1">
        <v>0.2</v>
      </c>
      <c r="D581" s="1">
        <v>0.5</v>
      </c>
      <c r="E581" s="1">
        <v>500</v>
      </c>
      <c r="F581" s="1">
        <v>2</v>
      </c>
      <c r="G581" s="1">
        <v>5</v>
      </c>
      <c r="H581" s="1" t="s">
        <v>595</v>
      </c>
      <c r="I581" s="1">
        <v>111707.3</v>
      </c>
      <c r="J581" s="1">
        <v>45068.7</v>
      </c>
      <c r="K581" s="1">
        <v>66638.600000000006</v>
      </c>
      <c r="L581" s="1">
        <v>600</v>
      </c>
      <c r="M581" s="1">
        <v>0.26</v>
      </c>
      <c r="N581" s="1">
        <v>35030.300000000003</v>
      </c>
      <c r="O581" s="1">
        <v>52969.2</v>
      </c>
      <c r="P581" s="1">
        <v>87999.5</v>
      </c>
      <c r="Q581" s="1">
        <v>12082.3</v>
      </c>
      <c r="R581" s="1">
        <v>2978.2</v>
      </c>
      <c r="S581" s="1">
        <v>15060.5</v>
      </c>
      <c r="T581" s="1">
        <v>7.74</v>
      </c>
      <c r="U581" s="1">
        <v>0.02</v>
      </c>
      <c r="V581" s="1">
        <v>2870.8</v>
      </c>
      <c r="W581" s="1">
        <v>14953.1</v>
      </c>
      <c r="X581" s="1">
        <v>0.27</v>
      </c>
      <c r="Y581" s="1">
        <v>510</v>
      </c>
      <c r="Z581" s="1">
        <v>102952.6</v>
      </c>
      <c r="AA581" s="1">
        <v>7.84</v>
      </c>
      <c r="AB581" s="1">
        <v>2000</v>
      </c>
    </row>
    <row r="582" spans="1:28" x14ac:dyDescent="0.4">
      <c r="A582" s="1" t="s">
        <v>312</v>
      </c>
      <c r="B582" s="1">
        <v>2000</v>
      </c>
      <c r="C582" s="1">
        <v>0.2</v>
      </c>
      <c r="D582" s="1">
        <v>0.5</v>
      </c>
      <c r="E582" s="1">
        <v>500</v>
      </c>
      <c r="F582" s="1">
        <v>3</v>
      </c>
      <c r="G582" s="1">
        <v>1</v>
      </c>
      <c r="H582" s="1" t="s">
        <v>595</v>
      </c>
      <c r="I582" s="1">
        <v>138293.29999999999</v>
      </c>
      <c r="J582" s="1">
        <v>53910.1</v>
      </c>
      <c r="K582" s="1">
        <v>84383.2</v>
      </c>
      <c r="L582" s="1">
        <v>600</v>
      </c>
      <c r="M582" s="1">
        <v>0.36</v>
      </c>
      <c r="N582" s="1">
        <v>41331</v>
      </c>
      <c r="O582" s="1">
        <v>69039.899999999994</v>
      </c>
      <c r="P582" s="1">
        <v>110370.9</v>
      </c>
      <c r="Q582" s="1">
        <v>13241.7</v>
      </c>
      <c r="R582" s="1">
        <v>3495.1</v>
      </c>
      <c r="S582" s="1">
        <v>16736.8</v>
      </c>
      <c r="T582" s="1">
        <v>8.09</v>
      </c>
      <c r="U582" s="1">
        <v>0.03</v>
      </c>
      <c r="V582" s="1">
        <v>3342.6</v>
      </c>
      <c r="W582" s="1">
        <v>16584.3</v>
      </c>
      <c r="X582" s="1">
        <v>0.38</v>
      </c>
      <c r="Y582" s="1">
        <v>593</v>
      </c>
      <c r="Z582" s="1">
        <v>126955.2</v>
      </c>
      <c r="AA582" s="1">
        <v>8.1999999999999993</v>
      </c>
      <c r="AB582" s="1">
        <v>2000</v>
      </c>
    </row>
    <row r="583" spans="1:28" x14ac:dyDescent="0.4">
      <c r="A583" s="1" t="s">
        <v>313</v>
      </c>
      <c r="B583" s="1">
        <v>2000</v>
      </c>
      <c r="C583" s="1">
        <v>0.2</v>
      </c>
      <c r="D583" s="1">
        <v>0.5</v>
      </c>
      <c r="E583" s="1">
        <v>500</v>
      </c>
      <c r="F583" s="1">
        <v>3</v>
      </c>
      <c r="G583" s="1">
        <v>2</v>
      </c>
      <c r="H583" s="1" t="s">
        <v>595</v>
      </c>
      <c r="I583" s="1">
        <v>139556.20000000001</v>
      </c>
      <c r="J583" s="1">
        <v>57942.1</v>
      </c>
      <c r="K583" s="1">
        <v>81614.100000000006</v>
      </c>
      <c r="L583" s="1">
        <v>600</v>
      </c>
      <c r="M583" s="1">
        <v>0.37</v>
      </c>
      <c r="N583" s="1">
        <v>45357.9</v>
      </c>
      <c r="O583" s="1">
        <v>65475</v>
      </c>
      <c r="P583" s="1">
        <v>110832.9</v>
      </c>
      <c r="Q583" s="1">
        <v>13215</v>
      </c>
      <c r="R583" s="1">
        <v>3324.8</v>
      </c>
      <c r="S583" s="1">
        <v>16539.8</v>
      </c>
      <c r="T583" s="1">
        <v>8.73</v>
      </c>
      <c r="U583" s="1">
        <v>0.03</v>
      </c>
      <c r="V583" s="1">
        <v>3166.4</v>
      </c>
      <c r="W583" s="1">
        <v>16381.4</v>
      </c>
      <c r="X583" s="1">
        <v>0.4</v>
      </c>
      <c r="Y583" s="1">
        <v>600</v>
      </c>
      <c r="Z583" s="1">
        <v>127214.3</v>
      </c>
      <c r="AA583" s="1">
        <v>8.84</v>
      </c>
      <c r="AB583" s="1">
        <v>2000</v>
      </c>
    </row>
    <row r="584" spans="1:28" x14ac:dyDescent="0.4">
      <c r="A584" s="1" t="s">
        <v>314</v>
      </c>
      <c r="B584" s="1">
        <v>2000</v>
      </c>
      <c r="C584" s="1">
        <v>0.2</v>
      </c>
      <c r="D584" s="1">
        <v>0.5</v>
      </c>
      <c r="E584" s="1">
        <v>500</v>
      </c>
      <c r="F584" s="1">
        <v>3</v>
      </c>
      <c r="G584" s="1">
        <v>3</v>
      </c>
      <c r="H584" s="1" t="s">
        <v>595</v>
      </c>
      <c r="I584" s="1">
        <v>140624</v>
      </c>
      <c r="J584" s="1">
        <v>57347.7</v>
      </c>
      <c r="K584" s="1">
        <v>83276.3</v>
      </c>
      <c r="L584" s="1">
        <v>600</v>
      </c>
      <c r="M584" s="1">
        <v>0.38</v>
      </c>
      <c r="N584" s="1">
        <v>46334</v>
      </c>
      <c r="O584" s="1">
        <v>69037.7</v>
      </c>
      <c r="P584" s="1">
        <v>115371.7</v>
      </c>
      <c r="Q584" s="1">
        <v>11646</v>
      </c>
      <c r="R584" s="1">
        <v>3290.2</v>
      </c>
      <c r="S584" s="1">
        <v>14936.2</v>
      </c>
      <c r="T584" s="1">
        <v>7.34</v>
      </c>
      <c r="U584" s="1">
        <v>0.03</v>
      </c>
      <c r="V584" s="1">
        <v>3031</v>
      </c>
      <c r="W584" s="1">
        <v>14677</v>
      </c>
      <c r="X584" s="1">
        <v>0.41</v>
      </c>
      <c r="Y584" s="1">
        <v>558</v>
      </c>
      <c r="Z584" s="1">
        <v>130048.7</v>
      </c>
      <c r="AA584" s="1">
        <v>7.52</v>
      </c>
      <c r="AB584" s="1">
        <v>2000</v>
      </c>
    </row>
    <row r="585" spans="1:28" x14ac:dyDescent="0.4">
      <c r="A585" s="1" t="s">
        <v>315</v>
      </c>
      <c r="B585" s="1">
        <v>2000</v>
      </c>
      <c r="C585" s="1">
        <v>0.2</v>
      </c>
      <c r="D585" s="1">
        <v>0.5</v>
      </c>
      <c r="E585" s="1">
        <v>500</v>
      </c>
      <c r="F585" s="1">
        <v>3</v>
      </c>
      <c r="G585" s="1">
        <v>4</v>
      </c>
      <c r="H585" s="1" t="s">
        <v>595</v>
      </c>
      <c r="I585" s="1">
        <v>139265.5</v>
      </c>
      <c r="J585" s="1">
        <v>58904</v>
      </c>
      <c r="K585" s="1">
        <v>80361.5</v>
      </c>
      <c r="L585" s="1">
        <v>600</v>
      </c>
      <c r="M585" s="1">
        <v>0.37</v>
      </c>
      <c r="N585" s="1">
        <v>47305.5</v>
      </c>
      <c r="O585" s="1">
        <v>65902.100000000006</v>
      </c>
      <c r="P585" s="1">
        <v>113207.6</v>
      </c>
      <c r="Q585" s="1">
        <v>13194.3</v>
      </c>
      <c r="R585" s="1">
        <v>3750.4</v>
      </c>
      <c r="S585" s="1">
        <v>16944.7</v>
      </c>
      <c r="T585" s="1">
        <v>6.54</v>
      </c>
      <c r="U585" s="1">
        <v>0.03</v>
      </c>
      <c r="V585" s="1">
        <v>3515.5</v>
      </c>
      <c r="W585" s="1">
        <v>16709.8</v>
      </c>
      <c r="X585" s="1">
        <v>0.4</v>
      </c>
      <c r="Y585" s="1">
        <v>599</v>
      </c>
      <c r="Z585" s="1">
        <v>129917.4</v>
      </c>
      <c r="AA585" s="1">
        <v>6.71</v>
      </c>
      <c r="AB585" s="1">
        <v>2000</v>
      </c>
    </row>
    <row r="586" spans="1:28" x14ac:dyDescent="0.4">
      <c r="A586" s="1" t="s">
        <v>316</v>
      </c>
      <c r="B586" s="1">
        <v>2000</v>
      </c>
      <c r="C586" s="1">
        <v>0.2</v>
      </c>
      <c r="D586" s="1">
        <v>0.5</v>
      </c>
      <c r="E586" s="1">
        <v>500</v>
      </c>
      <c r="F586" s="1">
        <v>3</v>
      </c>
      <c r="G586" s="1">
        <v>5</v>
      </c>
      <c r="H586" s="1" t="s">
        <v>595</v>
      </c>
      <c r="I586" s="1">
        <v>150784.5</v>
      </c>
      <c r="J586" s="1">
        <v>62011.8</v>
      </c>
      <c r="K586" s="1">
        <v>88772.7</v>
      </c>
      <c r="L586" s="1">
        <v>600</v>
      </c>
      <c r="M586" s="1">
        <v>0.38</v>
      </c>
      <c r="N586" s="1">
        <v>50117.4</v>
      </c>
      <c r="O586" s="1">
        <v>74370.8</v>
      </c>
      <c r="P586" s="1">
        <v>124488.2</v>
      </c>
      <c r="Q586" s="1">
        <v>11141.3</v>
      </c>
      <c r="R586" s="1">
        <v>3256.9</v>
      </c>
      <c r="S586" s="1">
        <v>14398.2</v>
      </c>
      <c r="T586" s="1">
        <v>7.89</v>
      </c>
      <c r="U586" s="1">
        <v>0.03</v>
      </c>
      <c r="V586" s="1">
        <v>2991.8</v>
      </c>
      <c r="W586" s="1">
        <v>14133.1</v>
      </c>
      <c r="X586" s="1">
        <v>0.41</v>
      </c>
      <c r="Y586" s="1">
        <v>504</v>
      </c>
      <c r="Z586" s="1">
        <v>138621.29999999999</v>
      </c>
      <c r="AA586" s="1">
        <v>8.07</v>
      </c>
      <c r="AB586" s="1">
        <v>2000</v>
      </c>
    </row>
    <row r="587" spans="1:28" x14ac:dyDescent="0.4">
      <c r="A587" s="1" t="s">
        <v>30</v>
      </c>
      <c r="B587" s="1">
        <v>2000</v>
      </c>
      <c r="C587" s="1">
        <v>0.3</v>
      </c>
      <c r="D587" s="1">
        <v>0.5</v>
      </c>
      <c r="E587" s="1">
        <v>1000</v>
      </c>
      <c r="F587" s="1">
        <v>1</v>
      </c>
      <c r="G587" s="1">
        <v>1</v>
      </c>
      <c r="H587" s="1" t="s">
        <v>595</v>
      </c>
      <c r="I587" s="1">
        <v>143469.20000000001</v>
      </c>
      <c r="J587" s="1">
        <v>56871.8</v>
      </c>
      <c r="K587" s="1">
        <v>86597.4</v>
      </c>
      <c r="L587" s="1">
        <v>600</v>
      </c>
      <c r="M587" s="1">
        <v>0.19</v>
      </c>
      <c r="N587" s="1">
        <v>39418.400000000001</v>
      </c>
      <c r="O587" s="1">
        <v>63142.1</v>
      </c>
      <c r="P587" s="1">
        <v>102560.5</v>
      </c>
      <c r="Q587" s="1">
        <v>13508.4</v>
      </c>
      <c r="R587" s="1">
        <v>5038.3</v>
      </c>
      <c r="S587" s="1">
        <v>18546.7</v>
      </c>
      <c r="T587" s="1">
        <v>15.59</v>
      </c>
      <c r="U587" s="1">
        <v>0.06</v>
      </c>
      <c r="V587" s="1">
        <v>4806.1000000000004</v>
      </c>
      <c r="W587" s="1">
        <v>18314.5</v>
      </c>
      <c r="X587" s="1">
        <v>0.25</v>
      </c>
      <c r="Y587" s="1">
        <v>597</v>
      </c>
      <c r="Z587" s="1">
        <v>120875</v>
      </c>
      <c r="AA587" s="1">
        <v>15.75</v>
      </c>
      <c r="AB587" s="1">
        <v>2000</v>
      </c>
    </row>
    <row r="588" spans="1:28" x14ac:dyDescent="0.4">
      <c r="A588" s="1" t="s">
        <v>31</v>
      </c>
      <c r="B588" s="1">
        <v>2000</v>
      </c>
      <c r="C588" s="1">
        <v>0.3</v>
      </c>
      <c r="D588" s="1">
        <v>0.5</v>
      </c>
      <c r="E588" s="1">
        <v>1000</v>
      </c>
      <c r="F588" s="1">
        <v>1</v>
      </c>
      <c r="G588" s="1">
        <v>2</v>
      </c>
      <c r="H588" s="1" t="s">
        <v>595</v>
      </c>
      <c r="I588" s="1">
        <v>151717.5</v>
      </c>
      <c r="J588" s="1">
        <v>60829.1</v>
      </c>
      <c r="K588" s="1">
        <v>90888.4</v>
      </c>
      <c r="L588" s="1">
        <v>600</v>
      </c>
      <c r="M588" s="1">
        <v>0.24</v>
      </c>
      <c r="N588" s="1">
        <v>40464.800000000003</v>
      </c>
      <c r="O588" s="1">
        <v>64530.1</v>
      </c>
      <c r="P588" s="1">
        <v>104994.9</v>
      </c>
      <c r="Q588" s="1">
        <v>14119.4</v>
      </c>
      <c r="R588" s="1">
        <v>4799.8999999999996</v>
      </c>
      <c r="S588" s="1">
        <v>18919.3</v>
      </c>
      <c r="T588" s="1">
        <v>18.329999999999998</v>
      </c>
      <c r="U588" s="1">
        <v>0.04</v>
      </c>
      <c r="V588" s="1">
        <v>4629.7</v>
      </c>
      <c r="W588" s="1">
        <v>18749.099999999999</v>
      </c>
      <c r="X588" s="1">
        <v>0.28000000000000003</v>
      </c>
      <c r="Y588" s="1">
        <v>600</v>
      </c>
      <c r="Z588" s="1">
        <v>123744</v>
      </c>
      <c r="AA588" s="1">
        <v>18.440000000000001</v>
      </c>
      <c r="AB588" s="1">
        <v>2000</v>
      </c>
    </row>
    <row r="589" spans="1:28" x14ac:dyDescent="0.4">
      <c r="A589" s="1" t="s">
        <v>32</v>
      </c>
      <c r="B589" s="1">
        <v>2000</v>
      </c>
      <c r="C589" s="1">
        <v>0.3</v>
      </c>
      <c r="D589" s="1">
        <v>0.5</v>
      </c>
      <c r="E589" s="1">
        <v>1000</v>
      </c>
      <c r="F589" s="1">
        <v>1</v>
      </c>
      <c r="G589" s="1">
        <v>3</v>
      </c>
      <c r="H589" s="1" t="s">
        <v>595</v>
      </c>
      <c r="I589" s="1">
        <v>147202.29999999999</v>
      </c>
      <c r="J589" s="1">
        <v>59853.2</v>
      </c>
      <c r="K589" s="1">
        <v>87349.1</v>
      </c>
      <c r="L589" s="1">
        <v>600</v>
      </c>
      <c r="M589" s="1">
        <v>0.21</v>
      </c>
      <c r="N589" s="1">
        <v>41521.4</v>
      </c>
      <c r="O589" s="1">
        <v>62304.800000000003</v>
      </c>
      <c r="P589" s="1">
        <v>103826.2</v>
      </c>
      <c r="Q589" s="1">
        <v>12871.6</v>
      </c>
      <c r="R589" s="1">
        <v>4828</v>
      </c>
      <c r="S589" s="1">
        <v>17699.599999999999</v>
      </c>
      <c r="T589" s="1">
        <v>17.440000000000001</v>
      </c>
      <c r="U589" s="1">
        <v>0.05</v>
      </c>
      <c r="V589" s="1">
        <v>4534.3999999999996</v>
      </c>
      <c r="W589" s="1">
        <v>17406</v>
      </c>
      <c r="X589" s="1">
        <v>0.26</v>
      </c>
      <c r="Y589" s="1">
        <v>566</v>
      </c>
      <c r="Z589" s="1">
        <v>121232.2</v>
      </c>
      <c r="AA589" s="1">
        <v>17.64</v>
      </c>
      <c r="AB589" s="1">
        <v>2000</v>
      </c>
    </row>
    <row r="590" spans="1:28" x14ac:dyDescent="0.4">
      <c r="A590" s="1" t="s">
        <v>33</v>
      </c>
      <c r="B590" s="1">
        <v>2000</v>
      </c>
      <c r="C590" s="1">
        <v>0.3</v>
      </c>
      <c r="D590" s="1">
        <v>0.5</v>
      </c>
      <c r="E590" s="1">
        <v>1000</v>
      </c>
      <c r="F590" s="1">
        <v>1</v>
      </c>
      <c r="G590" s="1">
        <v>4</v>
      </c>
      <c r="H590" s="1" t="s">
        <v>595</v>
      </c>
      <c r="I590" s="1">
        <v>144352.9</v>
      </c>
      <c r="J590" s="1">
        <v>59480.4</v>
      </c>
      <c r="K590" s="1">
        <v>84872.5</v>
      </c>
      <c r="L590" s="1">
        <v>600</v>
      </c>
      <c r="M590" s="1">
        <v>0.2</v>
      </c>
      <c r="N590" s="1">
        <v>40382.9</v>
      </c>
      <c r="O590" s="1">
        <v>60364.2</v>
      </c>
      <c r="P590" s="1">
        <v>100747.1</v>
      </c>
      <c r="Q590" s="1">
        <v>13430.4</v>
      </c>
      <c r="R590" s="1">
        <v>5086.5</v>
      </c>
      <c r="S590" s="1">
        <v>18516.900000000001</v>
      </c>
      <c r="T590" s="1">
        <v>17.38</v>
      </c>
      <c r="U590" s="1">
        <v>0.06</v>
      </c>
      <c r="V590" s="1">
        <v>4883.2</v>
      </c>
      <c r="W590" s="1">
        <v>18313.599999999999</v>
      </c>
      <c r="X590" s="1">
        <v>0.26</v>
      </c>
      <c r="Y590" s="1">
        <v>570</v>
      </c>
      <c r="Z590" s="1">
        <v>119060.7</v>
      </c>
      <c r="AA590" s="1">
        <v>17.52</v>
      </c>
      <c r="AB590" s="1">
        <v>2000</v>
      </c>
    </row>
    <row r="591" spans="1:28" x14ac:dyDescent="0.4">
      <c r="A591" s="1" t="s">
        <v>34</v>
      </c>
      <c r="B591" s="1">
        <v>2000</v>
      </c>
      <c r="C591" s="1">
        <v>0.3</v>
      </c>
      <c r="D591" s="1">
        <v>0.5</v>
      </c>
      <c r="E591" s="1">
        <v>1000</v>
      </c>
      <c r="F591" s="1">
        <v>1</v>
      </c>
      <c r="G591" s="1">
        <v>5</v>
      </c>
      <c r="H591" s="1" t="s">
        <v>595</v>
      </c>
      <c r="I591" s="1">
        <v>148278.39999999999</v>
      </c>
      <c r="J591" s="1">
        <v>59478.6</v>
      </c>
      <c r="K591" s="1">
        <v>88799.8</v>
      </c>
      <c r="L591" s="1">
        <v>600</v>
      </c>
      <c r="M591" s="1">
        <v>0.19</v>
      </c>
      <c r="N591" s="1">
        <v>41633.800000000003</v>
      </c>
      <c r="O591" s="1">
        <v>64424.800000000003</v>
      </c>
      <c r="P591" s="1">
        <v>106058.6</v>
      </c>
      <c r="Q591" s="1">
        <v>12543.6</v>
      </c>
      <c r="R591" s="1">
        <v>4648.1000000000004</v>
      </c>
      <c r="S591" s="1">
        <v>17191.7</v>
      </c>
      <c r="T591" s="1">
        <v>16.88</v>
      </c>
      <c r="U591" s="1">
        <v>0.05</v>
      </c>
      <c r="V591" s="1">
        <v>4533.8</v>
      </c>
      <c r="W591" s="1">
        <v>17077.400000000001</v>
      </c>
      <c r="X591" s="1">
        <v>0.24</v>
      </c>
      <c r="Y591" s="1">
        <v>541</v>
      </c>
      <c r="Z591" s="1">
        <v>123136</v>
      </c>
      <c r="AA591" s="1">
        <v>16.96</v>
      </c>
      <c r="AB591" s="1">
        <v>2000</v>
      </c>
    </row>
    <row r="592" spans="1:28" x14ac:dyDescent="0.4">
      <c r="A592" s="1" t="s">
        <v>35</v>
      </c>
      <c r="B592" s="1">
        <v>2000</v>
      </c>
      <c r="C592" s="1">
        <v>0.3</v>
      </c>
      <c r="D592" s="1">
        <v>0.5</v>
      </c>
      <c r="E592" s="1">
        <v>1000</v>
      </c>
      <c r="F592" s="1">
        <v>2</v>
      </c>
      <c r="G592" s="1">
        <v>1</v>
      </c>
      <c r="H592" s="1" t="s">
        <v>595</v>
      </c>
      <c r="I592" s="1">
        <v>226019.20000000001</v>
      </c>
      <c r="J592" s="1">
        <v>89595.9</v>
      </c>
      <c r="K592" s="1">
        <v>136423.29999999999</v>
      </c>
      <c r="L592" s="1">
        <v>600</v>
      </c>
      <c r="M592" s="1">
        <v>0.33</v>
      </c>
      <c r="N592" s="1">
        <v>65176.4</v>
      </c>
      <c r="O592" s="1">
        <v>103869.5</v>
      </c>
      <c r="P592" s="1">
        <v>169045.9</v>
      </c>
      <c r="Q592" s="1">
        <v>13345</v>
      </c>
      <c r="R592" s="1">
        <v>5587.5</v>
      </c>
      <c r="S592" s="1">
        <v>18932.5</v>
      </c>
      <c r="T592" s="1">
        <v>16.829999999999998</v>
      </c>
      <c r="U592" s="1">
        <v>0.09</v>
      </c>
      <c r="V592" s="1">
        <v>5316</v>
      </c>
      <c r="W592" s="1">
        <v>18661</v>
      </c>
      <c r="X592" s="1">
        <v>0.42</v>
      </c>
      <c r="Y592" s="1">
        <v>582</v>
      </c>
      <c r="Z592" s="1">
        <v>187706.9</v>
      </c>
      <c r="AA592" s="1">
        <v>16.95</v>
      </c>
      <c r="AB592" s="1">
        <v>2000</v>
      </c>
    </row>
    <row r="593" spans="1:28" x14ac:dyDescent="0.4">
      <c r="A593" s="1" t="s">
        <v>36</v>
      </c>
      <c r="B593" s="1">
        <v>2000</v>
      </c>
      <c r="C593" s="1">
        <v>0.3</v>
      </c>
      <c r="D593" s="1">
        <v>0.5</v>
      </c>
      <c r="E593" s="1">
        <v>1000</v>
      </c>
      <c r="F593" s="1">
        <v>2</v>
      </c>
      <c r="G593" s="1">
        <v>2</v>
      </c>
      <c r="H593" s="1" t="s">
        <v>595</v>
      </c>
      <c r="I593" s="1">
        <v>220764</v>
      </c>
      <c r="J593" s="1">
        <v>89826.2</v>
      </c>
      <c r="K593" s="1">
        <v>130937.8</v>
      </c>
      <c r="L593" s="1">
        <v>600</v>
      </c>
      <c r="M593" s="1">
        <v>0.35</v>
      </c>
      <c r="N593" s="1">
        <v>65547.3</v>
      </c>
      <c r="O593" s="1">
        <v>100701.4</v>
      </c>
      <c r="P593" s="1">
        <v>166248.70000000001</v>
      </c>
      <c r="Q593" s="1">
        <v>13494.8</v>
      </c>
      <c r="R593" s="1">
        <v>5438.7</v>
      </c>
      <c r="S593" s="1">
        <v>18933.5</v>
      </c>
      <c r="T593" s="1">
        <v>16.12</v>
      </c>
      <c r="U593" s="1">
        <v>0.09</v>
      </c>
      <c r="V593" s="1">
        <v>5156.3999999999996</v>
      </c>
      <c r="W593" s="1">
        <v>18651.2</v>
      </c>
      <c r="X593" s="1">
        <v>0.44</v>
      </c>
      <c r="Y593" s="1">
        <v>600</v>
      </c>
      <c r="Z593" s="1">
        <v>184899.9</v>
      </c>
      <c r="AA593" s="1">
        <v>16.25</v>
      </c>
      <c r="AB593" s="1">
        <v>2000</v>
      </c>
    </row>
    <row r="594" spans="1:28" x14ac:dyDescent="0.4">
      <c r="A594" s="1" t="s">
        <v>37</v>
      </c>
      <c r="B594" s="1">
        <v>2000</v>
      </c>
      <c r="C594" s="1">
        <v>0.3</v>
      </c>
      <c r="D594" s="1">
        <v>0.5</v>
      </c>
      <c r="E594" s="1">
        <v>1000</v>
      </c>
      <c r="F594" s="1">
        <v>2</v>
      </c>
      <c r="G594" s="1">
        <v>3</v>
      </c>
      <c r="H594" s="1" t="s">
        <v>595</v>
      </c>
      <c r="I594" s="1">
        <v>224411.9</v>
      </c>
      <c r="J594" s="1">
        <v>89500.3</v>
      </c>
      <c r="K594" s="1">
        <v>134911.6</v>
      </c>
      <c r="L594" s="1">
        <v>600</v>
      </c>
      <c r="M594" s="1">
        <v>0.35</v>
      </c>
      <c r="N594" s="1">
        <v>66186.7</v>
      </c>
      <c r="O594" s="1">
        <v>103369.7</v>
      </c>
      <c r="P594" s="1">
        <v>169556.4</v>
      </c>
      <c r="Q594" s="1">
        <v>13760.6</v>
      </c>
      <c r="R594" s="1">
        <v>5324.2</v>
      </c>
      <c r="S594" s="1">
        <v>19084.8</v>
      </c>
      <c r="T594" s="1">
        <v>15.94</v>
      </c>
      <c r="U594" s="1">
        <v>0.09</v>
      </c>
      <c r="V594" s="1">
        <v>5142.7</v>
      </c>
      <c r="W594" s="1">
        <v>18903.3</v>
      </c>
      <c r="X594" s="1">
        <v>0.44</v>
      </c>
      <c r="Y594" s="1">
        <v>600</v>
      </c>
      <c r="Z594" s="1">
        <v>188459.7</v>
      </c>
      <c r="AA594" s="1">
        <v>16.02</v>
      </c>
      <c r="AB594" s="1">
        <v>2000</v>
      </c>
    </row>
    <row r="595" spans="1:28" x14ac:dyDescent="0.4">
      <c r="A595" s="1" t="s">
        <v>38</v>
      </c>
      <c r="B595" s="1">
        <v>2000</v>
      </c>
      <c r="C595" s="1">
        <v>0.3</v>
      </c>
      <c r="D595" s="1">
        <v>0.5</v>
      </c>
      <c r="E595" s="1">
        <v>1000</v>
      </c>
      <c r="F595" s="1">
        <v>2</v>
      </c>
      <c r="G595" s="1">
        <v>4</v>
      </c>
      <c r="H595" s="1" t="s">
        <v>595</v>
      </c>
      <c r="I595" s="1">
        <v>226364.1</v>
      </c>
      <c r="J595" s="1">
        <v>92915.3</v>
      </c>
      <c r="K595" s="1">
        <v>133448.79999999999</v>
      </c>
      <c r="L595" s="1">
        <v>600</v>
      </c>
      <c r="M595" s="1">
        <v>0.39</v>
      </c>
      <c r="N595" s="1">
        <v>68559.3</v>
      </c>
      <c r="O595" s="1">
        <v>104858.3</v>
      </c>
      <c r="P595" s="1">
        <v>173417.60000000001</v>
      </c>
      <c r="Q595" s="1">
        <v>13411.4</v>
      </c>
      <c r="R595" s="1">
        <v>5032.6000000000004</v>
      </c>
      <c r="S595" s="1">
        <v>18444</v>
      </c>
      <c r="T595" s="1">
        <v>15.24</v>
      </c>
      <c r="U595" s="1">
        <v>0.09</v>
      </c>
      <c r="V595" s="1">
        <v>4878.3999999999996</v>
      </c>
      <c r="W595" s="1">
        <v>18289.8</v>
      </c>
      <c r="X595" s="1">
        <v>0.48</v>
      </c>
      <c r="Y595" s="1">
        <v>597</v>
      </c>
      <c r="Z595" s="1">
        <v>191707.4</v>
      </c>
      <c r="AA595" s="1">
        <v>15.31</v>
      </c>
      <c r="AB595" s="1">
        <v>2000</v>
      </c>
    </row>
    <row r="596" spans="1:28" x14ac:dyDescent="0.4">
      <c r="A596" s="1" t="s">
        <v>39</v>
      </c>
      <c r="B596" s="1">
        <v>2000</v>
      </c>
      <c r="C596" s="1">
        <v>0.3</v>
      </c>
      <c r="D596" s="1">
        <v>0.5</v>
      </c>
      <c r="E596" s="1">
        <v>1000</v>
      </c>
      <c r="F596" s="1">
        <v>2</v>
      </c>
      <c r="G596" s="1">
        <v>5</v>
      </c>
      <c r="H596" s="1" t="s">
        <v>595</v>
      </c>
      <c r="I596" s="1">
        <v>223723.8</v>
      </c>
      <c r="J596" s="1">
        <v>88167.2</v>
      </c>
      <c r="K596" s="1">
        <v>135556.6</v>
      </c>
      <c r="L596" s="1">
        <v>600</v>
      </c>
      <c r="M596" s="1">
        <v>0.36</v>
      </c>
      <c r="N596" s="1">
        <v>65451.199999999997</v>
      </c>
      <c r="O596" s="1">
        <v>104412.8</v>
      </c>
      <c r="P596" s="1">
        <v>169864</v>
      </c>
      <c r="Q596" s="1">
        <v>12837.3</v>
      </c>
      <c r="R596" s="1">
        <v>5293.4</v>
      </c>
      <c r="S596" s="1">
        <v>18130.7</v>
      </c>
      <c r="T596" s="1">
        <v>15.97</v>
      </c>
      <c r="U596" s="1">
        <v>0.08</v>
      </c>
      <c r="V596" s="1">
        <v>5062.5</v>
      </c>
      <c r="W596" s="1">
        <v>17899.8</v>
      </c>
      <c r="X596" s="1">
        <v>0.45</v>
      </c>
      <c r="Y596" s="1">
        <v>584</v>
      </c>
      <c r="Z596" s="1">
        <v>187763.8</v>
      </c>
      <c r="AA596" s="1">
        <v>16.07</v>
      </c>
      <c r="AB596" s="1">
        <v>2000</v>
      </c>
    </row>
    <row r="597" spans="1:28" x14ac:dyDescent="0.4">
      <c r="A597" s="1" t="s">
        <v>40</v>
      </c>
      <c r="B597" s="1">
        <v>2000</v>
      </c>
      <c r="C597" s="1">
        <v>0.3</v>
      </c>
      <c r="D597" s="1">
        <v>0.5</v>
      </c>
      <c r="E597" s="1">
        <v>1000</v>
      </c>
      <c r="F597" s="1">
        <v>3</v>
      </c>
      <c r="G597" s="1">
        <v>1</v>
      </c>
      <c r="H597" s="1" t="s">
        <v>595</v>
      </c>
      <c r="I597" s="1">
        <v>288442.5</v>
      </c>
      <c r="J597" s="1">
        <v>113101.1</v>
      </c>
      <c r="K597" s="1">
        <v>175341.4</v>
      </c>
      <c r="L597" s="1">
        <v>600</v>
      </c>
      <c r="M597" s="1">
        <v>0.55000000000000004</v>
      </c>
      <c r="N597" s="1">
        <v>87421.7</v>
      </c>
      <c r="O597" s="1">
        <v>141340.1</v>
      </c>
      <c r="P597" s="1">
        <v>228761.8</v>
      </c>
      <c r="Q597" s="1">
        <v>13386.4</v>
      </c>
      <c r="R597" s="1">
        <v>5639</v>
      </c>
      <c r="S597" s="1">
        <v>19025.400000000001</v>
      </c>
      <c r="T597" s="1">
        <v>14.09</v>
      </c>
      <c r="U597" s="1">
        <v>0.11</v>
      </c>
      <c r="V597" s="1">
        <v>5431.8</v>
      </c>
      <c r="W597" s="1">
        <v>18818.2</v>
      </c>
      <c r="X597" s="1">
        <v>0.66</v>
      </c>
      <c r="Y597" s="1">
        <v>584</v>
      </c>
      <c r="Z597" s="1">
        <v>247580</v>
      </c>
      <c r="AA597" s="1">
        <v>14.17</v>
      </c>
      <c r="AB597" s="1">
        <v>2000</v>
      </c>
    </row>
    <row r="598" spans="1:28" x14ac:dyDescent="0.4">
      <c r="A598" s="1" t="s">
        <v>41</v>
      </c>
      <c r="B598" s="1">
        <v>2000</v>
      </c>
      <c r="C598" s="1">
        <v>0.3</v>
      </c>
      <c r="D598" s="1">
        <v>0.5</v>
      </c>
      <c r="E598" s="1">
        <v>1000</v>
      </c>
      <c r="F598" s="1">
        <v>3</v>
      </c>
      <c r="G598" s="1">
        <v>2</v>
      </c>
      <c r="H598" s="1" t="s">
        <v>595</v>
      </c>
      <c r="I598" s="1">
        <v>287701.09999999998</v>
      </c>
      <c r="J598" s="1">
        <v>113553.1</v>
      </c>
      <c r="K598" s="1">
        <v>174148</v>
      </c>
      <c r="L598" s="1">
        <v>600</v>
      </c>
      <c r="M598" s="1">
        <v>0.55000000000000004</v>
      </c>
      <c r="N598" s="1">
        <v>85784.5</v>
      </c>
      <c r="O598" s="1">
        <v>136258.5</v>
      </c>
      <c r="P598" s="1">
        <v>222043</v>
      </c>
      <c r="Q598" s="1">
        <v>12810.1</v>
      </c>
      <c r="R598" s="1">
        <v>5809.6</v>
      </c>
      <c r="S598" s="1">
        <v>18619.7</v>
      </c>
      <c r="T598" s="1">
        <v>16.350000000000001</v>
      </c>
      <c r="U598" s="1">
        <v>0.09</v>
      </c>
      <c r="V598" s="1">
        <v>5536.3</v>
      </c>
      <c r="W598" s="1">
        <v>18346.400000000001</v>
      </c>
      <c r="X598" s="1">
        <v>0.64</v>
      </c>
      <c r="Y598" s="1">
        <v>568</v>
      </c>
      <c r="Z598" s="1">
        <v>240389.4</v>
      </c>
      <c r="AA598" s="1">
        <v>16.440000000000001</v>
      </c>
      <c r="AB598" s="1">
        <v>2000</v>
      </c>
    </row>
    <row r="599" spans="1:28" x14ac:dyDescent="0.4">
      <c r="A599" s="1" t="s">
        <v>42</v>
      </c>
      <c r="B599" s="1">
        <v>2000</v>
      </c>
      <c r="C599" s="1">
        <v>0.3</v>
      </c>
      <c r="D599" s="1">
        <v>0.5</v>
      </c>
      <c r="E599" s="1">
        <v>1000</v>
      </c>
      <c r="F599" s="1">
        <v>3</v>
      </c>
      <c r="G599" s="1">
        <v>3</v>
      </c>
      <c r="H599" s="1" t="s">
        <v>595</v>
      </c>
      <c r="I599" s="1">
        <v>274857.09999999998</v>
      </c>
      <c r="J599" s="1">
        <v>108945.7</v>
      </c>
      <c r="K599" s="1">
        <v>165911.4</v>
      </c>
      <c r="L599" s="1">
        <v>600</v>
      </c>
      <c r="M599" s="1">
        <v>0.57999999999999996</v>
      </c>
      <c r="N599" s="1">
        <v>84109.1</v>
      </c>
      <c r="O599" s="1">
        <v>135181.20000000001</v>
      </c>
      <c r="P599" s="1">
        <v>219290.3</v>
      </c>
      <c r="Q599" s="1">
        <v>12599.4</v>
      </c>
      <c r="R599" s="1">
        <v>5336.4</v>
      </c>
      <c r="S599" s="1">
        <v>17935.8</v>
      </c>
      <c r="T599" s="1">
        <v>13.69</v>
      </c>
      <c r="U599" s="1">
        <v>0.1</v>
      </c>
      <c r="V599" s="1">
        <v>5164</v>
      </c>
      <c r="W599" s="1">
        <v>17763.400000000001</v>
      </c>
      <c r="X599" s="1">
        <v>0.67</v>
      </c>
      <c r="Y599" s="1">
        <v>572</v>
      </c>
      <c r="Z599" s="1">
        <v>237053.7</v>
      </c>
      <c r="AA599" s="1">
        <v>13.75</v>
      </c>
      <c r="AB599" s="1">
        <v>2000</v>
      </c>
    </row>
    <row r="600" spans="1:28" x14ac:dyDescent="0.4">
      <c r="A600" s="1" t="s">
        <v>43</v>
      </c>
      <c r="B600" s="1">
        <v>2000</v>
      </c>
      <c r="C600" s="1">
        <v>0.3</v>
      </c>
      <c r="D600" s="1">
        <v>0.5</v>
      </c>
      <c r="E600" s="1">
        <v>1000</v>
      </c>
      <c r="F600" s="1">
        <v>3</v>
      </c>
      <c r="G600" s="1">
        <v>4</v>
      </c>
      <c r="H600" s="1" t="s">
        <v>595</v>
      </c>
      <c r="I600" s="1">
        <v>292725.7</v>
      </c>
      <c r="J600" s="1">
        <v>118548.5</v>
      </c>
      <c r="K600" s="1">
        <v>174177.2</v>
      </c>
      <c r="L600" s="1">
        <v>600</v>
      </c>
      <c r="M600" s="1">
        <v>0.63</v>
      </c>
      <c r="N600" s="1">
        <v>92193.9</v>
      </c>
      <c r="O600" s="1">
        <v>139774.70000000001</v>
      </c>
      <c r="P600" s="1">
        <v>231968.6</v>
      </c>
      <c r="Q600" s="1">
        <v>12664.1</v>
      </c>
      <c r="R600" s="1">
        <v>5554</v>
      </c>
      <c r="S600" s="1">
        <v>18218.099999999999</v>
      </c>
      <c r="T600" s="1">
        <v>14.53</v>
      </c>
      <c r="U600" s="1">
        <v>0.1</v>
      </c>
      <c r="V600" s="1">
        <v>5301.6</v>
      </c>
      <c r="W600" s="1">
        <v>17965.7</v>
      </c>
      <c r="X600" s="1">
        <v>0.73</v>
      </c>
      <c r="Y600" s="1">
        <v>562</v>
      </c>
      <c r="Z600" s="1">
        <v>249934.3</v>
      </c>
      <c r="AA600" s="1">
        <v>14.62</v>
      </c>
      <c r="AB600" s="1">
        <v>2000</v>
      </c>
    </row>
    <row r="601" spans="1:28" x14ac:dyDescent="0.4">
      <c r="A601" s="1" t="s">
        <v>44</v>
      </c>
      <c r="B601" s="1">
        <v>2000</v>
      </c>
      <c r="C601" s="1">
        <v>0.3</v>
      </c>
      <c r="D601" s="1">
        <v>0.5</v>
      </c>
      <c r="E601" s="1">
        <v>1000</v>
      </c>
      <c r="F601" s="1">
        <v>3</v>
      </c>
      <c r="G601" s="1">
        <v>5</v>
      </c>
      <c r="H601" s="1" t="s">
        <v>595</v>
      </c>
      <c r="I601" s="1">
        <v>279635.3</v>
      </c>
      <c r="J601" s="1">
        <v>110407.9</v>
      </c>
      <c r="K601" s="1">
        <v>169227.4</v>
      </c>
      <c r="L601" s="1">
        <v>600</v>
      </c>
      <c r="M601" s="1">
        <v>0.54</v>
      </c>
      <c r="N601" s="1">
        <v>85522.6</v>
      </c>
      <c r="O601" s="1">
        <v>136808.79999999999</v>
      </c>
      <c r="P601" s="1">
        <v>222331.4</v>
      </c>
      <c r="Q601" s="1">
        <v>12729.9</v>
      </c>
      <c r="R601" s="1">
        <v>5482.8</v>
      </c>
      <c r="S601" s="1">
        <v>18212.7</v>
      </c>
      <c r="T601" s="1">
        <v>13.98</v>
      </c>
      <c r="U601" s="1">
        <v>0.11</v>
      </c>
      <c r="V601" s="1">
        <v>5308.8</v>
      </c>
      <c r="W601" s="1">
        <v>18038.7</v>
      </c>
      <c r="X601" s="1">
        <v>0.65</v>
      </c>
      <c r="Y601" s="1">
        <v>573</v>
      </c>
      <c r="Z601" s="1">
        <v>240370.1</v>
      </c>
      <c r="AA601" s="1">
        <v>14.04</v>
      </c>
      <c r="AB601" s="1">
        <v>2000</v>
      </c>
    </row>
    <row r="602" spans="1:28" x14ac:dyDescent="0.4">
      <c r="A602" s="1" t="s">
        <v>317</v>
      </c>
      <c r="B602" s="1">
        <v>2000</v>
      </c>
      <c r="C602" s="1">
        <v>0.3</v>
      </c>
      <c r="D602" s="1">
        <v>0.5</v>
      </c>
      <c r="E602" s="1">
        <v>2000</v>
      </c>
      <c r="F602" s="1">
        <v>1</v>
      </c>
      <c r="G602" s="1">
        <v>1</v>
      </c>
      <c r="H602" s="1" t="s">
        <v>595</v>
      </c>
      <c r="I602" s="1">
        <v>289583.90000000002</v>
      </c>
      <c r="J602" s="1">
        <v>121580.7</v>
      </c>
      <c r="K602" s="1">
        <v>168003.20000000001</v>
      </c>
      <c r="L602" s="1">
        <v>600</v>
      </c>
      <c r="M602" s="1">
        <v>0.31</v>
      </c>
      <c r="N602" s="1">
        <v>87788.4</v>
      </c>
      <c r="O602" s="1">
        <v>124285.1</v>
      </c>
      <c r="P602" s="1">
        <v>212073.5</v>
      </c>
      <c r="Q602" s="1">
        <v>13073.5</v>
      </c>
      <c r="R602" s="1">
        <v>5546.7</v>
      </c>
      <c r="S602" s="1">
        <v>18620.2</v>
      </c>
      <c r="T602" s="1">
        <v>20.34</v>
      </c>
      <c r="U602" s="1">
        <v>0.1</v>
      </c>
      <c r="V602" s="1">
        <v>5233.2</v>
      </c>
      <c r="W602" s="1">
        <v>18306.7</v>
      </c>
      <c r="X602" s="1">
        <v>0.41</v>
      </c>
      <c r="Y602" s="1">
        <v>575</v>
      </c>
      <c r="Z602" s="1">
        <v>230380.2</v>
      </c>
      <c r="AA602" s="1">
        <v>20.440000000000001</v>
      </c>
      <c r="AB602" s="1">
        <v>2000</v>
      </c>
    </row>
    <row r="603" spans="1:28" x14ac:dyDescent="0.4">
      <c r="A603" s="1" t="s">
        <v>318</v>
      </c>
      <c r="B603" s="1">
        <v>2000</v>
      </c>
      <c r="C603" s="1">
        <v>0.3</v>
      </c>
      <c r="D603" s="1">
        <v>0.5</v>
      </c>
      <c r="E603" s="1">
        <v>2000</v>
      </c>
      <c r="F603" s="1">
        <v>1</v>
      </c>
      <c r="G603" s="1">
        <v>2</v>
      </c>
      <c r="H603" s="1" t="s">
        <v>595</v>
      </c>
      <c r="I603" s="1">
        <v>300140.09999999998</v>
      </c>
      <c r="J603" s="1">
        <v>119249.7</v>
      </c>
      <c r="K603" s="1">
        <v>180890.4</v>
      </c>
      <c r="L603" s="1">
        <v>600</v>
      </c>
      <c r="M603" s="1">
        <v>0.28999999999999998</v>
      </c>
      <c r="N603" s="1">
        <v>83553.5</v>
      </c>
      <c r="O603" s="1">
        <v>132688.70000000001</v>
      </c>
      <c r="P603" s="1">
        <v>216242.2</v>
      </c>
      <c r="Q603" s="1">
        <v>13357.6</v>
      </c>
      <c r="R603" s="1">
        <v>5608.7</v>
      </c>
      <c r="S603" s="1">
        <v>18966.3</v>
      </c>
      <c r="T603" s="1">
        <v>21.63</v>
      </c>
      <c r="U603" s="1">
        <v>0.09</v>
      </c>
      <c r="V603" s="1">
        <v>5392.4</v>
      </c>
      <c r="W603" s="1">
        <v>18750</v>
      </c>
      <c r="X603" s="1">
        <v>0.38</v>
      </c>
      <c r="Y603" s="1">
        <v>596</v>
      </c>
      <c r="Z603" s="1">
        <v>234992.2</v>
      </c>
      <c r="AA603" s="1">
        <v>21.71</v>
      </c>
      <c r="AB603" s="1">
        <v>2000</v>
      </c>
    </row>
    <row r="604" spans="1:28" x14ac:dyDescent="0.4">
      <c r="A604" s="1" t="s">
        <v>319</v>
      </c>
      <c r="B604" s="1">
        <v>2000</v>
      </c>
      <c r="C604" s="1">
        <v>0.3</v>
      </c>
      <c r="D604" s="1">
        <v>0.5</v>
      </c>
      <c r="E604" s="1">
        <v>2000</v>
      </c>
      <c r="F604" s="1">
        <v>1</v>
      </c>
      <c r="G604" s="1">
        <v>3</v>
      </c>
      <c r="H604" s="1" t="s">
        <v>595</v>
      </c>
      <c r="I604" s="1">
        <v>290338.59999999998</v>
      </c>
      <c r="J604" s="1">
        <v>115863.1</v>
      </c>
      <c r="K604" s="1">
        <v>174475.5</v>
      </c>
      <c r="L604" s="1">
        <v>600</v>
      </c>
      <c r="M604" s="1">
        <v>0.28999999999999998</v>
      </c>
      <c r="N604" s="1">
        <v>84552.1</v>
      </c>
      <c r="O604" s="1">
        <v>131922.5</v>
      </c>
      <c r="P604" s="1">
        <v>216474.6</v>
      </c>
      <c r="Q604" s="1">
        <v>12621.8</v>
      </c>
      <c r="R604" s="1">
        <v>5555.5</v>
      </c>
      <c r="S604" s="1">
        <v>18177.3</v>
      </c>
      <c r="T604" s="1">
        <v>19.18</v>
      </c>
      <c r="U604" s="1">
        <v>0.08</v>
      </c>
      <c r="V604" s="1">
        <v>5266.6</v>
      </c>
      <c r="W604" s="1">
        <v>17888.400000000001</v>
      </c>
      <c r="X604" s="1">
        <v>0.37</v>
      </c>
      <c r="Y604" s="1">
        <v>580</v>
      </c>
      <c r="Z604" s="1">
        <v>234363</v>
      </c>
      <c r="AA604" s="1">
        <v>19.28</v>
      </c>
      <c r="AB604" s="1">
        <v>2000</v>
      </c>
    </row>
    <row r="605" spans="1:28" x14ac:dyDescent="0.4">
      <c r="A605" s="1" t="s">
        <v>320</v>
      </c>
      <c r="B605" s="1">
        <v>2000</v>
      </c>
      <c r="C605" s="1">
        <v>0.3</v>
      </c>
      <c r="D605" s="1">
        <v>0.5</v>
      </c>
      <c r="E605" s="1">
        <v>2000</v>
      </c>
      <c r="F605" s="1">
        <v>1</v>
      </c>
      <c r="G605" s="1">
        <v>4</v>
      </c>
      <c r="H605" s="1" t="s">
        <v>595</v>
      </c>
      <c r="I605" s="1">
        <v>295767.40000000002</v>
      </c>
      <c r="J605" s="1">
        <v>117585.9</v>
      </c>
      <c r="K605" s="1">
        <v>178181.5</v>
      </c>
      <c r="L605" s="1">
        <v>600</v>
      </c>
      <c r="M605" s="1">
        <v>0.28999999999999998</v>
      </c>
      <c r="N605" s="1">
        <v>85262.1</v>
      </c>
      <c r="O605" s="1">
        <v>133374.1</v>
      </c>
      <c r="P605" s="1">
        <v>218636.2</v>
      </c>
      <c r="Q605" s="1">
        <v>13068.1</v>
      </c>
      <c r="R605" s="1">
        <v>5406.4</v>
      </c>
      <c r="S605" s="1">
        <v>18474.5</v>
      </c>
      <c r="T605" s="1">
        <v>19.829999999999998</v>
      </c>
      <c r="U605" s="1">
        <v>0.08</v>
      </c>
      <c r="V605" s="1">
        <v>5100.5</v>
      </c>
      <c r="W605" s="1">
        <v>18168.599999999999</v>
      </c>
      <c r="X605" s="1">
        <v>0.37</v>
      </c>
      <c r="Y605" s="1">
        <v>580</v>
      </c>
      <c r="Z605" s="1">
        <v>236804.8</v>
      </c>
      <c r="AA605" s="1">
        <v>19.940000000000001</v>
      </c>
      <c r="AB605" s="1">
        <v>2000</v>
      </c>
    </row>
    <row r="606" spans="1:28" x14ac:dyDescent="0.4">
      <c r="A606" s="1" t="s">
        <v>321</v>
      </c>
      <c r="B606" s="1">
        <v>2000</v>
      </c>
      <c r="C606" s="1">
        <v>0.3</v>
      </c>
      <c r="D606" s="1">
        <v>0.5</v>
      </c>
      <c r="E606" s="1">
        <v>2000</v>
      </c>
      <c r="F606" s="1">
        <v>1</v>
      </c>
      <c r="G606" s="1">
        <v>5</v>
      </c>
      <c r="H606" s="1" t="s">
        <v>595</v>
      </c>
      <c r="I606" s="1">
        <v>304712</v>
      </c>
      <c r="J606" s="1">
        <v>117046.9</v>
      </c>
      <c r="K606" s="1">
        <v>187665.1</v>
      </c>
      <c r="L606" s="1">
        <v>600</v>
      </c>
      <c r="M606" s="1">
        <v>0.3</v>
      </c>
      <c r="N606" s="1">
        <v>83572.899999999994</v>
      </c>
      <c r="O606" s="1">
        <v>140695.20000000001</v>
      </c>
      <c r="P606" s="1">
        <v>224268.1</v>
      </c>
      <c r="Q606" s="1">
        <v>13380.6</v>
      </c>
      <c r="R606" s="1">
        <v>5486.4</v>
      </c>
      <c r="S606" s="1">
        <v>18867</v>
      </c>
      <c r="T606" s="1">
        <v>20.21</v>
      </c>
      <c r="U606" s="1">
        <v>0.09</v>
      </c>
      <c r="V606" s="1">
        <v>5170</v>
      </c>
      <c r="W606" s="1">
        <v>18550.599999999999</v>
      </c>
      <c r="X606" s="1">
        <v>0.39</v>
      </c>
      <c r="Y606" s="1">
        <v>597</v>
      </c>
      <c r="Z606" s="1">
        <v>242818.7</v>
      </c>
      <c r="AA606" s="1">
        <v>20.309999999999999</v>
      </c>
      <c r="AB606" s="1">
        <v>2000</v>
      </c>
    </row>
    <row r="607" spans="1:28" x14ac:dyDescent="0.4">
      <c r="A607" s="1" t="s">
        <v>322</v>
      </c>
      <c r="B607" s="1">
        <v>2000</v>
      </c>
      <c r="C607" s="1">
        <v>0.3</v>
      </c>
      <c r="D607" s="1">
        <v>0.5</v>
      </c>
      <c r="E607" s="1">
        <v>2000</v>
      </c>
      <c r="F607" s="1">
        <v>2</v>
      </c>
      <c r="G607" s="1">
        <v>1</v>
      </c>
      <c r="H607" s="1" t="s">
        <v>595</v>
      </c>
      <c r="I607" s="1">
        <v>439539.6</v>
      </c>
      <c r="J607" s="1">
        <v>174410.9</v>
      </c>
      <c r="K607" s="1">
        <v>265128.7</v>
      </c>
      <c r="L607" s="1">
        <v>600</v>
      </c>
      <c r="M607" s="1">
        <v>0.65</v>
      </c>
      <c r="N607" s="1">
        <v>131131.6</v>
      </c>
      <c r="O607" s="1">
        <v>206013.9</v>
      </c>
      <c r="P607" s="1">
        <v>337145.5</v>
      </c>
      <c r="Q607" s="1">
        <v>12547.4</v>
      </c>
      <c r="R607" s="1">
        <v>5594</v>
      </c>
      <c r="S607" s="1">
        <v>18141.400000000001</v>
      </c>
      <c r="T607" s="1">
        <v>19.170000000000002</v>
      </c>
      <c r="U607" s="1">
        <v>0.1</v>
      </c>
      <c r="V607" s="1">
        <v>5319.8</v>
      </c>
      <c r="W607" s="1">
        <v>17867.2</v>
      </c>
      <c r="X607" s="1">
        <v>0.75</v>
      </c>
      <c r="Y607" s="1">
        <v>568</v>
      </c>
      <c r="Z607" s="1">
        <v>355012.7</v>
      </c>
      <c r="AA607" s="1">
        <v>19.23</v>
      </c>
      <c r="AB607" s="1">
        <v>2000</v>
      </c>
    </row>
    <row r="608" spans="1:28" x14ac:dyDescent="0.4">
      <c r="A608" s="1" t="s">
        <v>323</v>
      </c>
      <c r="B608" s="1">
        <v>2000</v>
      </c>
      <c r="C608" s="1">
        <v>0.3</v>
      </c>
      <c r="D608" s="1">
        <v>0.5</v>
      </c>
      <c r="E608" s="1">
        <v>2000</v>
      </c>
      <c r="F608" s="1">
        <v>2</v>
      </c>
      <c r="G608" s="1">
        <v>2</v>
      </c>
      <c r="H608" s="1" t="s">
        <v>595</v>
      </c>
      <c r="I608" s="1">
        <v>439572.5</v>
      </c>
      <c r="J608" s="1">
        <v>169352</v>
      </c>
      <c r="K608" s="1">
        <v>270220.5</v>
      </c>
      <c r="L608" s="1">
        <v>600</v>
      </c>
      <c r="M608" s="1">
        <v>0.66</v>
      </c>
      <c r="N608" s="1">
        <v>126030.8</v>
      </c>
      <c r="O608" s="1">
        <v>215293.6</v>
      </c>
      <c r="P608" s="1">
        <v>341324.4</v>
      </c>
      <c r="Q608" s="1">
        <v>13075.8</v>
      </c>
      <c r="R608" s="1">
        <v>5915</v>
      </c>
      <c r="S608" s="1">
        <v>18990.8</v>
      </c>
      <c r="T608" s="1">
        <v>18.03</v>
      </c>
      <c r="U608" s="1">
        <v>0.12</v>
      </c>
      <c r="V608" s="1">
        <v>5608.1</v>
      </c>
      <c r="W608" s="1">
        <v>18683.900000000001</v>
      </c>
      <c r="X608" s="1">
        <v>0.79</v>
      </c>
      <c r="Y608" s="1">
        <v>583</v>
      </c>
      <c r="Z608" s="1">
        <v>360008.3</v>
      </c>
      <c r="AA608" s="1">
        <v>18.100000000000001</v>
      </c>
      <c r="AB608" s="1">
        <v>2000</v>
      </c>
    </row>
    <row r="609" spans="1:28" x14ac:dyDescent="0.4">
      <c r="A609" s="1" t="s">
        <v>324</v>
      </c>
      <c r="B609" s="1">
        <v>2000</v>
      </c>
      <c r="C609" s="1">
        <v>0.3</v>
      </c>
      <c r="D609" s="1">
        <v>0.5</v>
      </c>
      <c r="E609" s="1">
        <v>2000</v>
      </c>
      <c r="F609" s="1">
        <v>2</v>
      </c>
      <c r="G609" s="1">
        <v>3</v>
      </c>
      <c r="H609" s="1" t="s">
        <v>595</v>
      </c>
      <c r="I609" s="1">
        <v>444091.5</v>
      </c>
      <c r="J609" s="1">
        <v>175675.5</v>
      </c>
      <c r="K609" s="1">
        <v>268416</v>
      </c>
      <c r="L609" s="1">
        <v>600</v>
      </c>
      <c r="M609" s="1">
        <v>0.68</v>
      </c>
      <c r="N609" s="1">
        <v>134632.6</v>
      </c>
      <c r="O609" s="1">
        <v>211876.9</v>
      </c>
      <c r="P609" s="1">
        <v>346509.5</v>
      </c>
      <c r="Q609" s="1">
        <v>12121.4</v>
      </c>
      <c r="R609" s="1">
        <v>5583.6</v>
      </c>
      <c r="S609" s="1">
        <v>17705</v>
      </c>
      <c r="T609" s="1">
        <v>17.989999999999998</v>
      </c>
      <c r="U609" s="1">
        <v>0.11</v>
      </c>
      <c r="V609" s="1">
        <v>5260.5</v>
      </c>
      <c r="W609" s="1">
        <v>17381.900000000001</v>
      </c>
      <c r="X609" s="1">
        <v>0.79</v>
      </c>
      <c r="Y609" s="1">
        <v>554</v>
      </c>
      <c r="Z609" s="1">
        <v>363891.4</v>
      </c>
      <c r="AA609" s="1">
        <v>18.059999999999999</v>
      </c>
      <c r="AB609" s="1">
        <v>2000</v>
      </c>
    </row>
    <row r="610" spans="1:28" x14ac:dyDescent="0.4">
      <c r="A610" s="1" t="s">
        <v>325</v>
      </c>
      <c r="B610" s="1">
        <v>2000</v>
      </c>
      <c r="C610" s="1">
        <v>0.3</v>
      </c>
      <c r="D610" s="1">
        <v>0.5</v>
      </c>
      <c r="E610" s="1">
        <v>2000</v>
      </c>
      <c r="F610" s="1">
        <v>2</v>
      </c>
      <c r="G610" s="1">
        <v>4</v>
      </c>
      <c r="H610" s="1" t="s">
        <v>595</v>
      </c>
      <c r="I610" s="1">
        <v>443193.7</v>
      </c>
      <c r="J610" s="1">
        <v>177975.9</v>
      </c>
      <c r="K610" s="1">
        <v>265217.8</v>
      </c>
      <c r="L610" s="1">
        <v>600</v>
      </c>
      <c r="M610" s="1">
        <v>0.7</v>
      </c>
      <c r="N610" s="1">
        <v>135165.9</v>
      </c>
      <c r="O610" s="1">
        <v>208382.1</v>
      </c>
      <c r="P610" s="1">
        <v>343548</v>
      </c>
      <c r="Q610" s="1">
        <v>12403.6</v>
      </c>
      <c r="R610" s="1">
        <v>5550.2</v>
      </c>
      <c r="S610" s="1">
        <v>17953.8</v>
      </c>
      <c r="T610" s="1">
        <v>18.43</v>
      </c>
      <c r="U610" s="1">
        <v>0.12</v>
      </c>
      <c r="V610" s="1">
        <v>5273</v>
      </c>
      <c r="W610" s="1">
        <v>17676.599999999999</v>
      </c>
      <c r="X610" s="1">
        <v>0.81</v>
      </c>
      <c r="Y610" s="1">
        <v>568</v>
      </c>
      <c r="Z610" s="1">
        <v>361224.6</v>
      </c>
      <c r="AA610" s="1">
        <v>18.5</v>
      </c>
      <c r="AB610" s="1">
        <v>2000</v>
      </c>
    </row>
    <row r="611" spans="1:28" x14ac:dyDescent="0.4">
      <c r="A611" s="1" t="s">
        <v>326</v>
      </c>
      <c r="B611" s="1">
        <v>2000</v>
      </c>
      <c r="C611" s="1">
        <v>0.3</v>
      </c>
      <c r="D611" s="1">
        <v>0.5</v>
      </c>
      <c r="E611" s="1">
        <v>2000</v>
      </c>
      <c r="F611" s="1">
        <v>2</v>
      </c>
      <c r="G611" s="1">
        <v>5</v>
      </c>
      <c r="H611" s="1" t="s">
        <v>595</v>
      </c>
      <c r="I611" s="1">
        <v>463838.9</v>
      </c>
      <c r="J611" s="1">
        <v>182621.5</v>
      </c>
      <c r="K611" s="1">
        <v>281217.40000000002</v>
      </c>
      <c r="L611" s="1">
        <v>600</v>
      </c>
      <c r="M611" s="1">
        <v>0.76</v>
      </c>
      <c r="N611" s="1">
        <v>136855.29999999999</v>
      </c>
      <c r="O611" s="1">
        <v>220849.7</v>
      </c>
      <c r="P611" s="1">
        <v>357705</v>
      </c>
      <c r="Q611" s="1">
        <v>12566.8</v>
      </c>
      <c r="R611" s="1">
        <v>5873.6</v>
      </c>
      <c r="S611" s="1">
        <v>18440.400000000001</v>
      </c>
      <c r="T611" s="1">
        <v>18.91</v>
      </c>
      <c r="U611" s="1">
        <v>0.16</v>
      </c>
      <c r="V611" s="1">
        <v>5508</v>
      </c>
      <c r="W611" s="1">
        <v>18074.8</v>
      </c>
      <c r="X611" s="1">
        <v>0.91</v>
      </c>
      <c r="Y611" s="1">
        <v>556</v>
      </c>
      <c r="Z611" s="1">
        <v>375779.8</v>
      </c>
      <c r="AA611" s="1">
        <v>18.98</v>
      </c>
      <c r="AB611" s="1">
        <v>2000</v>
      </c>
    </row>
    <row r="612" spans="1:28" x14ac:dyDescent="0.4">
      <c r="A612" s="1" t="s">
        <v>327</v>
      </c>
      <c r="B612" s="1">
        <v>2000</v>
      </c>
      <c r="C612" s="1">
        <v>0.3</v>
      </c>
      <c r="D612" s="1">
        <v>0.5</v>
      </c>
      <c r="E612" s="1">
        <v>2000</v>
      </c>
      <c r="F612" s="1">
        <v>3</v>
      </c>
      <c r="G612" s="1">
        <v>1</v>
      </c>
      <c r="H612" s="1" t="s">
        <v>595</v>
      </c>
      <c r="I612" s="1">
        <v>556141.4</v>
      </c>
      <c r="J612" s="1">
        <v>221894.1</v>
      </c>
      <c r="K612" s="1">
        <v>334247.3</v>
      </c>
      <c r="L612" s="1">
        <v>600</v>
      </c>
      <c r="M612" s="1">
        <v>1.1000000000000001</v>
      </c>
      <c r="N612" s="1">
        <v>171057.9</v>
      </c>
      <c r="O612" s="1">
        <v>271255.7</v>
      </c>
      <c r="P612" s="1">
        <v>442313.6</v>
      </c>
      <c r="Q612" s="1">
        <v>12500.2</v>
      </c>
      <c r="R612" s="1">
        <v>5904.3</v>
      </c>
      <c r="S612" s="1">
        <v>18404.5</v>
      </c>
      <c r="T612" s="1">
        <v>17.16</v>
      </c>
      <c r="U612" s="1">
        <v>0.16</v>
      </c>
      <c r="V612" s="1">
        <v>5704.3</v>
      </c>
      <c r="W612" s="1">
        <v>18204.5</v>
      </c>
      <c r="X612" s="1">
        <v>1.25</v>
      </c>
      <c r="Y612" s="1">
        <v>554</v>
      </c>
      <c r="Z612" s="1">
        <v>460518.1</v>
      </c>
      <c r="AA612" s="1">
        <v>17.190000000000001</v>
      </c>
      <c r="AB612" s="1">
        <v>2000</v>
      </c>
    </row>
    <row r="613" spans="1:28" x14ac:dyDescent="0.4">
      <c r="A613" s="1" t="s">
        <v>328</v>
      </c>
      <c r="B613" s="1">
        <v>2000</v>
      </c>
      <c r="C613" s="1">
        <v>0.3</v>
      </c>
      <c r="D613" s="1">
        <v>0.5</v>
      </c>
      <c r="E613" s="1">
        <v>2000</v>
      </c>
      <c r="F613" s="1">
        <v>3</v>
      </c>
      <c r="G613" s="1">
        <v>2</v>
      </c>
      <c r="H613" s="1" t="s">
        <v>595</v>
      </c>
      <c r="I613" s="1">
        <v>560257</v>
      </c>
      <c r="J613" s="1">
        <v>221512.4</v>
      </c>
      <c r="K613" s="1">
        <v>338744.6</v>
      </c>
      <c r="L613" s="1">
        <v>600</v>
      </c>
      <c r="M613" s="1">
        <v>1.2</v>
      </c>
      <c r="N613" s="1">
        <v>174446.7</v>
      </c>
      <c r="O613" s="1">
        <v>275239.90000000002</v>
      </c>
      <c r="P613" s="1">
        <v>449686.6</v>
      </c>
      <c r="Q613" s="1">
        <v>12134</v>
      </c>
      <c r="R613" s="1">
        <v>5884.9</v>
      </c>
      <c r="S613" s="1">
        <v>18018.900000000001</v>
      </c>
      <c r="T613" s="1">
        <v>16.52</v>
      </c>
      <c r="U613" s="1">
        <v>0.13</v>
      </c>
      <c r="V613" s="1">
        <v>5663.8</v>
      </c>
      <c r="W613" s="1">
        <v>17797.8</v>
      </c>
      <c r="X613" s="1">
        <v>1.33</v>
      </c>
      <c r="Y613" s="1">
        <v>560</v>
      </c>
      <c r="Z613" s="1">
        <v>467484.4</v>
      </c>
      <c r="AA613" s="1">
        <v>16.559999999999999</v>
      </c>
      <c r="AB613" s="1">
        <v>2000</v>
      </c>
    </row>
    <row r="614" spans="1:28" x14ac:dyDescent="0.4">
      <c r="A614" s="1" t="s">
        <v>329</v>
      </c>
      <c r="B614" s="1">
        <v>2000</v>
      </c>
      <c r="C614" s="1">
        <v>0.3</v>
      </c>
      <c r="D614" s="1">
        <v>0.5</v>
      </c>
      <c r="E614" s="1">
        <v>2000</v>
      </c>
      <c r="F614" s="1">
        <v>3</v>
      </c>
      <c r="G614" s="1">
        <v>3</v>
      </c>
      <c r="H614" s="1" t="s">
        <v>595</v>
      </c>
      <c r="I614" s="1">
        <v>568524.9</v>
      </c>
      <c r="J614" s="1">
        <v>227982.2</v>
      </c>
      <c r="K614" s="1">
        <v>340542.7</v>
      </c>
      <c r="L614" s="1">
        <v>600</v>
      </c>
      <c r="M614" s="1">
        <v>1.2</v>
      </c>
      <c r="N614" s="1">
        <v>174731.3</v>
      </c>
      <c r="O614" s="1">
        <v>276430.09999999998</v>
      </c>
      <c r="P614" s="1">
        <v>451161.4</v>
      </c>
      <c r="Q614" s="1">
        <v>12645</v>
      </c>
      <c r="R614" s="1">
        <v>5796.9</v>
      </c>
      <c r="S614" s="1">
        <v>18441.900000000001</v>
      </c>
      <c r="T614" s="1">
        <v>17.399999999999999</v>
      </c>
      <c r="U614" s="1">
        <v>0.12</v>
      </c>
      <c r="V614" s="1">
        <v>5609.6</v>
      </c>
      <c r="W614" s="1">
        <v>18254.599999999999</v>
      </c>
      <c r="X614" s="1">
        <v>1.33</v>
      </c>
      <c r="Y614" s="1">
        <v>558</v>
      </c>
      <c r="Z614" s="1">
        <v>469416</v>
      </c>
      <c r="AA614" s="1">
        <v>17.43</v>
      </c>
      <c r="AB614" s="1">
        <v>2000</v>
      </c>
    </row>
    <row r="615" spans="1:28" x14ac:dyDescent="0.4">
      <c r="A615" s="1" t="s">
        <v>330</v>
      </c>
      <c r="B615" s="1">
        <v>2000</v>
      </c>
      <c r="C615" s="1">
        <v>0.3</v>
      </c>
      <c r="D615" s="1">
        <v>0.5</v>
      </c>
      <c r="E615" s="1">
        <v>2000</v>
      </c>
      <c r="F615" s="1">
        <v>3</v>
      </c>
      <c r="G615" s="1">
        <v>4</v>
      </c>
      <c r="H615" s="1" t="s">
        <v>595</v>
      </c>
      <c r="I615" s="1">
        <v>572096.9</v>
      </c>
      <c r="J615" s="1">
        <v>227950.6</v>
      </c>
      <c r="K615" s="1">
        <v>344146.3</v>
      </c>
      <c r="L615" s="1">
        <v>600</v>
      </c>
      <c r="M615" s="1">
        <v>1.31</v>
      </c>
      <c r="N615" s="1">
        <v>178561.5</v>
      </c>
      <c r="O615" s="1">
        <v>281038.8</v>
      </c>
      <c r="P615" s="1">
        <v>459600.3</v>
      </c>
      <c r="Q615" s="1">
        <v>11978.7</v>
      </c>
      <c r="R615" s="1">
        <v>5939</v>
      </c>
      <c r="S615" s="1">
        <v>17917.7</v>
      </c>
      <c r="T615" s="1">
        <v>16.53</v>
      </c>
      <c r="U615" s="1">
        <v>0.13</v>
      </c>
      <c r="V615" s="1">
        <v>5539.9</v>
      </c>
      <c r="W615" s="1">
        <v>17518.599999999999</v>
      </c>
      <c r="X615" s="1">
        <v>1.44</v>
      </c>
      <c r="Y615" s="1">
        <v>549</v>
      </c>
      <c r="Z615" s="1">
        <v>477118.9</v>
      </c>
      <c r="AA615" s="1">
        <v>16.600000000000001</v>
      </c>
      <c r="AB615" s="1">
        <v>2000</v>
      </c>
    </row>
    <row r="616" spans="1:28" x14ac:dyDescent="0.4">
      <c r="A616" s="1" t="s">
        <v>331</v>
      </c>
      <c r="B616" s="1">
        <v>2000</v>
      </c>
      <c r="C616" s="1">
        <v>0.3</v>
      </c>
      <c r="D616" s="1">
        <v>0.5</v>
      </c>
      <c r="E616" s="1">
        <v>2000</v>
      </c>
      <c r="F616" s="1">
        <v>3</v>
      </c>
      <c r="G616" s="1">
        <v>5</v>
      </c>
      <c r="H616" s="1" t="s">
        <v>595</v>
      </c>
      <c r="I616" s="1">
        <v>563961.5</v>
      </c>
      <c r="J616" s="1">
        <v>224204.2</v>
      </c>
      <c r="K616" s="1">
        <v>339757.3</v>
      </c>
      <c r="L616" s="1">
        <v>600</v>
      </c>
      <c r="M616" s="1">
        <v>1.21</v>
      </c>
      <c r="N616" s="1">
        <v>176129.2</v>
      </c>
      <c r="O616" s="1">
        <v>277531</v>
      </c>
      <c r="P616" s="1">
        <v>453660.2</v>
      </c>
      <c r="Q616" s="1">
        <v>12678.2</v>
      </c>
      <c r="R616" s="1">
        <v>5749.9</v>
      </c>
      <c r="S616" s="1">
        <v>18428.099999999999</v>
      </c>
      <c r="T616" s="1">
        <v>16.29</v>
      </c>
      <c r="U616" s="1">
        <v>0.12</v>
      </c>
      <c r="V616" s="1">
        <v>5589.7</v>
      </c>
      <c r="W616" s="1">
        <v>18267.900000000001</v>
      </c>
      <c r="X616" s="1">
        <v>1.33</v>
      </c>
      <c r="Y616" s="1">
        <v>576</v>
      </c>
      <c r="Z616" s="1">
        <v>471928.1</v>
      </c>
      <c r="AA616" s="1">
        <v>16.32</v>
      </c>
      <c r="AB616" s="1">
        <v>2000</v>
      </c>
    </row>
    <row r="617" spans="1:28" x14ac:dyDescent="0.4">
      <c r="A617" s="1" t="s">
        <v>332</v>
      </c>
      <c r="B617" s="1">
        <v>2000</v>
      </c>
      <c r="C617" s="1">
        <v>0.3</v>
      </c>
      <c r="D617" s="1">
        <v>0.5</v>
      </c>
      <c r="E617" s="1">
        <v>500</v>
      </c>
      <c r="F617" s="1">
        <v>1</v>
      </c>
      <c r="G617" s="1">
        <v>1</v>
      </c>
      <c r="H617" s="1" t="s">
        <v>595</v>
      </c>
      <c r="I617" s="1">
        <v>74756.5</v>
      </c>
      <c r="J617" s="1">
        <v>30616.9</v>
      </c>
      <c r="K617" s="1">
        <v>44139.6</v>
      </c>
      <c r="L617" s="1">
        <v>600</v>
      </c>
      <c r="M617" s="1">
        <v>0.19</v>
      </c>
      <c r="N617" s="1">
        <v>22196.9</v>
      </c>
      <c r="O617" s="1">
        <v>32954.699999999997</v>
      </c>
      <c r="P617" s="1">
        <v>55151.6</v>
      </c>
      <c r="Q617" s="1">
        <v>9696.5</v>
      </c>
      <c r="R617" s="1">
        <v>3114</v>
      </c>
      <c r="S617" s="1">
        <v>12810.5</v>
      </c>
      <c r="T617" s="1">
        <v>9.09</v>
      </c>
      <c r="U617" s="1">
        <v>0.02</v>
      </c>
      <c r="V617" s="1">
        <v>3021.4</v>
      </c>
      <c r="W617" s="1">
        <v>12717.9</v>
      </c>
      <c r="X617" s="1">
        <v>0.21</v>
      </c>
      <c r="Y617" s="1">
        <v>411</v>
      </c>
      <c r="Z617" s="1">
        <v>67869.5</v>
      </c>
      <c r="AA617" s="1">
        <v>9.2100000000000009</v>
      </c>
      <c r="AB617" s="1">
        <v>2000</v>
      </c>
    </row>
    <row r="618" spans="1:28" x14ac:dyDescent="0.4">
      <c r="A618" s="1" t="s">
        <v>333</v>
      </c>
      <c r="B618" s="1">
        <v>2000</v>
      </c>
      <c r="C618" s="1">
        <v>0.3</v>
      </c>
      <c r="D618" s="1">
        <v>0.5</v>
      </c>
      <c r="E618" s="1">
        <v>500</v>
      </c>
      <c r="F618" s="1">
        <v>1</v>
      </c>
      <c r="G618" s="1">
        <v>2</v>
      </c>
      <c r="H618" s="1" t="s">
        <v>595</v>
      </c>
      <c r="I618" s="1">
        <v>70154.3</v>
      </c>
      <c r="J618" s="1">
        <v>27368.3</v>
      </c>
      <c r="K618" s="1">
        <v>42786</v>
      </c>
      <c r="L618" s="1">
        <v>600</v>
      </c>
      <c r="M618" s="1">
        <v>0.18</v>
      </c>
      <c r="N618" s="1">
        <v>19302.3</v>
      </c>
      <c r="O618" s="1">
        <v>32828.699999999997</v>
      </c>
      <c r="P618" s="1">
        <v>52131</v>
      </c>
      <c r="Q618" s="1">
        <v>10624.5</v>
      </c>
      <c r="R618" s="1">
        <v>3224.1</v>
      </c>
      <c r="S618" s="1">
        <v>13848.6</v>
      </c>
      <c r="T618" s="1">
        <v>5.95</v>
      </c>
      <c r="U618" s="1">
        <v>0.02</v>
      </c>
      <c r="V618" s="1">
        <v>3082</v>
      </c>
      <c r="W618" s="1">
        <v>13706.5</v>
      </c>
      <c r="X618" s="1">
        <v>0.2</v>
      </c>
      <c r="Y618" s="1">
        <v>440</v>
      </c>
      <c r="Z618" s="1">
        <v>65837.5</v>
      </c>
      <c r="AA618" s="1">
        <v>6.15</v>
      </c>
      <c r="AB618" s="1">
        <v>2000</v>
      </c>
    </row>
    <row r="619" spans="1:28" x14ac:dyDescent="0.4">
      <c r="A619" s="1" t="s">
        <v>334</v>
      </c>
      <c r="B619" s="1">
        <v>2000</v>
      </c>
      <c r="C619" s="1">
        <v>0.3</v>
      </c>
      <c r="D619" s="1">
        <v>0.5</v>
      </c>
      <c r="E619" s="1">
        <v>500</v>
      </c>
      <c r="F619" s="1">
        <v>1</v>
      </c>
      <c r="G619" s="1">
        <v>3</v>
      </c>
      <c r="H619" s="1" t="s">
        <v>595</v>
      </c>
      <c r="I619" s="1">
        <v>75606.899999999994</v>
      </c>
      <c r="J619" s="1">
        <v>30252.1</v>
      </c>
      <c r="K619" s="1">
        <v>45354.8</v>
      </c>
      <c r="L619" s="1">
        <v>600</v>
      </c>
      <c r="M619" s="1">
        <v>0.17</v>
      </c>
      <c r="N619" s="1">
        <v>21850.9</v>
      </c>
      <c r="O619" s="1">
        <v>34018.6</v>
      </c>
      <c r="P619" s="1">
        <v>55869.5</v>
      </c>
      <c r="Q619" s="1">
        <v>9706.5</v>
      </c>
      <c r="R619" s="1">
        <v>3409.9</v>
      </c>
      <c r="S619" s="1">
        <v>13116.4</v>
      </c>
      <c r="T619" s="1">
        <v>8.76</v>
      </c>
      <c r="U619" s="1">
        <v>0.02</v>
      </c>
      <c r="V619" s="1">
        <v>3300.5</v>
      </c>
      <c r="W619" s="1">
        <v>13007</v>
      </c>
      <c r="X619" s="1">
        <v>0.19</v>
      </c>
      <c r="Y619" s="1">
        <v>414</v>
      </c>
      <c r="Z619" s="1">
        <v>68876.5</v>
      </c>
      <c r="AA619" s="1">
        <v>8.9</v>
      </c>
      <c r="AB619" s="1">
        <v>2000</v>
      </c>
    </row>
    <row r="620" spans="1:28" x14ac:dyDescent="0.4">
      <c r="A620" s="1" t="s">
        <v>335</v>
      </c>
      <c r="B620" s="1">
        <v>2000</v>
      </c>
      <c r="C620" s="1">
        <v>0.3</v>
      </c>
      <c r="D620" s="1">
        <v>0.5</v>
      </c>
      <c r="E620" s="1">
        <v>500</v>
      </c>
      <c r="F620" s="1">
        <v>1</v>
      </c>
      <c r="G620" s="1">
        <v>4</v>
      </c>
      <c r="H620" s="1" t="s">
        <v>595</v>
      </c>
      <c r="I620" s="1">
        <v>75315.199999999997</v>
      </c>
      <c r="J620" s="1">
        <v>30632</v>
      </c>
      <c r="K620" s="1">
        <v>44683.199999999997</v>
      </c>
      <c r="L620" s="1">
        <v>600</v>
      </c>
      <c r="M620" s="1">
        <v>0.2</v>
      </c>
      <c r="N620" s="1">
        <v>21394.2</v>
      </c>
      <c r="O620" s="1">
        <v>33127.699999999997</v>
      </c>
      <c r="P620" s="1">
        <v>54521.9</v>
      </c>
      <c r="Q620" s="1">
        <v>10199.5</v>
      </c>
      <c r="R620" s="1">
        <v>3542.9</v>
      </c>
      <c r="S620" s="1">
        <v>13742.4</v>
      </c>
      <c r="T620" s="1">
        <v>9.36</v>
      </c>
      <c r="U620" s="1">
        <v>0.02</v>
      </c>
      <c r="V620" s="1">
        <v>3315.2</v>
      </c>
      <c r="W620" s="1">
        <v>13514.7</v>
      </c>
      <c r="X620" s="1">
        <v>0.22</v>
      </c>
      <c r="Y620" s="1">
        <v>431</v>
      </c>
      <c r="Z620" s="1">
        <v>68036.600000000006</v>
      </c>
      <c r="AA620" s="1">
        <v>9.66</v>
      </c>
      <c r="AB620" s="1">
        <v>2000</v>
      </c>
    </row>
    <row r="621" spans="1:28" x14ac:dyDescent="0.4">
      <c r="A621" s="1" t="s">
        <v>336</v>
      </c>
      <c r="B621" s="1">
        <v>2000</v>
      </c>
      <c r="C621" s="1">
        <v>0.3</v>
      </c>
      <c r="D621" s="1">
        <v>0.5</v>
      </c>
      <c r="E621" s="1">
        <v>500</v>
      </c>
      <c r="F621" s="1">
        <v>1</v>
      </c>
      <c r="G621" s="1">
        <v>5</v>
      </c>
      <c r="H621" s="1" t="s">
        <v>595</v>
      </c>
      <c r="I621" s="1">
        <v>73279.899999999994</v>
      </c>
      <c r="J621" s="1">
        <v>27895.1</v>
      </c>
      <c r="K621" s="1">
        <v>45384.800000000003</v>
      </c>
      <c r="L621" s="1">
        <v>600</v>
      </c>
      <c r="M621" s="1">
        <v>0.18</v>
      </c>
      <c r="N621" s="1">
        <v>19571.900000000001</v>
      </c>
      <c r="O621" s="1">
        <v>34107.599999999999</v>
      </c>
      <c r="P621" s="1">
        <v>53679.5</v>
      </c>
      <c r="Q621" s="1">
        <v>9109.7999999999993</v>
      </c>
      <c r="R621" s="1">
        <v>2956.3</v>
      </c>
      <c r="S621" s="1">
        <v>12066.1</v>
      </c>
      <c r="T621" s="1">
        <v>10.28</v>
      </c>
      <c r="U621" s="1">
        <v>0.02</v>
      </c>
      <c r="V621" s="1">
        <v>2832.7</v>
      </c>
      <c r="W621" s="1">
        <v>11942.5</v>
      </c>
      <c r="X621" s="1">
        <v>0.19</v>
      </c>
      <c r="Y621" s="1">
        <v>385</v>
      </c>
      <c r="Z621" s="1">
        <v>65622</v>
      </c>
      <c r="AA621" s="1">
        <v>10.45</v>
      </c>
      <c r="AB621" s="1">
        <v>2000</v>
      </c>
    </row>
    <row r="622" spans="1:28" x14ac:dyDescent="0.4">
      <c r="A622" s="1" t="s">
        <v>337</v>
      </c>
      <c r="B622" s="1">
        <v>2000</v>
      </c>
      <c r="C622" s="1">
        <v>0.3</v>
      </c>
      <c r="D622" s="1">
        <v>0.5</v>
      </c>
      <c r="E622" s="1">
        <v>500</v>
      </c>
      <c r="F622" s="1">
        <v>2</v>
      </c>
      <c r="G622" s="1">
        <v>1</v>
      </c>
      <c r="H622" s="1" t="s">
        <v>595</v>
      </c>
      <c r="I622" s="1">
        <v>110472.8</v>
      </c>
      <c r="J622" s="1">
        <v>42931.8</v>
      </c>
      <c r="K622" s="1">
        <v>67541</v>
      </c>
      <c r="L622" s="1">
        <v>600</v>
      </c>
      <c r="M622" s="1">
        <v>0.24</v>
      </c>
      <c r="N622" s="1">
        <v>30117.599999999999</v>
      </c>
      <c r="O622" s="1">
        <v>51542.7</v>
      </c>
      <c r="P622" s="1">
        <v>81660.3</v>
      </c>
      <c r="Q622" s="1">
        <v>12803.8</v>
      </c>
      <c r="R622" s="1">
        <v>4650.8</v>
      </c>
      <c r="S622" s="1">
        <v>17454.599999999999</v>
      </c>
      <c r="T622" s="1">
        <v>10.28</v>
      </c>
      <c r="U622" s="1">
        <v>0.05</v>
      </c>
      <c r="V622" s="1">
        <v>4407.3</v>
      </c>
      <c r="W622" s="1">
        <v>17211.099999999999</v>
      </c>
      <c r="X622" s="1">
        <v>0.28999999999999998</v>
      </c>
      <c r="Y622" s="1">
        <v>567</v>
      </c>
      <c r="Z622" s="1">
        <v>98871.4</v>
      </c>
      <c r="AA622" s="1">
        <v>10.5</v>
      </c>
      <c r="AB622" s="1">
        <v>2000</v>
      </c>
    </row>
    <row r="623" spans="1:28" x14ac:dyDescent="0.4">
      <c r="A623" s="1" t="s">
        <v>338</v>
      </c>
      <c r="B623" s="1">
        <v>2000</v>
      </c>
      <c r="C623" s="1">
        <v>0.3</v>
      </c>
      <c r="D623" s="1">
        <v>0.5</v>
      </c>
      <c r="E623" s="1">
        <v>500</v>
      </c>
      <c r="F623" s="1">
        <v>2</v>
      </c>
      <c r="G623" s="1">
        <v>2</v>
      </c>
      <c r="H623" s="1" t="s">
        <v>595</v>
      </c>
      <c r="I623" s="1">
        <v>106280.6</v>
      </c>
      <c r="J623" s="1">
        <v>42654.400000000001</v>
      </c>
      <c r="K623" s="1">
        <v>63626.2</v>
      </c>
      <c r="L623" s="1">
        <v>600</v>
      </c>
      <c r="M623" s="1">
        <v>0.26</v>
      </c>
      <c r="N623" s="1">
        <v>30703.7</v>
      </c>
      <c r="O623" s="1">
        <v>47870.1</v>
      </c>
      <c r="P623" s="1">
        <v>78573.8</v>
      </c>
      <c r="Q623" s="1">
        <v>13379.7</v>
      </c>
      <c r="R623" s="1">
        <v>4605.8</v>
      </c>
      <c r="S623" s="1">
        <v>17985.5</v>
      </c>
      <c r="T623" s="1">
        <v>9.15</v>
      </c>
      <c r="U623" s="1">
        <v>0.05</v>
      </c>
      <c r="V623" s="1">
        <v>4304.3</v>
      </c>
      <c r="W623" s="1">
        <v>17684</v>
      </c>
      <c r="X623" s="1">
        <v>0.31</v>
      </c>
      <c r="Y623" s="1">
        <v>599</v>
      </c>
      <c r="Z623" s="1">
        <v>96257.8</v>
      </c>
      <c r="AA623" s="1">
        <v>9.43</v>
      </c>
      <c r="AB623" s="1">
        <v>2000</v>
      </c>
    </row>
    <row r="624" spans="1:28" x14ac:dyDescent="0.4">
      <c r="A624" s="1" t="s">
        <v>339</v>
      </c>
      <c r="B624" s="1">
        <v>2000</v>
      </c>
      <c r="C624" s="1">
        <v>0.3</v>
      </c>
      <c r="D624" s="1">
        <v>0.5</v>
      </c>
      <c r="E624" s="1">
        <v>500</v>
      </c>
      <c r="F624" s="1">
        <v>2</v>
      </c>
      <c r="G624" s="1">
        <v>3</v>
      </c>
      <c r="H624" s="1" t="s">
        <v>595</v>
      </c>
      <c r="I624" s="1">
        <v>107447.3</v>
      </c>
      <c r="J624" s="1">
        <v>42720.6</v>
      </c>
      <c r="K624" s="1">
        <v>64726.7</v>
      </c>
      <c r="L624" s="1">
        <v>600</v>
      </c>
      <c r="M624" s="1">
        <v>0.26</v>
      </c>
      <c r="N624" s="1">
        <v>30305.7</v>
      </c>
      <c r="O624" s="1">
        <v>48283.8</v>
      </c>
      <c r="P624" s="1">
        <v>78589.5</v>
      </c>
      <c r="Q624" s="1">
        <v>12734.3</v>
      </c>
      <c r="R624" s="1">
        <v>4535.7</v>
      </c>
      <c r="S624" s="1">
        <v>17270</v>
      </c>
      <c r="T624" s="1">
        <v>10.78</v>
      </c>
      <c r="U624" s="1">
        <v>0.06</v>
      </c>
      <c r="V624" s="1">
        <v>4439.5</v>
      </c>
      <c r="W624" s="1">
        <v>17173.8</v>
      </c>
      <c r="X624" s="1">
        <v>0.32</v>
      </c>
      <c r="Y624" s="1">
        <v>555</v>
      </c>
      <c r="Z624" s="1">
        <v>95763.3</v>
      </c>
      <c r="AA624" s="1">
        <v>10.87</v>
      </c>
      <c r="AB624" s="1">
        <v>2000</v>
      </c>
    </row>
    <row r="625" spans="1:28" x14ac:dyDescent="0.4">
      <c r="A625" s="1" t="s">
        <v>340</v>
      </c>
      <c r="B625" s="1">
        <v>2000</v>
      </c>
      <c r="C625" s="1">
        <v>0.3</v>
      </c>
      <c r="D625" s="1">
        <v>0.5</v>
      </c>
      <c r="E625" s="1">
        <v>500</v>
      </c>
      <c r="F625" s="1">
        <v>2</v>
      </c>
      <c r="G625" s="1">
        <v>4</v>
      </c>
      <c r="H625" s="1" t="s">
        <v>595</v>
      </c>
      <c r="I625" s="1">
        <v>109197.5</v>
      </c>
      <c r="J625" s="1">
        <v>44088</v>
      </c>
      <c r="K625" s="1">
        <v>65109.5</v>
      </c>
      <c r="L625" s="1">
        <v>600</v>
      </c>
      <c r="M625" s="1">
        <v>0.26</v>
      </c>
      <c r="N625" s="1">
        <v>30996.400000000001</v>
      </c>
      <c r="O625" s="1">
        <v>48383.4</v>
      </c>
      <c r="P625" s="1">
        <v>79379.8</v>
      </c>
      <c r="Q625" s="1">
        <v>13183</v>
      </c>
      <c r="R625" s="1">
        <v>4801.2</v>
      </c>
      <c r="S625" s="1">
        <v>17984.2</v>
      </c>
      <c r="T625" s="1">
        <v>10.84</v>
      </c>
      <c r="U625" s="1">
        <v>0.05</v>
      </c>
      <c r="V625" s="1">
        <v>4641.3</v>
      </c>
      <c r="W625" s="1">
        <v>17824.3</v>
      </c>
      <c r="X625" s="1">
        <v>0.31</v>
      </c>
      <c r="Y625" s="1">
        <v>569</v>
      </c>
      <c r="Z625" s="1">
        <v>97204.1</v>
      </c>
      <c r="AA625" s="1">
        <v>10.98</v>
      </c>
      <c r="AB625" s="1">
        <v>2000</v>
      </c>
    </row>
    <row r="626" spans="1:28" x14ac:dyDescent="0.4">
      <c r="A626" s="1" t="s">
        <v>341</v>
      </c>
      <c r="B626" s="1">
        <v>2000</v>
      </c>
      <c r="C626" s="1">
        <v>0.3</v>
      </c>
      <c r="D626" s="1">
        <v>0.5</v>
      </c>
      <c r="E626" s="1">
        <v>500</v>
      </c>
      <c r="F626" s="1">
        <v>2</v>
      </c>
      <c r="G626" s="1">
        <v>5</v>
      </c>
      <c r="H626" s="1" t="s">
        <v>595</v>
      </c>
      <c r="I626" s="1">
        <v>111481.7</v>
      </c>
      <c r="J626" s="1">
        <v>43469.4</v>
      </c>
      <c r="K626" s="1">
        <v>68012.3</v>
      </c>
      <c r="L626" s="1">
        <v>600</v>
      </c>
      <c r="M626" s="1">
        <v>0.26</v>
      </c>
      <c r="N626" s="1">
        <v>30378.799999999999</v>
      </c>
      <c r="O626" s="1">
        <v>50597.7</v>
      </c>
      <c r="P626" s="1">
        <v>80976.5</v>
      </c>
      <c r="Q626" s="1">
        <v>13273.9</v>
      </c>
      <c r="R626" s="1">
        <v>4809.6000000000004</v>
      </c>
      <c r="S626" s="1">
        <v>18083.5</v>
      </c>
      <c r="T626" s="1">
        <v>11.14</v>
      </c>
      <c r="U626" s="1">
        <v>0.06</v>
      </c>
      <c r="V626" s="1">
        <v>4432.8999999999996</v>
      </c>
      <c r="W626" s="1">
        <v>17706.8</v>
      </c>
      <c r="X626" s="1">
        <v>0.32</v>
      </c>
      <c r="Y626" s="1">
        <v>576</v>
      </c>
      <c r="Z626" s="1">
        <v>98683.3</v>
      </c>
      <c r="AA626" s="1">
        <v>11.48</v>
      </c>
      <c r="AB626" s="1">
        <v>2000</v>
      </c>
    </row>
    <row r="627" spans="1:28" x14ac:dyDescent="0.4">
      <c r="A627" s="1" t="s">
        <v>342</v>
      </c>
      <c r="B627" s="1">
        <v>2000</v>
      </c>
      <c r="C627" s="1">
        <v>0.3</v>
      </c>
      <c r="D627" s="1">
        <v>0.5</v>
      </c>
      <c r="E627" s="1">
        <v>500</v>
      </c>
      <c r="F627" s="1">
        <v>3</v>
      </c>
      <c r="G627" s="1">
        <v>1</v>
      </c>
      <c r="H627" s="1" t="s">
        <v>595</v>
      </c>
      <c r="I627" s="1">
        <v>143946.29999999999</v>
      </c>
      <c r="J627" s="1">
        <v>57323.8</v>
      </c>
      <c r="K627" s="1">
        <v>86622.5</v>
      </c>
      <c r="L627" s="1">
        <v>600</v>
      </c>
      <c r="M627" s="1">
        <v>0.34</v>
      </c>
      <c r="N627" s="1">
        <v>43431.7</v>
      </c>
      <c r="O627" s="1">
        <v>67311.199999999997</v>
      </c>
      <c r="P627" s="1">
        <v>110742.9</v>
      </c>
      <c r="Q627" s="1">
        <v>12523.3</v>
      </c>
      <c r="R627" s="1">
        <v>5226.2</v>
      </c>
      <c r="S627" s="1">
        <v>17749.5</v>
      </c>
      <c r="T627" s="1">
        <v>10.74</v>
      </c>
      <c r="U627" s="1">
        <v>7.0000000000000007E-2</v>
      </c>
      <c r="V627" s="1">
        <v>5058.6000000000004</v>
      </c>
      <c r="W627" s="1">
        <v>17581.900000000001</v>
      </c>
      <c r="X627" s="1">
        <v>0.42</v>
      </c>
      <c r="Y627" s="1">
        <v>554</v>
      </c>
      <c r="Z627" s="1">
        <v>128324.8</v>
      </c>
      <c r="AA627" s="1">
        <v>10.85</v>
      </c>
      <c r="AB627" s="1">
        <v>2000</v>
      </c>
    </row>
    <row r="628" spans="1:28" x14ac:dyDescent="0.4">
      <c r="A628" s="1" t="s">
        <v>343</v>
      </c>
      <c r="B628" s="1">
        <v>2000</v>
      </c>
      <c r="C628" s="1">
        <v>0.3</v>
      </c>
      <c r="D628" s="1">
        <v>0.5</v>
      </c>
      <c r="E628" s="1">
        <v>500</v>
      </c>
      <c r="F628" s="1">
        <v>3</v>
      </c>
      <c r="G628" s="1">
        <v>2</v>
      </c>
      <c r="H628" s="1" t="s">
        <v>595</v>
      </c>
      <c r="I628" s="1">
        <v>137491.9</v>
      </c>
      <c r="J628" s="1">
        <v>53804.5</v>
      </c>
      <c r="K628" s="1">
        <v>83687.399999999994</v>
      </c>
      <c r="L628" s="1">
        <v>600</v>
      </c>
      <c r="M628" s="1">
        <v>0.32</v>
      </c>
      <c r="N628" s="1">
        <v>40880.199999999997</v>
      </c>
      <c r="O628" s="1">
        <v>67333</v>
      </c>
      <c r="P628" s="1">
        <v>108213.2</v>
      </c>
      <c r="Q628" s="1">
        <v>11717.2</v>
      </c>
      <c r="R628" s="1">
        <v>4862.2</v>
      </c>
      <c r="S628" s="1">
        <v>16579.400000000001</v>
      </c>
      <c r="T628" s="1">
        <v>9.24</v>
      </c>
      <c r="U628" s="1">
        <v>0.06</v>
      </c>
      <c r="V628" s="1">
        <v>4637.3</v>
      </c>
      <c r="W628" s="1">
        <v>16354.5</v>
      </c>
      <c r="X628" s="1">
        <v>0.39</v>
      </c>
      <c r="Y628" s="1">
        <v>523</v>
      </c>
      <c r="Z628" s="1">
        <v>124567.7</v>
      </c>
      <c r="AA628" s="1">
        <v>9.4</v>
      </c>
      <c r="AB628" s="1">
        <v>2000</v>
      </c>
    </row>
    <row r="629" spans="1:28" x14ac:dyDescent="0.4">
      <c r="A629" s="1" t="s">
        <v>344</v>
      </c>
      <c r="B629" s="1">
        <v>2000</v>
      </c>
      <c r="C629" s="1">
        <v>0.3</v>
      </c>
      <c r="D629" s="1">
        <v>0.5</v>
      </c>
      <c r="E629" s="1">
        <v>500</v>
      </c>
      <c r="F629" s="1">
        <v>3</v>
      </c>
      <c r="G629" s="1">
        <v>3</v>
      </c>
      <c r="H629" s="1" t="s">
        <v>595</v>
      </c>
      <c r="I629" s="1">
        <v>134184.20000000001</v>
      </c>
      <c r="J629" s="1">
        <v>54224.9</v>
      </c>
      <c r="K629" s="1">
        <v>79959.3</v>
      </c>
      <c r="L629" s="1">
        <v>600</v>
      </c>
      <c r="M629" s="1">
        <v>0.3</v>
      </c>
      <c r="N629" s="1">
        <v>40549.300000000003</v>
      </c>
      <c r="O629" s="1">
        <v>62270.8</v>
      </c>
      <c r="P629" s="1">
        <v>102820.1</v>
      </c>
      <c r="Q629" s="1">
        <v>12956.1</v>
      </c>
      <c r="R629" s="1">
        <v>5118.6000000000004</v>
      </c>
      <c r="S629" s="1">
        <v>18074.7</v>
      </c>
      <c r="T629" s="1">
        <v>9.9</v>
      </c>
      <c r="U629" s="1">
        <v>0.06</v>
      </c>
      <c r="V629" s="1">
        <v>4878.2</v>
      </c>
      <c r="W629" s="1">
        <v>17834.3</v>
      </c>
      <c r="X629" s="1">
        <v>0.36</v>
      </c>
      <c r="Y629" s="1">
        <v>571</v>
      </c>
      <c r="Z629" s="1">
        <v>120654.39999999999</v>
      </c>
      <c r="AA629" s="1">
        <v>10.08</v>
      </c>
      <c r="AB629" s="1">
        <v>2000</v>
      </c>
    </row>
    <row r="630" spans="1:28" x14ac:dyDescent="0.4">
      <c r="A630" s="1" t="s">
        <v>345</v>
      </c>
      <c r="B630" s="1">
        <v>2000</v>
      </c>
      <c r="C630" s="1">
        <v>0.3</v>
      </c>
      <c r="D630" s="1">
        <v>0.5</v>
      </c>
      <c r="E630" s="1">
        <v>500</v>
      </c>
      <c r="F630" s="1">
        <v>3</v>
      </c>
      <c r="G630" s="1">
        <v>4</v>
      </c>
      <c r="H630" s="1" t="s">
        <v>595</v>
      </c>
      <c r="I630" s="1">
        <v>140703.4</v>
      </c>
      <c r="J630" s="1">
        <v>54175.8</v>
      </c>
      <c r="K630" s="1">
        <v>86527.6</v>
      </c>
      <c r="L630" s="1">
        <v>600</v>
      </c>
      <c r="M630" s="1">
        <v>0.33</v>
      </c>
      <c r="N630" s="1">
        <v>41580.6</v>
      </c>
      <c r="O630" s="1">
        <v>69474</v>
      </c>
      <c r="P630" s="1">
        <v>111054.6</v>
      </c>
      <c r="Q630" s="1">
        <v>12363.5</v>
      </c>
      <c r="R630" s="1">
        <v>5034.1000000000004</v>
      </c>
      <c r="S630" s="1">
        <v>17397.599999999999</v>
      </c>
      <c r="T630" s="1">
        <v>8.7100000000000009</v>
      </c>
      <c r="U630" s="1">
        <v>7.0000000000000007E-2</v>
      </c>
      <c r="V630" s="1">
        <v>4835</v>
      </c>
      <c r="W630" s="1">
        <v>17198.5</v>
      </c>
      <c r="X630" s="1">
        <v>0.39</v>
      </c>
      <c r="Y630" s="1">
        <v>559</v>
      </c>
      <c r="Z630" s="1">
        <v>128253.1</v>
      </c>
      <c r="AA630" s="1">
        <v>8.85</v>
      </c>
      <c r="AB630" s="1">
        <v>2000</v>
      </c>
    </row>
    <row r="631" spans="1:28" x14ac:dyDescent="0.4">
      <c r="A631" s="1" t="s">
        <v>346</v>
      </c>
      <c r="B631" s="1">
        <v>2000</v>
      </c>
      <c r="C631" s="1">
        <v>0.3</v>
      </c>
      <c r="D631" s="1">
        <v>0.5</v>
      </c>
      <c r="E631" s="1">
        <v>500</v>
      </c>
      <c r="F631" s="1">
        <v>3</v>
      </c>
      <c r="G631" s="1">
        <v>5</v>
      </c>
      <c r="H631" s="1" t="s">
        <v>595</v>
      </c>
      <c r="I631" s="1">
        <v>136155.6</v>
      </c>
      <c r="J631" s="1">
        <v>51030.7</v>
      </c>
      <c r="K631" s="1">
        <v>85124.9</v>
      </c>
      <c r="L631" s="1">
        <v>600</v>
      </c>
      <c r="M631" s="1">
        <v>0.33</v>
      </c>
      <c r="N631" s="1">
        <v>38882.5</v>
      </c>
      <c r="O631" s="1">
        <v>67814.600000000006</v>
      </c>
      <c r="P631" s="1">
        <v>106697.1</v>
      </c>
      <c r="Q631" s="1">
        <v>12294.8</v>
      </c>
      <c r="R631" s="1">
        <v>4707.8999999999996</v>
      </c>
      <c r="S631" s="1">
        <v>17002.7</v>
      </c>
      <c r="T631" s="1">
        <v>9.15</v>
      </c>
      <c r="U631" s="1">
        <v>0.06</v>
      </c>
      <c r="V631" s="1">
        <v>4422.5</v>
      </c>
      <c r="W631" s="1">
        <v>16717.3</v>
      </c>
      <c r="X631" s="1">
        <v>0.38</v>
      </c>
      <c r="Y631" s="1">
        <v>539</v>
      </c>
      <c r="Z631" s="1">
        <v>123414.39999999999</v>
      </c>
      <c r="AA631" s="1">
        <v>9.36</v>
      </c>
      <c r="AB631" s="1">
        <v>2000</v>
      </c>
    </row>
    <row r="632" spans="1:28" x14ac:dyDescent="0.4">
      <c r="A632" s="1" t="s">
        <v>45</v>
      </c>
      <c r="B632" s="1">
        <v>2000</v>
      </c>
      <c r="C632" s="1">
        <v>0.4</v>
      </c>
      <c r="D632" s="1">
        <v>0.5</v>
      </c>
      <c r="E632" s="1">
        <v>1000</v>
      </c>
      <c r="F632" s="1">
        <v>1</v>
      </c>
      <c r="G632" s="1">
        <v>1</v>
      </c>
      <c r="H632" s="1" t="s">
        <v>595</v>
      </c>
      <c r="I632" s="1">
        <v>146743.6</v>
      </c>
      <c r="J632" s="1">
        <v>58000.4</v>
      </c>
      <c r="K632" s="1">
        <v>88743.2</v>
      </c>
      <c r="L632" s="1">
        <v>600</v>
      </c>
      <c r="M632" s="1">
        <v>0.19</v>
      </c>
      <c r="N632" s="1">
        <v>36616.400000000001</v>
      </c>
      <c r="O632" s="1">
        <v>60184.2</v>
      </c>
      <c r="P632" s="1">
        <v>96800.6</v>
      </c>
      <c r="Q632" s="1">
        <v>13932.9</v>
      </c>
      <c r="R632" s="1">
        <v>6439.3</v>
      </c>
      <c r="S632" s="1">
        <v>20372.2</v>
      </c>
      <c r="T632" s="1">
        <v>20.149999999999999</v>
      </c>
      <c r="U632" s="1">
        <v>0.1</v>
      </c>
      <c r="V632" s="1">
        <v>6222.8</v>
      </c>
      <c r="W632" s="1">
        <v>20155.7</v>
      </c>
      <c r="X632" s="1">
        <v>0.28999999999999998</v>
      </c>
      <c r="Y632" s="1">
        <v>600</v>
      </c>
      <c r="Z632" s="1">
        <v>116956.3</v>
      </c>
      <c r="AA632" s="1">
        <v>20.3</v>
      </c>
      <c r="AB632" s="1">
        <v>2000</v>
      </c>
    </row>
    <row r="633" spans="1:28" x14ac:dyDescent="0.4">
      <c r="A633" s="1" t="s">
        <v>46</v>
      </c>
      <c r="B633" s="1">
        <v>2000</v>
      </c>
      <c r="C633" s="1">
        <v>0.4</v>
      </c>
      <c r="D633" s="1">
        <v>0.5</v>
      </c>
      <c r="E633" s="1">
        <v>1000</v>
      </c>
      <c r="F633" s="1">
        <v>1</v>
      </c>
      <c r="G633" s="1">
        <v>2</v>
      </c>
      <c r="H633" s="1" t="s">
        <v>595</v>
      </c>
      <c r="I633" s="1">
        <v>147538.70000000001</v>
      </c>
      <c r="J633" s="1">
        <v>60411.8</v>
      </c>
      <c r="K633" s="1">
        <v>87126.9</v>
      </c>
      <c r="L633" s="1">
        <v>600</v>
      </c>
      <c r="M633" s="1">
        <v>0.19</v>
      </c>
      <c r="N633" s="1">
        <v>39005.5</v>
      </c>
      <c r="O633" s="1">
        <v>59079.7</v>
      </c>
      <c r="P633" s="1">
        <v>98085.2</v>
      </c>
      <c r="Q633" s="1">
        <v>13921.3</v>
      </c>
      <c r="R633" s="1">
        <v>6369.9</v>
      </c>
      <c r="S633" s="1">
        <v>20291.2</v>
      </c>
      <c r="T633" s="1">
        <v>19.77</v>
      </c>
      <c r="U633" s="1">
        <v>0.1</v>
      </c>
      <c r="V633" s="1">
        <v>6140.2</v>
      </c>
      <c r="W633" s="1">
        <v>20061.5</v>
      </c>
      <c r="X633" s="1">
        <v>0.28999999999999998</v>
      </c>
      <c r="Y633" s="1">
        <v>599</v>
      </c>
      <c r="Z633" s="1">
        <v>118146.7</v>
      </c>
      <c r="AA633" s="1">
        <v>19.920000000000002</v>
      </c>
      <c r="AB633" s="1">
        <v>2000</v>
      </c>
    </row>
    <row r="634" spans="1:28" x14ac:dyDescent="0.4">
      <c r="A634" s="1" t="s">
        <v>47</v>
      </c>
      <c r="B634" s="1">
        <v>2000</v>
      </c>
      <c r="C634" s="1">
        <v>0.4</v>
      </c>
      <c r="D634" s="1">
        <v>0.5</v>
      </c>
      <c r="E634" s="1">
        <v>1000</v>
      </c>
      <c r="F634" s="1">
        <v>1</v>
      </c>
      <c r="G634" s="1">
        <v>3</v>
      </c>
      <c r="H634" s="1" t="s">
        <v>595</v>
      </c>
      <c r="I634" s="1">
        <v>147212.4</v>
      </c>
      <c r="J634" s="1">
        <v>60036.4</v>
      </c>
      <c r="K634" s="1">
        <v>87176</v>
      </c>
      <c r="L634" s="1">
        <v>600</v>
      </c>
      <c r="M634" s="1">
        <v>0.19</v>
      </c>
      <c r="N634" s="1">
        <v>37081.699999999997</v>
      </c>
      <c r="O634" s="1">
        <v>58289.1</v>
      </c>
      <c r="P634" s="1">
        <v>95370.8</v>
      </c>
      <c r="Q634" s="1">
        <v>13674.8</v>
      </c>
      <c r="R634" s="1">
        <v>6401.6</v>
      </c>
      <c r="S634" s="1">
        <v>20076.400000000001</v>
      </c>
      <c r="T634" s="1">
        <v>21.58</v>
      </c>
      <c r="U634" s="1">
        <v>0.09</v>
      </c>
      <c r="V634" s="1">
        <v>6277.8</v>
      </c>
      <c r="W634" s="1">
        <v>19952.599999999999</v>
      </c>
      <c r="X634" s="1">
        <v>0.28000000000000003</v>
      </c>
      <c r="Y634" s="1">
        <v>571</v>
      </c>
      <c r="Z634" s="1">
        <v>115323.4</v>
      </c>
      <c r="AA634" s="1">
        <v>21.66</v>
      </c>
      <c r="AB634" s="1">
        <v>2000</v>
      </c>
    </row>
    <row r="635" spans="1:28" x14ac:dyDescent="0.4">
      <c r="A635" s="1" t="s">
        <v>48</v>
      </c>
      <c r="B635" s="1">
        <v>2000</v>
      </c>
      <c r="C635" s="1">
        <v>0.4</v>
      </c>
      <c r="D635" s="1">
        <v>0.5</v>
      </c>
      <c r="E635" s="1">
        <v>1000</v>
      </c>
      <c r="F635" s="1">
        <v>1</v>
      </c>
      <c r="G635" s="1">
        <v>4</v>
      </c>
      <c r="H635" s="1" t="s">
        <v>595</v>
      </c>
      <c r="I635" s="1">
        <v>148707.4</v>
      </c>
      <c r="J635" s="1">
        <v>61039</v>
      </c>
      <c r="K635" s="1">
        <v>87668.4</v>
      </c>
      <c r="L635" s="1">
        <v>600</v>
      </c>
      <c r="M635" s="1">
        <v>0.19</v>
      </c>
      <c r="N635" s="1">
        <v>37865.699999999997</v>
      </c>
      <c r="O635" s="1">
        <v>57310.8</v>
      </c>
      <c r="P635" s="1">
        <v>95176.5</v>
      </c>
      <c r="Q635" s="1">
        <v>13571.7</v>
      </c>
      <c r="R635" s="1">
        <v>6735.7</v>
      </c>
      <c r="S635" s="1">
        <v>20307.400000000001</v>
      </c>
      <c r="T635" s="1">
        <v>22.34</v>
      </c>
      <c r="U635" s="1">
        <v>0.11</v>
      </c>
      <c r="V635" s="1">
        <v>6508.7</v>
      </c>
      <c r="W635" s="1">
        <v>20080.400000000001</v>
      </c>
      <c r="X635" s="1">
        <v>0.28999999999999998</v>
      </c>
      <c r="Y635" s="1">
        <v>587</v>
      </c>
      <c r="Z635" s="1">
        <v>115256.9</v>
      </c>
      <c r="AA635" s="1">
        <v>22.49</v>
      </c>
      <c r="AB635" s="1">
        <v>2000</v>
      </c>
    </row>
    <row r="636" spans="1:28" x14ac:dyDescent="0.4">
      <c r="A636" s="1" t="s">
        <v>49</v>
      </c>
      <c r="B636" s="1">
        <v>2000</v>
      </c>
      <c r="C636" s="1">
        <v>0.4</v>
      </c>
      <c r="D636" s="1">
        <v>0.5</v>
      </c>
      <c r="E636" s="1">
        <v>1000</v>
      </c>
      <c r="F636" s="1">
        <v>1</v>
      </c>
      <c r="G636" s="1">
        <v>5</v>
      </c>
      <c r="H636" s="1" t="s">
        <v>595</v>
      </c>
      <c r="I636" s="1">
        <v>148055.70000000001</v>
      </c>
      <c r="J636" s="1">
        <v>57683</v>
      </c>
      <c r="K636" s="1">
        <v>90372.7</v>
      </c>
      <c r="L636" s="1">
        <v>600</v>
      </c>
      <c r="M636" s="1">
        <v>0.19</v>
      </c>
      <c r="N636" s="1">
        <v>36330.400000000001</v>
      </c>
      <c r="O636" s="1">
        <v>59818</v>
      </c>
      <c r="P636" s="1">
        <v>96148.4</v>
      </c>
      <c r="Q636" s="1">
        <v>13965.6</v>
      </c>
      <c r="R636" s="1">
        <v>6899.9</v>
      </c>
      <c r="S636" s="1">
        <v>20865.5</v>
      </c>
      <c r="T636" s="1">
        <v>20.97</v>
      </c>
      <c r="U636" s="1">
        <v>0.09</v>
      </c>
      <c r="V636" s="1">
        <v>6722</v>
      </c>
      <c r="W636" s="1">
        <v>20687.599999999999</v>
      </c>
      <c r="X636" s="1">
        <v>0.28000000000000003</v>
      </c>
      <c r="Y636" s="1">
        <v>599</v>
      </c>
      <c r="Z636" s="1">
        <v>116836</v>
      </c>
      <c r="AA636" s="1">
        <v>21.09</v>
      </c>
      <c r="AB636" s="1">
        <v>2000</v>
      </c>
    </row>
    <row r="637" spans="1:28" x14ac:dyDescent="0.4">
      <c r="A637" s="1" t="s">
        <v>50</v>
      </c>
      <c r="B637" s="1">
        <v>2000</v>
      </c>
      <c r="C637" s="1">
        <v>0.4</v>
      </c>
      <c r="D637" s="1">
        <v>0.5</v>
      </c>
      <c r="E637" s="1">
        <v>1000</v>
      </c>
      <c r="F637" s="1">
        <v>2</v>
      </c>
      <c r="G637" s="1">
        <v>1</v>
      </c>
      <c r="H637" s="1" t="s">
        <v>595</v>
      </c>
      <c r="I637" s="1">
        <v>230670.1</v>
      </c>
      <c r="J637" s="1">
        <v>90584.2</v>
      </c>
      <c r="K637" s="1">
        <v>140085.9</v>
      </c>
      <c r="L637" s="1">
        <v>600</v>
      </c>
      <c r="M637" s="1">
        <v>0.36</v>
      </c>
      <c r="N637" s="1">
        <v>62516.7</v>
      </c>
      <c r="O637" s="1">
        <v>100201.3</v>
      </c>
      <c r="P637" s="1">
        <v>162718</v>
      </c>
      <c r="Q637" s="1">
        <v>13150.4</v>
      </c>
      <c r="R637" s="1">
        <v>6817.3</v>
      </c>
      <c r="S637" s="1">
        <v>19967.7</v>
      </c>
      <c r="T637" s="1">
        <v>20.8</v>
      </c>
      <c r="U637" s="1">
        <v>0.18</v>
      </c>
      <c r="V637" s="1">
        <v>6577.2</v>
      </c>
      <c r="W637" s="1">
        <v>19727.599999999999</v>
      </c>
      <c r="X637" s="1">
        <v>0.54</v>
      </c>
      <c r="Y637" s="1">
        <v>575</v>
      </c>
      <c r="Z637" s="1">
        <v>182445.6</v>
      </c>
      <c r="AA637" s="1">
        <v>20.91</v>
      </c>
      <c r="AB637" s="1">
        <v>2000</v>
      </c>
    </row>
    <row r="638" spans="1:28" x14ac:dyDescent="0.4">
      <c r="A638" s="1" t="s">
        <v>51</v>
      </c>
      <c r="B638" s="1">
        <v>2000</v>
      </c>
      <c r="C638" s="1">
        <v>0.4</v>
      </c>
      <c r="D638" s="1">
        <v>0.5</v>
      </c>
      <c r="E638" s="1">
        <v>1000</v>
      </c>
      <c r="F638" s="1">
        <v>2</v>
      </c>
      <c r="G638" s="1">
        <v>2</v>
      </c>
      <c r="H638" s="1" t="s">
        <v>595</v>
      </c>
      <c r="I638" s="1">
        <v>230566.8</v>
      </c>
      <c r="J638" s="1">
        <v>88402.6</v>
      </c>
      <c r="K638" s="1">
        <v>142164.20000000001</v>
      </c>
      <c r="L638" s="1">
        <v>600</v>
      </c>
      <c r="M638" s="1">
        <v>0.38</v>
      </c>
      <c r="N638" s="1">
        <v>58918.6</v>
      </c>
      <c r="O638" s="1">
        <v>101908</v>
      </c>
      <c r="P638" s="1">
        <v>160826.6</v>
      </c>
      <c r="Q638" s="1">
        <v>13507.1</v>
      </c>
      <c r="R638" s="1">
        <v>6832.9</v>
      </c>
      <c r="S638" s="1">
        <v>20340</v>
      </c>
      <c r="T638" s="1">
        <v>21.43</v>
      </c>
      <c r="U638" s="1">
        <v>0.14000000000000001</v>
      </c>
      <c r="V638" s="1">
        <v>6598.4</v>
      </c>
      <c r="W638" s="1">
        <v>20105.5</v>
      </c>
      <c r="X638" s="1">
        <v>0.51</v>
      </c>
      <c r="Y638" s="1">
        <v>587</v>
      </c>
      <c r="Z638" s="1">
        <v>180932.1</v>
      </c>
      <c r="AA638" s="1">
        <v>21.53</v>
      </c>
      <c r="AB638" s="1">
        <v>2000</v>
      </c>
    </row>
    <row r="639" spans="1:28" x14ac:dyDescent="0.4">
      <c r="A639" s="1" t="s">
        <v>52</v>
      </c>
      <c r="B639" s="1">
        <v>2000</v>
      </c>
      <c r="C639" s="1">
        <v>0.4</v>
      </c>
      <c r="D639" s="1">
        <v>0.5</v>
      </c>
      <c r="E639" s="1">
        <v>1000</v>
      </c>
      <c r="F639" s="1">
        <v>2</v>
      </c>
      <c r="G639" s="1">
        <v>3</v>
      </c>
      <c r="H639" s="1" t="s">
        <v>595</v>
      </c>
      <c r="I639" s="1">
        <v>216725.7</v>
      </c>
      <c r="J639" s="1">
        <v>84765.8</v>
      </c>
      <c r="K639" s="1">
        <v>131959.9</v>
      </c>
      <c r="L639" s="1">
        <v>600</v>
      </c>
      <c r="M639" s="1">
        <v>0.36</v>
      </c>
      <c r="N639" s="1">
        <v>56653.5</v>
      </c>
      <c r="O639" s="1">
        <v>95301.9</v>
      </c>
      <c r="P639" s="1">
        <v>151955.4</v>
      </c>
      <c r="Q639" s="1">
        <v>13606</v>
      </c>
      <c r="R639" s="1">
        <v>6962.9</v>
      </c>
      <c r="S639" s="1">
        <v>20568.900000000001</v>
      </c>
      <c r="T639" s="1">
        <v>20.399999999999999</v>
      </c>
      <c r="U639" s="1">
        <v>0.13</v>
      </c>
      <c r="V639" s="1">
        <v>6732.2</v>
      </c>
      <c r="W639" s="1">
        <v>20338.2</v>
      </c>
      <c r="X639" s="1">
        <v>0.49</v>
      </c>
      <c r="Y639" s="1">
        <v>589</v>
      </c>
      <c r="Z639" s="1">
        <v>172293.6</v>
      </c>
      <c r="AA639" s="1">
        <v>20.5</v>
      </c>
      <c r="AB639" s="1">
        <v>2000</v>
      </c>
    </row>
    <row r="640" spans="1:28" x14ac:dyDescent="0.4">
      <c r="A640" s="1" t="s">
        <v>53</v>
      </c>
      <c r="B640" s="1">
        <v>2000</v>
      </c>
      <c r="C640" s="1">
        <v>0.4</v>
      </c>
      <c r="D640" s="1">
        <v>0.5</v>
      </c>
      <c r="E640" s="1">
        <v>1000</v>
      </c>
      <c r="F640" s="1">
        <v>2</v>
      </c>
      <c r="G640" s="1">
        <v>4</v>
      </c>
      <c r="H640" s="1" t="s">
        <v>595</v>
      </c>
      <c r="I640" s="1">
        <v>228249.8</v>
      </c>
      <c r="J640" s="1">
        <v>93670.2</v>
      </c>
      <c r="K640" s="1">
        <v>134579.6</v>
      </c>
      <c r="L640" s="1">
        <v>600</v>
      </c>
      <c r="M640" s="1">
        <v>0.38</v>
      </c>
      <c r="N640" s="1">
        <v>63143</v>
      </c>
      <c r="O640" s="1">
        <v>94917</v>
      </c>
      <c r="P640" s="1">
        <v>158060</v>
      </c>
      <c r="Q640" s="1">
        <v>13603.2</v>
      </c>
      <c r="R640" s="1">
        <v>7083.4</v>
      </c>
      <c r="S640" s="1">
        <v>20686.599999999999</v>
      </c>
      <c r="T640" s="1">
        <v>21.69</v>
      </c>
      <c r="U640" s="1">
        <v>0.14000000000000001</v>
      </c>
      <c r="V640" s="1">
        <v>6950.3</v>
      </c>
      <c r="W640" s="1">
        <v>20553.5</v>
      </c>
      <c r="X640" s="1">
        <v>0.52</v>
      </c>
      <c r="Y640" s="1">
        <v>590</v>
      </c>
      <c r="Z640" s="1">
        <v>178613.5</v>
      </c>
      <c r="AA640" s="1">
        <v>21.75</v>
      </c>
      <c r="AB640" s="1">
        <v>2000</v>
      </c>
    </row>
    <row r="641" spans="1:28" x14ac:dyDescent="0.4">
      <c r="A641" s="1" t="s">
        <v>54</v>
      </c>
      <c r="B641" s="1">
        <v>2000</v>
      </c>
      <c r="C641" s="1">
        <v>0.4</v>
      </c>
      <c r="D641" s="1">
        <v>0.5</v>
      </c>
      <c r="E641" s="1">
        <v>1000</v>
      </c>
      <c r="F641" s="1">
        <v>2</v>
      </c>
      <c r="G641" s="1">
        <v>5</v>
      </c>
      <c r="H641" s="1" t="s">
        <v>595</v>
      </c>
      <c r="I641" s="1">
        <v>216003.3</v>
      </c>
      <c r="J641" s="1">
        <v>85862.7</v>
      </c>
      <c r="K641" s="1">
        <v>130140.6</v>
      </c>
      <c r="L641" s="1">
        <v>600</v>
      </c>
      <c r="M641" s="1">
        <v>0.34</v>
      </c>
      <c r="N641" s="1">
        <v>60172.1</v>
      </c>
      <c r="O641" s="1">
        <v>94297.4</v>
      </c>
      <c r="P641" s="1">
        <v>154469.5</v>
      </c>
      <c r="Q641" s="1">
        <v>13036.8</v>
      </c>
      <c r="R641" s="1">
        <v>6628.9</v>
      </c>
      <c r="S641" s="1">
        <v>19665.7</v>
      </c>
      <c r="T641" s="1">
        <v>19.38</v>
      </c>
      <c r="U641" s="1">
        <v>0.14000000000000001</v>
      </c>
      <c r="V641" s="1">
        <v>6387</v>
      </c>
      <c r="W641" s="1">
        <v>19423.8</v>
      </c>
      <c r="X641" s="1">
        <v>0.48</v>
      </c>
      <c r="Y641" s="1">
        <v>589</v>
      </c>
      <c r="Z641" s="1">
        <v>173893.3</v>
      </c>
      <c r="AA641" s="1">
        <v>19.5</v>
      </c>
      <c r="AB641" s="1">
        <v>2000</v>
      </c>
    </row>
    <row r="642" spans="1:28" x14ac:dyDescent="0.4">
      <c r="A642" s="1" t="s">
        <v>55</v>
      </c>
      <c r="B642" s="1">
        <v>2000</v>
      </c>
      <c r="C642" s="1">
        <v>0.4</v>
      </c>
      <c r="D642" s="1">
        <v>0.5</v>
      </c>
      <c r="E642" s="1">
        <v>1000</v>
      </c>
      <c r="F642" s="1">
        <v>3</v>
      </c>
      <c r="G642" s="1">
        <v>1</v>
      </c>
      <c r="H642" s="1" t="s">
        <v>595</v>
      </c>
      <c r="I642" s="1">
        <v>276286</v>
      </c>
      <c r="J642" s="1">
        <v>109961</v>
      </c>
      <c r="K642" s="1">
        <v>166325</v>
      </c>
      <c r="L642" s="1">
        <v>600</v>
      </c>
      <c r="M642" s="1">
        <v>0.59</v>
      </c>
      <c r="N642" s="1">
        <v>79533.2</v>
      </c>
      <c r="O642" s="1">
        <v>125353.4</v>
      </c>
      <c r="P642" s="1">
        <v>204886.6</v>
      </c>
      <c r="Q642" s="1">
        <v>13176</v>
      </c>
      <c r="R642" s="1">
        <v>7145.3</v>
      </c>
      <c r="S642" s="1">
        <v>20321.3</v>
      </c>
      <c r="T642" s="1">
        <v>18.489999999999998</v>
      </c>
      <c r="U642" s="1">
        <v>0.2</v>
      </c>
      <c r="V642" s="1">
        <v>6801.9</v>
      </c>
      <c r="W642" s="1">
        <v>19977.900000000001</v>
      </c>
      <c r="X642" s="1">
        <v>0.78</v>
      </c>
      <c r="Y642" s="1">
        <v>572</v>
      </c>
      <c r="Z642" s="1">
        <v>224864.5</v>
      </c>
      <c r="AA642" s="1">
        <v>18.61</v>
      </c>
      <c r="AB642" s="1">
        <v>2000</v>
      </c>
    </row>
    <row r="643" spans="1:28" x14ac:dyDescent="0.4">
      <c r="A643" s="1" t="s">
        <v>56</v>
      </c>
      <c r="B643" s="1">
        <v>2000</v>
      </c>
      <c r="C643" s="1">
        <v>0.4</v>
      </c>
      <c r="D643" s="1">
        <v>0.5</v>
      </c>
      <c r="E643" s="1">
        <v>1000</v>
      </c>
      <c r="F643" s="1">
        <v>3</v>
      </c>
      <c r="G643" s="1">
        <v>2</v>
      </c>
      <c r="H643" s="1" t="s">
        <v>595</v>
      </c>
      <c r="I643" s="1">
        <v>279729.59999999998</v>
      </c>
      <c r="J643" s="1">
        <v>113230.9</v>
      </c>
      <c r="K643" s="1">
        <v>166498.70000000001</v>
      </c>
      <c r="L643" s="1">
        <v>600</v>
      </c>
      <c r="M643" s="1">
        <v>0.57999999999999996</v>
      </c>
      <c r="N643" s="1">
        <v>78257.399999999994</v>
      </c>
      <c r="O643" s="1">
        <v>122465.1</v>
      </c>
      <c r="P643" s="1">
        <v>200722.5</v>
      </c>
      <c r="Q643" s="1">
        <v>13185.8</v>
      </c>
      <c r="R643" s="1">
        <v>7172.1</v>
      </c>
      <c r="S643" s="1">
        <v>20357.900000000001</v>
      </c>
      <c r="T643" s="1">
        <v>20.97</v>
      </c>
      <c r="U643" s="1">
        <v>0.15</v>
      </c>
      <c r="V643" s="1">
        <v>6997</v>
      </c>
      <c r="W643" s="1">
        <v>20182.8</v>
      </c>
      <c r="X643" s="1">
        <v>0.72</v>
      </c>
      <c r="Y643" s="1">
        <v>571</v>
      </c>
      <c r="Z643" s="1">
        <v>220905.3</v>
      </c>
      <c r="AA643" s="1">
        <v>21.03</v>
      </c>
      <c r="AB643" s="1">
        <v>2000</v>
      </c>
    </row>
    <row r="644" spans="1:28" x14ac:dyDescent="0.4">
      <c r="A644" s="1" t="s">
        <v>57</v>
      </c>
      <c r="B644" s="1">
        <v>2000</v>
      </c>
      <c r="C644" s="1">
        <v>0.4</v>
      </c>
      <c r="D644" s="1">
        <v>0.5</v>
      </c>
      <c r="E644" s="1">
        <v>1000</v>
      </c>
      <c r="F644" s="1">
        <v>3</v>
      </c>
      <c r="G644" s="1">
        <v>3</v>
      </c>
      <c r="H644" s="1" t="s">
        <v>595</v>
      </c>
      <c r="I644" s="1">
        <v>279169.2</v>
      </c>
      <c r="J644" s="1">
        <v>112698.4</v>
      </c>
      <c r="K644" s="1">
        <v>166470.79999999999</v>
      </c>
      <c r="L644" s="1">
        <v>600</v>
      </c>
      <c r="M644" s="1">
        <v>0.55000000000000004</v>
      </c>
      <c r="N644" s="1">
        <v>81236.800000000003</v>
      </c>
      <c r="O644" s="1">
        <v>123589.7</v>
      </c>
      <c r="P644" s="1">
        <v>204826.5</v>
      </c>
      <c r="Q644" s="1">
        <v>12898.3</v>
      </c>
      <c r="R644" s="1">
        <v>7167.8</v>
      </c>
      <c r="S644" s="1">
        <v>20066.099999999999</v>
      </c>
      <c r="T644" s="1">
        <v>19.440000000000001</v>
      </c>
      <c r="U644" s="1">
        <v>0.14000000000000001</v>
      </c>
      <c r="V644" s="1">
        <v>6997.2</v>
      </c>
      <c r="W644" s="1">
        <v>19895.5</v>
      </c>
      <c r="X644" s="1">
        <v>0.69</v>
      </c>
      <c r="Y644" s="1">
        <v>576</v>
      </c>
      <c r="Z644" s="1">
        <v>224722</v>
      </c>
      <c r="AA644" s="1">
        <v>19.5</v>
      </c>
      <c r="AB644" s="1">
        <v>2000</v>
      </c>
    </row>
    <row r="645" spans="1:28" x14ac:dyDescent="0.4">
      <c r="A645" s="1" t="s">
        <v>58</v>
      </c>
      <c r="B645" s="1">
        <v>2000</v>
      </c>
      <c r="C645" s="1">
        <v>0.4</v>
      </c>
      <c r="D645" s="1">
        <v>0.5</v>
      </c>
      <c r="E645" s="1">
        <v>1000</v>
      </c>
      <c r="F645" s="1">
        <v>3</v>
      </c>
      <c r="G645" s="1">
        <v>4</v>
      </c>
      <c r="H645" s="1" t="s">
        <v>595</v>
      </c>
      <c r="I645" s="1">
        <v>283603</v>
      </c>
      <c r="J645" s="1">
        <v>106923.5</v>
      </c>
      <c r="K645" s="1">
        <v>176679.5</v>
      </c>
      <c r="L645" s="1">
        <v>600</v>
      </c>
      <c r="M645" s="1">
        <v>0.57999999999999996</v>
      </c>
      <c r="N645" s="1">
        <v>74154.7</v>
      </c>
      <c r="O645" s="1">
        <v>130431.1</v>
      </c>
      <c r="P645" s="1">
        <v>204585.8</v>
      </c>
      <c r="Q645" s="1">
        <v>13119.7</v>
      </c>
      <c r="R645" s="1">
        <v>7269.2</v>
      </c>
      <c r="S645" s="1">
        <v>20388.900000000001</v>
      </c>
      <c r="T645" s="1">
        <v>20.67</v>
      </c>
      <c r="U645" s="1">
        <v>0.15</v>
      </c>
      <c r="V645" s="1">
        <v>7116.3</v>
      </c>
      <c r="W645" s="1">
        <v>20236</v>
      </c>
      <c r="X645" s="1">
        <v>0.73</v>
      </c>
      <c r="Y645" s="1">
        <v>565</v>
      </c>
      <c r="Z645" s="1">
        <v>224821.8</v>
      </c>
      <c r="AA645" s="1">
        <v>20.73</v>
      </c>
      <c r="AB645" s="1">
        <v>2000</v>
      </c>
    </row>
    <row r="646" spans="1:28" x14ac:dyDescent="0.4">
      <c r="A646" s="1" t="s">
        <v>59</v>
      </c>
      <c r="B646" s="1">
        <v>2000</v>
      </c>
      <c r="C646" s="1">
        <v>0.4</v>
      </c>
      <c r="D646" s="1">
        <v>0.5</v>
      </c>
      <c r="E646" s="1">
        <v>1000</v>
      </c>
      <c r="F646" s="1">
        <v>3</v>
      </c>
      <c r="G646" s="1">
        <v>5</v>
      </c>
      <c r="H646" s="1" t="s">
        <v>595</v>
      </c>
      <c r="I646" s="1">
        <v>280909.3</v>
      </c>
      <c r="J646" s="1">
        <v>115396.7</v>
      </c>
      <c r="K646" s="1">
        <v>165512.6</v>
      </c>
      <c r="L646" s="1">
        <v>600</v>
      </c>
      <c r="M646" s="1">
        <v>0.55000000000000004</v>
      </c>
      <c r="N646" s="1">
        <v>81426</v>
      </c>
      <c r="O646" s="1">
        <v>122114</v>
      </c>
      <c r="P646" s="1">
        <v>203540</v>
      </c>
      <c r="Q646" s="1">
        <v>13045.3</v>
      </c>
      <c r="R646" s="1">
        <v>7507.3</v>
      </c>
      <c r="S646" s="1">
        <v>20552.599999999999</v>
      </c>
      <c r="T646" s="1">
        <v>20.23</v>
      </c>
      <c r="U646" s="1">
        <v>0.15</v>
      </c>
      <c r="V646" s="1">
        <v>7239.6</v>
      </c>
      <c r="W646" s="1">
        <v>20284.900000000001</v>
      </c>
      <c r="X646" s="1">
        <v>0.7</v>
      </c>
      <c r="Y646" s="1">
        <v>571</v>
      </c>
      <c r="Z646" s="1">
        <v>223824.9</v>
      </c>
      <c r="AA646" s="1">
        <v>20.32</v>
      </c>
      <c r="AB646" s="1">
        <v>2000</v>
      </c>
    </row>
    <row r="647" spans="1:28" x14ac:dyDescent="0.4">
      <c r="A647" s="1" t="s">
        <v>347</v>
      </c>
      <c r="B647" s="1">
        <v>2000</v>
      </c>
      <c r="C647" s="1">
        <v>0.4</v>
      </c>
      <c r="D647" s="1">
        <v>0.5</v>
      </c>
      <c r="E647" s="1">
        <v>2000</v>
      </c>
      <c r="F647" s="1">
        <v>1</v>
      </c>
      <c r="G647" s="1">
        <v>1</v>
      </c>
      <c r="H647" s="1" t="s">
        <v>595</v>
      </c>
      <c r="I647" s="1">
        <v>295726.09999999998</v>
      </c>
      <c r="J647" s="1">
        <v>118267.4</v>
      </c>
      <c r="K647" s="1">
        <v>177458.7</v>
      </c>
      <c r="L647" s="1">
        <v>600</v>
      </c>
      <c r="M647" s="1">
        <v>0.27</v>
      </c>
      <c r="N647" s="1">
        <v>76797.8</v>
      </c>
      <c r="O647" s="1">
        <v>124209.1</v>
      </c>
      <c r="P647" s="1">
        <v>201006.9</v>
      </c>
      <c r="Q647" s="1">
        <v>13065.6</v>
      </c>
      <c r="R647" s="1">
        <v>7287.8</v>
      </c>
      <c r="S647" s="1">
        <v>20353.400000000001</v>
      </c>
      <c r="T647" s="1">
        <v>25.15</v>
      </c>
      <c r="U647" s="1">
        <v>0.15</v>
      </c>
      <c r="V647" s="1">
        <v>7042.8</v>
      </c>
      <c r="W647" s="1">
        <v>20108.400000000001</v>
      </c>
      <c r="X647" s="1">
        <v>0.41</v>
      </c>
      <c r="Y647" s="1">
        <v>576</v>
      </c>
      <c r="Z647" s="1">
        <v>221115.3</v>
      </c>
      <c r="AA647" s="1">
        <v>25.23</v>
      </c>
      <c r="AB647" s="1">
        <v>2000</v>
      </c>
    </row>
    <row r="648" spans="1:28" x14ac:dyDescent="0.4">
      <c r="A648" s="1" t="s">
        <v>348</v>
      </c>
      <c r="B648" s="1">
        <v>2000</v>
      </c>
      <c r="C648" s="1">
        <v>0.4</v>
      </c>
      <c r="D648" s="1">
        <v>0.5</v>
      </c>
      <c r="E648" s="1">
        <v>2000</v>
      </c>
      <c r="F648" s="1">
        <v>1</v>
      </c>
      <c r="G648" s="1">
        <v>2</v>
      </c>
      <c r="H648" s="1" t="s">
        <v>595</v>
      </c>
      <c r="I648" s="1">
        <v>298600.8</v>
      </c>
      <c r="J648" s="1">
        <v>119219.5</v>
      </c>
      <c r="K648" s="1">
        <v>179381.3</v>
      </c>
      <c r="L648" s="1">
        <v>600</v>
      </c>
      <c r="M648" s="1">
        <v>0.28999999999999998</v>
      </c>
      <c r="N648" s="1">
        <v>79792</v>
      </c>
      <c r="O648" s="1">
        <v>124008.4</v>
      </c>
      <c r="P648" s="1">
        <v>203800.4</v>
      </c>
      <c r="Q648" s="1">
        <v>13350.2</v>
      </c>
      <c r="R648" s="1">
        <v>6938.6</v>
      </c>
      <c r="S648" s="1">
        <v>20288.8</v>
      </c>
      <c r="T648" s="1">
        <v>24.95</v>
      </c>
      <c r="U648" s="1">
        <v>0.14000000000000001</v>
      </c>
      <c r="V648" s="1">
        <v>6686.8</v>
      </c>
      <c r="W648" s="1">
        <v>20037</v>
      </c>
      <c r="X648" s="1">
        <v>0.42</v>
      </c>
      <c r="Y648" s="1">
        <v>584</v>
      </c>
      <c r="Z648" s="1">
        <v>223837.4</v>
      </c>
      <c r="AA648" s="1">
        <v>25.04</v>
      </c>
      <c r="AB648" s="1">
        <v>2000</v>
      </c>
    </row>
    <row r="649" spans="1:28" x14ac:dyDescent="0.4">
      <c r="A649" s="1" t="s">
        <v>349</v>
      </c>
      <c r="B649" s="1">
        <v>2000</v>
      </c>
      <c r="C649" s="1">
        <v>0.4</v>
      </c>
      <c r="D649" s="1">
        <v>0.5</v>
      </c>
      <c r="E649" s="1">
        <v>2000</v>
      </c>
      <c r="F649" s="1">
        <v>1</v>
      </c>
      <c r="G649" s="1">
        <v>3</v>
      </c>
      <c r="H649" s="1" t="s">
        <v>595</v>
      </c>
      <c r="I649" s="1">
        <v>292993.3</v>
      </c>
      <c r="J649" s="1">
        <v>117695.9</v>
      </c>
      <c r="K649" s="1">
        <v>175297.4</v>
      </c>
      <c r="L649" s="1">
        <v>600</v>
      </c>
      <c r="M649" s="1">
        <v>0.26</v>
      </c>
      <c r="N649" s="1">
        <v>79415.8</v>
      </c>
      <c r="O649" s="1">
        <v>124153.4</v>
      </c>
      <c r="P649" s="1">
        <v>203569.2</v>
      </c>
      <c r="Q649" s="1">
        <v>13080.5</v>
      </c>
      <c r="R649" s="1">
        <v>6802.6</v>
      </c>
      <c r="S649" s="1">
        <v>19883.099999999999</v>
      </c>
      <c r="T649" s="1">
        <v>23.73</v>
      </c>
      <c r="U649" s="1">
        <v>0.16</v>
      </c>
      <c r="V649" s="1">
        <v>6631.7</v>
      </c>
      <c r="W649" s="1">
        <v>19712.2</v>
      </c>
      <c r="X649" s="1">
        <v>0.42</v>
      </c>
      <c r="Y649" s="1">
        <v>591</v>
      </c>
      <c r="Z649" s="1">
        <v>223281.4</v>
      </c>
      <c r="AA649" s="1">
        <v>23.79</v>
      </c>
      <c r="AB649" s="1">
        <v>2000</v>
      </c>
    </row>
    <row r="650" spans="1:28" x14ac:dyDescent="0.4">
      <c r="A650" s="1" t="s">
        <v>350</v>
      </c>
      <c r="B650" s="1">
        <v>2000</v>
      </c>
      <c r="C650" s="1">
        <v>0.4</v>
      </c>
      <c r="D650" s="1">
        <v>0.5</v>
      </c>
      <c r="E650" s="1">
        <v>2000</v>
      </c>
      <c r="F650" s="1">
        <v>1</v>
      </c>
      <c r="G650" s="1">
        <v>4</v>
      </c>
      <c r="H650" s="1" t="s">
        <v>595</v>
      </c>
      <c r="I650" s="1">
        <v>301400.5</v>
      </c>
      <c r="J650" s="1">
        <v>122960.4</v>
      </c>
      <c r="K650" s="1">
        <v>178440.1</v>
      </c>
      <c r="L650" s="1">
        <v>600</v>
      </c>
      <c r="M650" s="1">
        <v>0.28999999999999998</v>
      </c>
      <c r="N650" s="1">
        <v>80028.3</v>
      </c>
      <c r="O650" s="1">
        <v>120582.1</v>
      </c>
      <c r="P650" s="1">
        <v>200610.4</v>
      </c>
      <c r="Q650" s="1">
        <v>13473.3</v>
      </c>
      <c r="R650" s="1">
        <v>6996</v>
      </c>
      <c r="S650" s="1">
        <v>20469.3</v>
      </c>
      <c r="T650" s="1">
        <v>26.65</v>
      </c>
      <c r="U650" s="1">
        <v>0.12</v>
      </c>
      <c r="V650" s="1">
        <v>6882.4</v>
      </c>
      <c r="W650" s="1">
        <v>20355.7</v>
      </c>
      <c r="X650" s="1">
        <v>0.4</v>
      </c>
      <c r="Y650" s="1">
        <v>590</v>
      </c>
      <c r="Z650" s="1">
        <v>220966.1</v>
      </c>
      <c r="AA650" s="1">
        <v>26.69</v>
      </c>
      <c r="AB650" s="1">
        <v>2000</v>
      </c>
    </row>
    <row r="651" spans="1:28" x14ac:dyDescent="0.4">
      <c r="A651" s="1" t="s">
        <v>351</v>
      </c>
      <c r="B651" s="1">
        <v>2000</v>
      </c>
      <c r="C651" s="1">
        <v>0.4</v>
      </c>
      <c r="D651" s="1">
        <v>0.5</v>
      </c>
      <c r="E651" s="1">
        <v>2000</v>
      </c>
      <c r="F651" s="1">
        <v>1</v>
      </c>
      <c r="G651" s="1">
        <v>5</v>
      </c>
      <c r="H651" s="1" t="s">
        <v>595</v>
      </c>
      <c r="I651" s="1">
        <v>299455.59999999998</v>
      </c>
      <c r="J651" s="1">
        <v>121744.5</v>
      </c>
      <c r="K651" s="1">
        <v>177711.1</v>
      </c>
      <c r="L651" s="1">
        <v>600</v>
      </c>
      <c r="M651" s="1">
        <v>0.3</v>
      </c>
      <c r="N651" s="1">
        <v>79348.800000000003</v>
      </c>
      <c r="O651" s="1">
        <v>121950.3</v>
      </c>
      <c r="P651" s="1">
        <v>201299.1</v>
      </c>
      <c r="Q651" s="1">
        <v>13328.2</v>
      </c>
      <c r="R651" s="1">
        <v>7157.5</v>
      </c>
      <c r="S651" s="1">
        <v>20485.7</v>
      </c>
      <c r="T651" s="1">
        <v>25.94</v>
      </c>
      <c r="U651" s="1">
        <v>0.14000000000000001</v>
      </c>
      <c r="V651" s="1">
        <v>6979.7</v>
      </c>
      <c r="W651" s="1">
        <v>20307.900000000001</v>
      </c>
      <c r="X651" s="1">
        <v>0.43</v>
      </c>
      <c r="Y651" s="1">
        <v>578</v>
      </c>
      <c r="Z651" s="1">
        <v>221607</v>
      </c>
      <c r="AA651" s="1">
        <v>26</v>
      </c>
      <c r="AB651" s="1">
        <v>2000</v>
      </c>
    </row>
    <row r="652" spans="1:28" x14ac:dyDescent="0.4">
      <c r="A652" s="1" t="s">
        <v>352</v>
      </c>
      <c r="B652" s="1">
        <v>2000</v>
      </c>
      <c r="C652" s="1">
        <v>0.4</v>
      </c>
      <c r="D652" s="1">
        <v>0.5</v>
      </c>
      <c r="E652" s="1">
        <v>2000</v>
      </c>
      <c r="F652" s="1">
        <v>2</v>
      </c>
      <c r="G652" s="1">
        <v>1</v>
      </c>
      <c r="H652" s="1" t="s">
        <v>595</v>
      </c>
      <c r="I652" s="1">
        <v>447962.7</v>
      </c>
      <c r="J652" s="1">
        <v>187483.7</v>
      </c>
      <c r="K652" s="1">
        <v>260479</v>
      </c>
      <c r="L652" s="1">
        <v>600</v>
      </c>
      <c r="M652" s="1">
        <v>0.61</v>
      </c>
      <c r="N652" s="1">
        <v>132352.29999999999</v>
      </c>
      <c r="O652" s="1">
        <v>189668.7</v>
      </c>
      <c r="P652" s="1">
        <v>322021</v>
      </c>
      <c r="Q652" s="1">
        <v>12640.3</v>
      </c>
      <c r="R652" s="1">
        <v>7062.9</v>
      </c>
      <c r="S652" s="1">
        <v>19703.2</v>
      </c>
      <c r="T652" s="1">
        <v>23.72</v>
      </c>
      <c r="U652" s="1">
        <v>0.19</v>
      </c>
      <c r="V652" s="1">
        <v>6812.1</v>
      </c>
      <c r="W652" s="1">
        <v>19452.400000000001</v>
      </c>
      <c r="X652" s="1">
        <v>0.8</v>
      </c>
      <c r="Y652" s="1">
        <v>568</v>
      </c>
      <c r="Z652" s="1">
        <v>341473.4</v>
      </c>
      <c r="AA652" s="1">
        <v>23.77</v>
      </c>
      <c r="AB652" s="1">
        <v>2000</v>
      </c>
    </row>
    <row r="653" spans="1:28" x14ac:dyDescent="0.4">
      <c r="A653" s="1" t="s">
        <v>353</v>
      </c>
      <c r="B653" s="1">
        <v>2000</v>
      </c>
      <c r="C653" s="1">
        <v>0.4</v>
      </c>
      <c r="D653" s="1">
        <v>0.5</v>
      </c>
      <c r="E653" s="1">
        <v>2000</v>
      </c>
      <c r="F653" s="1">
        <v>2</v>
      </c>
      <c r="G653" s="1">
        <v>2</v>
      </c>
      <c r="H653" s="1" t="s">
        <v>595</v>
      </c>
      <c r="I653" s="1">
        <v>453956.8</v>
      </c>
      <c r="J653" s="1">
        <v>177453.1</v>
      </c>
      <c r="K653" s="1">
        <v>276503.7</v>
      </c>
      <c r="L653" s="1">
        <v>600</v>
      </c>
      <c r="M653" s="1">
        <v>0.71</v>
      </c>
      <c r="N653" s="1">
        <v>123000.1</v>
      </c>
      <c r="O653" s="1">
        <v>201078</v>
      </c>
      <c r="P653" s="1">
        <v>324078.09999999998</v>
      </c>
      <c r="Q653" s="1">
        <v>13328.4</v>
      </c>
      <c r="R653" s="1">
        <v>7374.9</v>
      </c>
      <c r="S653" s="1">
        <v>20703.3</v>
      </c>
      <c r="T653" s="1">
        <v>24.05</v>
      </c>
      <c r="U653" s="1">
        <v>0.15</v>
      </c>
      <c r="V653" s="1">
        <v>7136.5</v>
      </c>
      <c r="W653" s="1">
        <v>20464.900000000001</v>
      </c>
      <c r="X653" s="1">
        <v>0.86</v>
      </c>
      <c r="Y653" s="1">
        <v>579</v>
      </c>
      <c r="Z653" s="1">
        <v>344543</v>
      </c>
      <c r="AA653" s="1">
        <v>24.1</v>
      </c>
      <c r="AB653" s="1">
        <v>2000</v>
      </c>
    </row>
    <row r="654" spans="1:28" x14ac:dyDescent="0.4">
      <c r="A654" s="1" t="s">
        <v>354</v>
      </c>
      <c r="B654" s="1">
        <v>2000</v>
      </c>
      <c r="C654" s="1">
        <v>0.4</v>
      </c>
      <c r="D654" s="1">
        <v>0.5</v>
      </c>
      <c r="E654" s="1">
        <v>2000</v>
      </c>
      <c r="F654" s="1">
        <v>2</v>
      </c>
      <c r="G654" s="1">
        <v>3</v>
      </c>
      <c r="H654" s="1" t="s">
        <v>595</v>
      </c>
      <c r="I654" s="1">
        <v>446076.3</v>
      </c>
      <c r="J654" s="1">
        <v>172106.3</v>
      </c>
      <c r="K654" s="1">
        <v>273970</v>
      </c>
      <c r="L654" s="1">
        <v>600</v>
      </c>
      <c r="M654" s="1">
        <v>0.63</v>
      </c>
      <c r="N654" s="1">
        <v>120282.1</v>
      </c>
      <c r="O654" s="1">
        <v>197506.5</v>
      </c>
      <c r="P654" s="1">
        <v>317788.59999999998</v>
      </c>
      <c r="Q654" s="1">
        <v>12901.1</v>
      </c>
      <c r="R654" s="1">
        <v>6897.8</v>
      </c>
      <c r="S654" s="1">
        <v>19798.900000000001</v>
      </c>
      <c r="T654" s="1">
        <v>24.32</v>
      </c>
      <c r="U654" s="1">
        <v>0.18</v>
      </c>
      <c r="V654" s="1">
        <v>6702.4</v>
      </c>
      <c r="W654" s="1">
        <v>19603.5</v>
      </c>
      <c r="X654" s="1">
        <v>0.8</v>
      </c>
      <c r="Y654" s="1">
        <v>569</v>
      </c>
      <c r="Z654" s="1">
        <v>337392.1</v>
      </c>
      <c r="AA654" s="1">
        <v>24.36</v>
      </c>
      <c r="AB654" s="1">
        <v>2000</v>
      </c>
    </row>
    <row r="655" spans="1:28" x14ac:dyDescent="0.4">
      <c r="A655" s="1" t="s">
        <v>355</v>
      </c>
      <c r="B655" s="1">
        <v>2000</v>
      </c>
      <c r="C655" s="1">
        <v>0.4</v>
      </c>
      <c r="D655" s="1">
        <v>0.5</v>
      </c>
      <c r="E655" s="1">
        <v>2000</v>
      </c>
      <c r="F655" s="1">
        <v>2</v>
      </c>
      <c r="G655" s="1">
        <v>4</v>
      </c>
      <c r="H655" s="1" t="s">
        <v>595</v>
      </c>
      <c r="I655" s="1">
        <v>439522.5</v>
      </c>
      <c r="J655" s="1">
        <v>174035.5</v>
      </c>
      <c r="K655" s="1">
        <v>265487</v>
      </c>
      <c r="L655" s="1">
        <v>600</v>
      </c>
      <c r="M655" s="1">
        <v>0.72</v>
      </c>
      <c r="N655" s="1">
        <v>121102.5</v>
      </c>
      <c r="O655" s="1">
        <v>191562.9</v>
      </c>
      <c r="P655" s="1">
        <v>312665.40000000002</v>
      </c>
      <c r="Q655" s="1">
        <v>12882</v>
      </c>
      <c r="R655" s="1">
        <v>6752.9</v>
      </c>
      <c r="S655" s="1">
        <v>19634.900000000001</v>
      </c>
      <c r="T655" s="1">
        <v>24.4</v>
      </c>
      <c r="U655" s="1">
        <v>0.18</v>
      </c>
      <c r="V655" s="1">
        <v>6557.7</v>
      </c>
      <c r="W655" s="1">
        <v>19439.7</v>
      </c>
      <c r="X655" s="1">
        <v>0.9</v>
      </c>
      <c r="Y655" s="1">
        <v>578</v>
      </c>
      <c r="Z655" s="1">
        <v>332105.09999999998</v>
      </c>
      <c r="AA655" s="1">
        <v>24.44</v>
      </c>
      <c r="AB655" s="1">
        <v>2000</v>
      </c>
    </row>
    <row r="656" spans="1:28" x14ac:dyDescent="0.4">
      <c r="A656" s="1" t="s">
        <v>356</v>
      </c>
      <c r="B656" s="1">
        <v>2000</v>
      </c>
      <c r="C656" s="1">
        <v>0.4</v>
      </c>
      <c r="D656" s="1">
        <v>0.5</v>
      </c>
      <c r="E656" s="1">
        <v>2000</v>
      </c>
      <c r="F656" s="1">
        <v>2</v>
      </c>
      <c r="G656" s="1">
        <v>5</v>
      </c>
      <c r="H656" s="1" t="s">
        <v>595</v>
      </c>
      <c r="I656" s="1">
        <v>445828</v>
      </c>
      <c r="J656" s="1">
        <v>180145.2</v>
      </c>
      <c r="K656" s="1">
        <v>265682.8</v>
      </c>
      <c r="L656" s="1">
        <v>600</v>
      </c>
      <c r="M656" s="1">
        <v>0.73</v>
      </c>
      <c r="N656" s="1">
        <v>121621.3</v>
      </c>
      <c r="O656" s="1">
        <v>192658.2</v>
      </c>
      <c r="P656" s="1">
        <v>314279.5</v>
      </c>
      <c r="Q656" s="1">
        <v>12833.7</v>
      </c>
      <c r="R656" s="1">
        <v>7437.3</v>
      </c>
      <c r="S656" s="1">
        <v>20271</v>
      </c>
      <c r="T656" s="1">
        <v>24.96</v>
      </c>
      <c r="U656" s="1">
        <v>0.21</v>
      </c>
      <c r="V656" s="1">
        <v>7141.8</v>
      </c>
      <c r="W656" s="1">
        <v>19975.5</v>
      </c>
      <c r="X656" s="1">
        <v>0.94</v>
      </c>
      <c r="Y656" s="1">
        <v>567</v>
      </c>
      <c r="Z656" s="1">
        <v>334255</v>
      </c>
      <c r="AA656" s="1">
        <v>25.03</v>
      </c>
      <c r="AB656" s="1">
        <v>2000</v>
      </c>
    </row>
    <row r="657" spans="1:28" x14ac:dyDescent="0.4">
      <c r="A657" s="1" t="s">
        <v>357</v>
      </c>
      <c r="B657" s="1">
        <v>2000</v>
      </c>
      <c r="C657" s="1">
        <v>0.4</v>
      </c>
      <c r="D657" s="1">
        <v>0.5</v>
      </c>
      <c r="E657" s="1">
        <v>2000</v>
      </c>
      <c r="F657" s="1">
        <v>3</v>
      </c>
      <c r="G657" s="1">
        <v>1</v>
      </c>
      <c r="H657" s="1" t="s">
        <v>595</v>
      </c>
      <c r="I657" s="1">
        <v>562335.69999999995</v>
      </c>
      <c r="J657" s="1">
        <v>220931.3</v>
      </c>
      <c r="K657" s="1">
        <v>341404.4</v>
      </c>
      <c r="L657" s="1">
        <v>600</v>
      </c>
      <c r="M657" s="1">
        <v>1.07</v>
      </c>
      <c r="N657" s="1">
        <v>160745.70000000001</v>
      </c>
      <c r="O657" s="1">
        <v>259767.8</v>
      </c>
      <c r="P657" s="1">
        <v>420513.5</v>
      </c>
      <c r="Q657" s="1">
        <v>13230.5</v>
      </c>
      <c r="R657" s="1">
        <v>7378.8</v>
      </c>
      <c r="S657" s="1">
        <v>20609.3</v>
      </c>
      <c r="T657" s="1">
        <v>21.56</v>
      </c>
      <c r="U657" s="1">
        <v>0.19</v>
      </c>
      <c r="V657" s="1">
        <v>7128.9</v>
      </c>
      <c r="W657" s="1">
        <v>20359.400000000001</v>
      </c>
      <c r="X657" s="1">
        <v>1.26</v>
      </c>
      <c r="Y657" s="1">
        <v>580</v>
      </c>
      <c r="Z657" s="1">
        <v>440872.9</v>
      </c>
      <c r="AA657" s="1">
        <v>21.6</v>
      </c>
      <c r="AB657" s="1">
        <v>2000</v>
      </c>
    </row>
    <row r="658" spans="1:28" x14ac:dyDescent="0.4">
      <c r="A658" s="1" t="s">
        <v>358</v>
      </c>
      <c r="B658" s="1">
        <v>2000</v>
      </c>
      <c r="C658" s="1">
        <v>0.4</v>
      </c>
      <c r="D658" s="1">
        <v>0.5</v>
      </c>
      <c r="E658" s="1">
        <v>2000</v>
      </c>
      <c r="F658" s="1">
        <v>3</v>
      </c>
      <c r="G658" s="1">
        <v>2</v>
      </c>
      <c r="H658" s="1" t="s">
        <v>595</v>
      </c>
      <c r="I658" s="1">
        <v>564231</v>
      </c>
      <c r="J658" s="1">
        <v>222582</v>
      </c>
      <c r="K658" s="1">
        <v>341649</v>
      </c>
      <c r="L658" s="1">
        <v>600</v>
      </c>
      <c r="M658" s="1">
        <v>1.1499999999999999</v>
      </c>
      <c r="N658" s="1">
        <v>160491.1</v>
      </c>
      <c r="O658" s="1">
        <v>258395</v>
      </c>
      <c r="P658" s="1">
        <v>418886.1</v>
      </c>
      <c r="Q658" s="1">
        <v>13154.4</v>
      </c>
      <c r="R658" s="1">
        <v>7108.8</v>
      </c>
      <c r="S658" s="1">
        <v>20263.2</v>
      </c>
      <c r="T658" s="1">
        <v>22.17</v>
      </c>
      <c r="U658" s="1">
        <v>0.18</v>
      </c>
      <c r="V658" s="1">
        <v>6824.9</v>
      </c>
      <c r="W658" s="1">
        <v>19979.3</v>
      </c>
      <c r="X658" s="1">
        <v>1.33</v>
      </c>
      <c r="Y658" s="1">
        <v>570</v>
      </c>
      <c r="Z658" s="1">
        <v>438865.4</v>
      </c>
      <c r="AA658" s="1">
        <v>22.22</v>
      </c>
      <c r="AB658" s="1">
        <v>2000</v>
      </c>
    </row>
    <row r="659" spans="1:28" x14ac:dyDescent="0.4">
      <c r="A659" s="1" t="s">
        <v>359</v>
      </c>
      <c r="B659" s="1">
        <v>2000</v>
      </c>
      <c r="C659" s="1">
        <v>0.4</v>
      </c>
      <c r="D659" s="1">
        <v>0.5</v>
      </c>
      <c r="E659" s="1">
        <v>2000</v>
      </c>
      <c r="F659" s="1">
        <v>3</v>
      </c>
      <c r="G659" s="1">
        <v>3</v>
      </c>
      <c r="H659" s="1" t="s">
        <v>595</v>
      </c>
      <c r="I659" s="1">
        <v>568389.69999999995</v>
      </c>
      <c r="J659" s="1">
        <v>224541</v>
      </c>
      <c r="K659" s="1">
        <v>343848.7</v>
      </c>
      <c r="L659" s="1">
        <v>600</v>
      </c>
      <c r="M659" s="1">
        <v>1</v>
      </c>
      <c r="N659" s="1">
        <v>157909.79999999999</v>
      </c>
      <c r="O659" s="1">
        <v>254125</v>
      </c>
      <c r="P659" s="1">
        <v>412034.8</v>
      </c>
      <c r="Q659" s="1">
        <v>13106.3</v>
      </c>
      <c r="R659" s="1">
        <v>7610.9</v>
      </c>
      <c r="S659" s="1">
        <v>20717.2</v>
      </c>
      <c r="T659" s="1">
        <v>23.86</v>
      </c>
      <c r="U659" s="1">
        <v>0.16</v>
      </c>
      <c r="V659" s="1">
        <v>7361.5</v>
      </c>
      <c r="W659" s="1">
        <v>20467.8</v>
      </c>
      <c r="X659" s="1">
        <v>1.1599999999999999</v>
      </c>
      <c r="Y659" s="1">
        <v>573</v>
      </c>
      <c r="Z659" s="1">
        <v>432502.6</v>
      </c>
      <c r="AA659" s="1">
        <v>23.91</v>
      </c>
      <c r="AB659" s="1">
        <v>2000</v>
      </c>
    </row>
    <row r="660" spans="1:28" x14ac:dyDescent="0.4">
      <c r="A660" s="1" t="s">
        <v>360</v>
      </c>
      <c r="B660" s="1">
        <v>2000</v>
      </c>
      <c r="C660" s="1">
        <v>0.4</v>
      </c>
      <c r="D660" s="1">
        <v>0.5</v>
      </c>
      <c r="E660" s="1">
        <v>2000</v>
      </c>
      <c r="F660" s="1">
        <v>3</v>
      </c>
      <c r="G660" s="1">
        <v>4</v>
      </c>
      <c r="H660" s="1" t="s">
        <v>595</v>
      </c>
      <c r="I660" s="1">
        <v>568260.4</v>
      </c>
      <c r="J660" s="1">
        <v>228002</v>
      </c>
      <c r="K660" s="1">
        <v>340258.4</v>
      </c>
      <c r="L660" s="1">
        <v>600</v>
      </c>
      <c r="M660" s="1">
        <v>1.21</v>
      </c>
      <c r="N660" s="1">
        <v>169177.9</v>
      </c>
      <c r="O660" s="1">
        <v>263329.59999999998</v>
      </c>
      <c r="P660" s="1">
        <v>432507.5</v>
      </c>
      <c r="Q660" s="1">
        <v>12742</v>
      </c>
      <c r="R660" s="1">
        <v>7042.4</v>
      </c>
      <c r="S660" s="1">
        <v>19784.400000000001</v>
      </c>
      <c r="T660" s="1">
        <v>20.41</v>
      </c>
      <c r="U660" s="1">
        <v>0.18</v>
      </c>
      <c r="V660" s="1">
        <v>6850.9</v>
      </c>
      <c r="W660" s="1">
        <v>19592.900000000001</v>
      </c>
      <c r="X660" s="1">
        <v>1.38</v>
      </c>
      <c r="Y660" s="1">
        <v>565</v>
      </c>
      <c r="Z660" s="1">
        <v>452100.4</v>
      </c>
      <c r="AA660" s="1">
        <v>20.440000000000001</v>
      </c>
      <c r="AB660" s="1">
        <v>2000</v>
      </c>
    </row>
    <row r="661" spans="1:28" x14ac:dyDescent="0.4">
      <c r="A661" s="1" t="s">
        <v>361</v>
      </c>
      <c r="B661" s="1">
        <v>2000</v>
      </c>
      <c r="C661" s="1">
        <v>0.4</v>
      </c>
      <c r="D661" s="1">
        <v>0.5</v>
      </c>
      <c r="E661" s="1">
        <v>2000</v>
      </c>
      <c r="F661" s="1">
        <v>3</v>
      </c>
      <c r="G661" s="1">
        <v>5</v>
      </c>
      <c r="H661" s="1" t="s">
        <v>595</v>
      </c>
      <c r="I661" s="1">
        <v>567033.1</v>
      </c>
      <c r="J661" s="1">
        <v>227548.79999999999</v>
      </c>
      <c r="K661" s="1">
        <v>339484.3</v>
      </c>
      <c r="L661" s="1">
        <v>600</v>
      </c>
      <c r="M661" s="1">
        <v>1.0900000000000001</v>
      </c>
      <c r="N661" s="1">
        <v>162093</v>
      </c>
      <c r="O661" s="1">
        <v>255040.2</v>
      </c>
      <c r="P661" s="1">
        <v>417133.2</v>
      </c>
      <c r="Q661" s="1">
        <v>13057</v>
      </c>
      <c r="R661" s="1">
        <v>7446.4</v>
      </c>
      <c r="S661" s="1">
        <v>20503.400000000001</v>
      </c>
      <c r="T661" s="1">
        <v>22.82</v>
      </c>
      <c r="U661" s="1">
        <v>0.17</v>
      </c>
      <c r="V661" s="1">
        <v>7252.7</v>
      </c>
      <c r="W661" s="1">
        <v>20309.7</v>
      </c>
      <c r="X661" s="1">
        <v>1.26</v>
      </c>
      <c r="Y661" s="1">
        <v>571</v>
      </c>
      <c r="Z661" s="1">
        <v>437442.9</v>
      </c>
      <c r="AA661" s="1">
        <v>22.85</v>
      </c>
      <c r="AB661" s="1">
        <v>2000</v>
      </c>
    </row>
    <row r="662" spans="1:28" x14ac:dyDescent="0.4">
      <c r="A662" s="1" t="s">
        <v>362</v>
      </c>
      <c r="B662" s="1">
        <v>2000</v>
      </c>
      <c r="C662" s="1">
        <v>0.4</v>
      </c>
      <c r="D662" s="1">
        <v>0.5</v>
      </c>
      <c r="E662" s="1">
        <v>500</v>
      </c>
      <c r="F662" s="1">
        <v>1</v>
      </c>
      <c r="G662" s="1">
        <v>1</v>
      </c>
      <c r="H662" s="1" t="s">
        <v>595</v>
      </c>
      <c r="I662" s="1">
        <v>72750.3</v>
      </c>
      <c r="J662" s="1">
        <v>28783.5</v>
      </c>
      <c r="K662" s="1">
        <v>43966.8</v>
      </c>
      <c r="L662" s="1">
        <v>600</v>
      </c>
      <c r="M662" s="1">
        <v>0.16</v>
      </c>
      <c r="N662" s="1">
        <v>16398.099999999999</v>
      </c>
      <c r="O662" s="1">
        <v>28715.3</v>
      </c>
      <c r="P662" s="1">
        <v>45113.4</v>
      </c>
      <c r="Q662" s="1">
        <v>12221.4</v>
      </c>
      <c r="R662" s="1">
        <v>5107.5</v>
      </c>
      <c r="S662" s="1">
        <v>17328.900000000001</v>
      </c>
      <c r="T662" s="1">
        <v>14.17</v>
      </c>
      <c r="U662" s="1">
        <v>0.05</v>
      </c>
      <c r="V662" s="1">
        <v>4972.3</v>
      </c>
      <c r="W662" s="1">
        <v>17193.7</v>
      </c>
      <c r="X662" s="1">
        <v>0.21</v>
      </c>
      <c r="Y662" s="1">
        <v>498</v>
      </c>
      <c r="Z662" s="1">
        <v>62307.1</v>
      </c>
      <c r="AA662" s="1">
        <v>14.35</v>
      </c>
      <c r="AB662" s="1">
        <v>2000</v>
      </c>
    </row>
    <row r="663" spans="1:28" x14ac:dyDescent="0.4">
      <c r="A663" s="1" t="s">
        <v>363</v>
      </c>
      <c r="B663" s="1">
        <v>2000</v>
      </c>
      <c r="C663" s="1">
        <v>0.4</v>
      </c>
      <c r="D663" s="1">
        <v>0.5</v>
      </c>
      <c r="E663" s="1">
        <v>500</v>
      </c>
      <c r="F663" s="1">
        <v>1</v>
      </c>
      <c r="G663" s="1">
        <v>2</v>
      </c>
      <c r="H663" s="1" t="s">
        <v>595</v>
      </c>
      <c r="I663" s="1">
        <v>73605.100000000006</v>
      </c>
      <c r="J663" s="1">
        <v>29630.9</v>
      </c>
      <c r="K663" s="1">
        <v>43974.2</v>
      </c>
      <c r="L663" s="1">
        <v>600</v>
      </c>
      <c r="M663" s="1">
        <v>0.18</v>
      </c>
      <c r="N663" s="1">
        <v>18984.3</v>
      </c>
      <c r="O663" s="1">
        <v>28815.1</v>
      </c>
      <c r="P663" s="1">
        <v>47799.4</v>
      </c>
      <c r="Q663" s="1">
        <v>12536.9</v>
      </c>
      <c r="R663" s="1">
        <v>5138.1000000000004</v>
      </c>
      <c r="S663" s="1">
        <v>17675</v>
      </c>
      <c r="T663" s="1">
        <v>11.05</v>
      </c>
      <c r="U663" s="1">
        <v>0.05</v>
      </c>
      <c r="V663" s="1">
        <v>5009.7</v>
      </c>
      <c r="W663" s="1">
        <v>17546.599999999999</v>
      </c>
      <c r="X663" s="1">
        <v>0.23</v>
      </c>
      <c r="Y663" s="1">
        <v>525</v>
      </c>
      <c r="Z663" s="1">
        <v>65346</v>
      </c>
      <c r="AA663" s="1">
        <v>11.22</v>
      </c>
      <c r="AB663" s="1">
        <v>2000</v>
      </c>
    </row>
    <row r="664" spans="1:28" x14ac:dyDescent="0.4">
      <c r="A664" s="1" t="s">
        <v>364</v>
      </c>
      <c r="B664" s="1">
        <v>2000</v>
      </c>
      <c r="C664" s="1">
        <v>0.4</v>
      </c>
      <c r="D664" s="1">
        <v>0.5</v>
      </c>
      <c r="E664" s="1">
        <v>500</v>
      </c>
      <c r="F664" s="1">
        <v>1</v>
      </c>
      <c r="G664" s="1">
        <v>3</v>
      </c>
      <c r="H664" s="1" t="s">
        <v>595</v>
      </c>
      <c r="I664" s="1">
        <v>76455.600000000006</v>
      </c>
      <c r="J664" s="1">
        <v>31014.400000000001</v>
      </c>
      <c r="K664" s="1">
        <v>45441.2</v>
      </c>
      <c r="L664" s="1">
        <v>600</v>
      </c>
      <c r="M664" s="1">
        <v>0.19</v>
      </c>
      <c r="N664" s="1">
        <v>19552.099999999999</v>
      </c>
      <c r="O664" s="1">
        <v>30883</v>
      </c>
      <c r="P664" s="1">
        <v>50435.1</v>
      </c>
      <c r="Q664" s="1">
        <v>11335.1</v>
      </c>
      <c r="R664" s="1">
        <v>5167.7</v>
      </c>
      <c r="S664" s="1">
        <v>16502.8</v>
      </c>
      <c r="T664" s="1">
        <v>12.45</v>
      </c>
      <c r="U664" s="1">
        <v>0.05</v>
      </c>
      <c r="V664" s="1">
        <v>4982.2</v>
      </c>
      <c r="W664" s="1">
        <v>16317.3</v>
      </c>
      <c r="X664" s="1">
        <v>0.24</v>
      </c>
      <c r="Y664" s="1">
        <v>476</v>
      </c>
      <c r="Z664" s="1">
        <v>66752.399999999994</v>
      </c>
      <c r="AA664" s="1">
        <v>12.69</v>
      </c>
      <c r="AB664" s="1">
        <v>2000</v>
      </c>
    </row>
    <row r="665" spans="1:28" x14ac:dyDescent="0.4">
      <c r="A665" s="1" t="s">
        <v>365</v>
      </c>
      <c r="B665" s="1">
        <v>2000</v>
      </c>
      <c r="C665" s="1">
        <v>0.4</v>
      </c>
      <c r="D665" s="1">
        <v>0.5</v>
      </c>
      <c r="E665" s="1">
        <v>500</v>
      </c>
      <c r="F665" s="1">
        <v>1</v>
      </c>
      <c r="G665" s="1">
        <v>4</v>
      </c>
      <c r="H665" s="1" t="s">
        <v>595</v>
      </c>
      <c r="I665" s="1">
        <v>73701.600000000006</v>
      </c>
      <c r="J665" s="1">
        <v>29454.6</v>
      </c>
      <c r="K665" s="1">
        <v>44247</v>
      </c>
      <c r="L665" s="1">
        <v>600</v>
      </c>
      <c r="M665" s="1">
        <v>0.19</v>
      </c>
      <c r="N665" s="1">
        <v>20206.7</v>
      </c>
      <c r="O665" s="1">
        <v>32486.1</v>
      </c>
      <c r="P665" s="1">
        <v>52692.800000000003</v>
      </c>
      <c r="Q665" s="1">
        <v>9297.2999999999993</v>
      </c>
      <c r="R665" s="1">
        <v>3950.3</v>
      </c>
      <c r="S665" s="1">
        <v>13247.6</v>
      </c>
      <c r="T665" s="1">
        <v>10.53</v>
      </c>
      <c r="U665" s="1">
        <v>0.02</v>
      </c>
      <c r="V665" s="1">
        <v>3902.6</v>
      </c>
      <c r="W665" s="1">
        <v>13199.9</v>
      </c>
      <c r="X665" s="1">
        <v>0.21</v>
      </c>
      <c r="Y665" s="1">
        <v>375</v>
      </c>
      <c r="Z665" s="1">
        <v>65892.7</v>
      </c>
      <c r="AA665" s="1">
        <v>10.6</v>
      </c>
      <c r="AB665" s="1">
        <v>2000</v>
      </c>
    </row>
    <row r="666" spans="1:28" x14ac:dyDescent="0.4">
      <c r="A666" s="1" t="s">
        <v>366</v>
      </c>
      <c r="B666" s="1">
        <v>2000</v>
      </c>
      <c r="C666" s="1">
        <v>0.4</v>
      </c>
      <c r="D666" s="1">
        <v>0.5</v>
      </c>
      <c r="E666" s="1">
        <v>500</v>
      </c>
      <c r="F666" s="1">
        <v>1</v>
      </c>
      <c r="G666" s="1">
        <v>5</v>
      </c>
      <c r="H666" s="1" t="s">
        <v>595</v>
      </c>
      <c r="I666" s="1">
        <v>76721.100000000006</v>
      </c>
      <c r="J666" s="1">
        <v>28543.3</v>
      </c>
      <c r="K666" s="1">
        <v>48177.8</v>
      </c>
      <c r="L666" s="1">
        <v>600</v>
      </c>
      <c r="M666" s="1">
        <v>0.18</v>
      </c>
      <c r="N666" s="1">
        <v>18009.599999999999</v>
      </c>
      <c r="O666" s="1">
        <v>32125</v>
      </c>
      <c r="P666" s="1">
        <v>50134.6</v>
      </c>
      <c r="Q666" s="1">
        <v>12019.2</v>
      </c>
      <c r="R666" s="1">
        <v>5016.7</v>
      </c>
      <c r="S666" s="1">
        <v>17035.900000000001</v>
      </c>
      <c r="T666" s="1">
        <v>12.45</v>
      </c>
      <c r="U666" s="1">
        <v>0.04</v>
      </c>
      <c r="V666" s="1">
        <v>4885.8</v>
      </c>
      <c r="W666" s="1">
        <v>16905</v>
      </c>
      <c r="X666" s="1">
        <v>0.22</v>
      </c>
      <c r="Y666" s="1">
        <v>480</v>
      </c>
      <c r="Z666" s="1">
        <v>67039.600000000006</v>
      </c>
      <c r="AA666" s="1">
        <v>12.62</v>
      </c>
      <c r="AB666" s="1">
        <v>2000</v>
      </c>
    </row>
    <row r="667" spans="1:28" x14ac:dyDescent="0.4">
      <c r="A667" s="1" t="s">
        <v>367</v>
      </c>
      <c r="B667" s="1">
        <v>2000</v>
      </c>
      <c r="C667" s="1">
        <v>0.4</v>
      </c>
      <c r="D667" s="1">
        <v>0.5</v>
      </c>
      <c r="E667" s="1">
        <v>500</v>
      </c>
      <c r="F667" s="1">
        <v>2</v>
      </c>
      <c r="G667" s="1">
        <v>1</v>
      </c>
      <c r="H667" s="1" t="s">
        <v>595</v>
      </c>
      <c r="I667" s="1">
        <v>111543.7</v>
      </c>
      <c r="J667" s="1">
        <v>44482</v>
      </c>
      <c r="K667" s="1">
        <v>67061.7</v>
      </c>
      <c r="L667" s="1">
        <v>600</v>
      </c>
      <c r="M667" s="1">
        <v>0.25</v>
      </c>
      <c r="N667" s="1">
        <v>30223</v>
      </c>
      <c r="O667" s="1">
        <v>47090.8</v>
      </c>
      <c r="P667" s="1">
        <v>77313.8</v>
      </c>
      <c r="Q667" s="1">
        <v>13296.8</v>
      </c>
      <c r="R667" s="1">
        <v>6290</v>
      </c>
      <c r="S667" s="1">
        <v>19586.8</v>
      </c>
      <c r="T667" s="1">
        <v>13.13</v>
      </c>
      <c r="U667" s="1">
        <v>0.09</v>
      </c>
      <c r="V667" s="1">
        <v>6029.8</v>
      </c>
      <c r="W667" s="1">
        <v>19326.599999999999</v>
      </c>
      <c r="X667" s="1">
        <v>0.34</v>
      </c>
      <c r="Y667" s="1">
        <v>568</v>
      </c>
      <c r="Z667" s="1">
        <v>96640.4</v>
      </c>
      <c r="AA667" s="1">
        <v>13.36</v>
      </c>
      <c r="AB667" s="1">
        <v>2000</v>
      </c>
    </row>
    <row r="668" spans="1:28" x14ac:dyDescent="0.4">
      <c r="A668" s="1" t="s">
        <v>368</v>
      </c>
      <c r="B668" s="1">
        <v>2000</v>
      </c>
      <c r="C668" s="1">
        <v>0.4</v>
      </c>
      <c r="D668" s="1">
        <v>0.5</v>
      </c>
      <c r="E668" s="1">
        <v>500</v>
      </c>
      <c r="F668" s="1">
        <v>2</v>
      </c>
      <c r="G668" s="1">
        <v>2</v>
      </c>
      <c r="H668" s="1" t="s">
        <v>595</v>
      </c>
      <c r="I668" s="1">
        <v>110422.6</v>
      </c>
      <c r="J668" s="1">
        <v>43034.5</v>
      </c>
      <c r="K668" s="1">
        <v>67388.100000000006</v>
      </c>
      <c r="L668" s="1">
        <v>600</v>
      </c>
      <c r="M668" s="1">
        <v>0.26</v>
      </c>
      <c r="N668" s="1">
        <v>29009.200000000001</v>
      </c>
      <c r="O668" s="1">
        <v>45539.8</v>
      </c>
      <c r="P668" s="1">
        <v>74549</v>
      </c>
      <c r="Q668" s="1">
        <v>13924.4</v>
      </c>
      <c r="R668" s="1">
        <v>6432.9</v>
      </c>
      <c r="S668" s="1">
        <v>20357.3</v>
      </c>
      <c r="T668" s="1">
        <v>14.05</v>
      </c>
      <c r="U668" s="1">
        <v>0.09</v>
      </c>
      <c r="V668" s="1">
        <v>6066.9</v>
      </c>
      <c r="W668" s="1">
        <v>19991.3</v>
      </c>
      <c r="X668" s="1">
        <v>0.35</v>
      </c>
      <c r="Y668" s="1">
        <v>592</v>
      </c>
      <c r="Z668" s="1">
        <v>94540.3</v>
      </c>
      <c r="AA668" s="1">
        <v>14.38</v>
      </c>
      <c r="AB668" s="1">
        <v>2000</v>
      </c>
    </row>
    <row r="669" spans="1:28" x14ac:dyDescent="0.4">
      <c r="A669" s="1" t="s">
        <v>369</v>
      </c>
      <c r="B669" s="1">
        <v>2000</v>
      </c>
      <c r="C669" s="1">
        <v>0.4</v>
      </c>
      <c r="D669" s="1">
        <v>0.5</v>
      </c>
      <c r="E669" s="1">
        <v>500</v>
      </c>
      <c r="F669" s="1">
        <v>2</v>
      </c>
      <c r="G669" s="1">
        <v>3</v>
      </c>
      <c r="H669" s="1" t="s">
        <v>595</v>
      </c>
      <c r="I669" s="1">
        <v>112921.7</v>
      </c>
      <c r="J669" s="1">
        <v>43531.7</v>
      </c>
      <c r="K669" s="1">
        <v>69390</v>
      </c>
      <c r="L669" s="1">
        <v>600</v>
      </c>
      <c r="M669" s="1">
        <v>0.24</v>
      </c>
      <c r="N669" s="1">
        <v>27571.7</v>
      </c>
      <c r="O669" s="1">
        <v>48129.8</v>
      </c>
      <c r="P669" s="1">
        <v>75701.5</v>
      </c>
      <c r="Q669" s="1">
        <v>13663.9</v>
      </c>
      <c r="R669" s="1">
        <v>6375.3</v>
      </c>
      <c r="S669" s="1">
        <v>20039.2</v>
      </c>
      <c r="T669" s="1">
        <v>15.21</v>
      </c>
      <c r="U669" s="1">
        <v>0.1</v>
      </c>
      <c r="V669" s="1">
        <v>6250</v>
      </c>
      <c r="W669" s="1">
        <v>19913.900000000001</v>
      </c>
      <c r="X669" s="1">
        <v>0.35</v>
      </c>
      <c r="Y669" s="1">
        <v>594</v>
      </c>
      <c r="Z669" s="1">
        <v>95615.4</v>
      </c>
      <c r="AA669" s="1">
        <v>15.33</v>
      </c>
      <c r="AB669" s="1">
        <v>2000</v>
      </c>
    </row>
    <row r="670" spans="1:28" x14ac:dyDescent="0.4">
      <c r="A670" s="1" t="s">
        <v>370</v>
      </c>
      <c r="B670" s="1">
        <v>2000</v>
      </c>
      <c r="C670" s="1">
        <v>0.4</v>
      </c>
      <c r="D670" s="1">
        <v>0.5</v>
      </c>
      <c r="E670" s="1">
        <v>500</v>
      </c>
      <c r="F670" s="1">
        <v>2</v>
      </c>
      <c r="G670" s="1">
        <v>4</v>
      </c>
      <c r="H670" s="1" t="s">
        <v>595</v>
      </c>
      <c r="I670" s="1">
        <v>114643.4</v>
      </c>
      <c r="J670" s="1">
        <v>45320.5</v>
      </c>
      <c r="K670" s="1">
        <v>69322.899999999994</v>
      </c>
      <c r="L670" s="1">
        <v>600</v>
      </c>
      <c r="M670" s="1">
        <v>0.3</v>
      </c>
      <c r="N670" s="1">
        <v>31394</v>
      </c>
      <c r="O670" s="1">
        <v>49283.4</v>
      </c>
      <c r="P670" s="1">
        <v>80677.399999999994</v>
      </c>
      <c r="Q670" s="1">
        <v>12807.6</v>
      </c>
      <c r="R670" s="1">
        <v>6042.4</v>
      </c>
      <c r="S670" s="1">
        <v>18850</v>
      </c>
      <c r="T670" s="1">
        <v>13.19</v>
      </c>
      <c r="U670" s="1">
        <v>0.11</v>
      </c>
      <c r="V670" s="1">
        <v>5924</v>
      </c>
      <c r="W670" s="1">
        <v>18731.599999999999</v>
      </c>
      <c r="X670" s="1">
        <v>0.4</v>
      </c>
      <c r="Y670" s="1">
        <v>559</v>
      </c>
      <c r="Z670" s="1">
        <v>99409</v>
      </c>
      <c r="AA670" s="1">
        <v>13.29</v>
      </c>
      <c r="AB670" s="1">
        <v>2000</v>
      </c>
    </row>
    <row r="671" spans="1:28" x14ac:dyDescent="0.4">
      <c r="A671" s="1" t="s">
        <v>371</v>
      </c>
      <c r="B671" s="1">
        <v>2000</v>
      </c>
      <c r="C671" s="1">
        <v>0.4</v>
      </c>
      <c r="D671" s="1">
        <v>0.5</v>
      </c>
      <c r="E671" s="1">
        <v>500</v>
      </c>
      <c r="F671" s="1">
        <v>2</v>
      </c>
      <c r="G671" s="1">
        <v>5</v>
      </c>
      <c r="H671" s="1" t="s">
        <v>595</v>
      </c>
      <c r="I671" s="1">
        <v>115340.8</v>
      </c>
      <c r="J671" s="1">
        <v>46197.7</v>
      </c>
      <c r="K671" s="1">
        <v>69143.100000000006</v>
      </c>
      <c r="L671" s="1">
        <v>600</v>
      </c>
      <c r="M671" s="1">
        <v>0.3</v>
      </c>
      <c r="N671" s="1">
        <v>31179.5</v>
      </c>
      <c r="O671" s="1">
        <v>48050.1</v>
      </c>
      <c r="P671" s="1">
        <v>79229.600000000006</v>
      </c>
      <c r="Q671" s="1">
        <v>12979.7</v>
      </c>
      <c r="R671" s="1">
        <v>6417</v>
      </c>
      <c r="S671" s="1">
        <v>19396.7</v>
      </c>
      <c r="T671" s="1">
        <v>14.49</v>
      </c>
      <c r="U671" s="1">
        <v>0.11</v>
      </c>
      <c r="V671" s="1">
        <v>6224.6</v>
      </c>
      <c r="W671" s="1">
        <v>19204.3</v>
      </c>
      <c r="X671" s="1">
        <v>0.41</v>
      </c>
      <c r="Y671" s="1">
        <v>559</v>
      </c>
      <c r="Z671" s="1">
        <v>98433.9</v>
      </c>
      <c r="AA671" s="1">
        <v>14.66</v>
      </c>
      <c r="AB671" s="1">
        <v>2000</v>
      </c>
    </row>
    <row r="672" spans="1:28" x14ac:dyDescent="0.4">
      <c r="A672" s="1" t="s">
        <v>372</v>
      </c>
      <c r="B672" s="1">
        <v>2000</v>
      </c>
      <c r="C672" s="1">
        <v>0.4</v>
      </c>
      <c r="D672" s="1">
        <v>0.5</v>
      </c>
      <c r="E672" s="1">
        <v>500</v>
      </c>
      <c r="F672" s="1">
        <v>3</v>
      </c>
      <c r="G672" s="1">
        <v>1</v>
      </c>
      <c r="H672" s="1" t="s">
        <v>595</v>
      </c>
      <c r="I672" s="1">
        <v>146342.70000000001</v>
      </c>
      <c r="J672" s="1">
        <v>61182.8</v>
      </c>
      <c r="K672" s="1">
        <v>85159.9</v>
      </c>
      <c r="L672" s="1">
        <v>600</v>
      </c>
      <c r="M672" s="1">
        <v>0.36</v>
      </c>
      <c r="N672" s="1">
        <v>41395.300000000003</v>
      </c>
      <c r="O672" s="1">
        <v>60260.4</v>
      </c>
      <c r="P672" s="1">
        <v>101655.7</v>
      </c>
      <c r="Q672" s="1">
        <v>13458.3</v>
      </c>
      <c r="R672" s="1">
        <v>6913.8</v>
      </c>
      <c r="S672" s="1">
        <v>20372.099999999999</v>
      </c>
      <c r="T672" s="1">
        <v>16.62</v>
      </c>
      <c r="U672" s="1">
        <v>0.13</v>
      </c>
      <c r="V672" s="1">
        <v>6632.5</v>
      </c>
      <c r="W672" s="1">
        <v>20090.8</v>
      </c>
      <c r="X672" s="1">
        <v>0.49</v>
      </c>
      <c r="Y672" s="1">
        <v>568</v>
      </c>
      <c r="Z672" s="1">
        <v>121746.5</v>
      </c>
      <c r="AA672" s="1">
        <v>16.809999999999999</v>
      </c>
      <c r="AB672" s="1">
        <v>2000</v>
      </c>
    </row>
    <row r="673" spans="1:28" x14ac:dyDescent="0.4">
      <c r="A673" s="1" t="s">
        <v>373</v>
      </c>
      <c r="B673" s="1">
        <v>2000</v>
      </c>
      <c r="C673" s="1">
        <v>0.4</v>
      </c>
      <c r="D673" s="1">
        <v>0.5</v>
      </c>
      <c r="E673" s="1">
        <v>500</v>
      </c>
      <c r="F673" s="1">
        <v>3</v>
      </c>
      <c r="G673" s="1">
        <v>2</v>
      </c>
      <c r="H673" s="1" t="s">
        <v>595</v>
      </c>
      <c r="I673" s="1">
        <v>145711.4</v>
      </c>
      <c r="J673" s="1">
        <v>61224.5</v>
      </c>
      <c r="K673" s="1">
        <v>84486.9</v>
      </c>
      <c r="L673" s="1">
        <v>600</v>
      </c>
      <c r="M673" s="1">
        <v>0.34</v>
      </c>
      <c r="N673" s="1">
        <v>42143.6</v>
      </c>
      <c r="O673" s="1">
        <v>60785.9</v>
      </c>
      <c r="P673" s="1">
        <v>102929.5</v>
      </c>
      <c r="Q673" s="1">
        <v>13503.5</v>
      </c>
      <c r="R673" s="1">
        <v>6895.3</v>
      </c>
      <c r="S673" s="1">
        <v>20398.8</v>
      </c>
      <c r="T673" s="1">
        <v>15.36</v>
      </c>
      <c r="U673" s="1">
        <v>0.12</v>
      </c>
      <c r="V673" s="1">
        <v>6684.6</v>
      </c>
      <c r="W673" s="1">
        <v>20188.099999999999</v>
      </c>
      <c r="X673" s="1">
        <v>0.46</v>
      </c>
      <c r="Y673" s="1">
        <v>579</v>
      </c>
      <c r="Z673" s="1">
        <v>123117.6</v>
      </c>
      <c r="AA673" s="1">
        <v>15.51</v>
      </c>
      <c r="AB673" s="1">
        <v>2000</v>
      </c>
    </row>
    <row r="674" spans="1:28" x14ac:dyDescent="0.4">
      <c r="A674" s="1" t="s">
        <v>374</v>
      </c>
      <c r="B674" s="1">
        <v>2000</v>
      </c>
      <c r="C674" s="1">
        <v>0.4</v>
      </c>
      <c r="D674" s="1">
        <v>0.5</v>
      </c>
      <c r="E674" s="1">
        <v>500</v>
      </c>
      <c r="F674" s="1">
        <v>3</v>
      </c>
      <c r="G674" s="1">
        <v>3</v>
      </c>
      <c r="H674" s="1" t="s">
        <v>595</v>
      </c>
      <c r="I674" s="1">
        <v>138058.9</v>
      </c>
      <c r="J674" s="1">
        <v>55101.1</v>
      </c>
      <c r="K674" s="1">
        <v>82957.8</v>
      </c>
      <c r="L674" s="1">
        <v>600</v>
      </c>
      <c r="M674" s="1">
        <v>0.33</v>
      </c>
      <c r="N674" s="1">
        <v>35983.599999999999</v>
      </c>
      <c r="O674" s="1">
        <v>58452.9</v>
      </c>
      <c r="P674" s="1">
        <v>94436.5</v>
      </c>
      <c r="Q674" s="1">
        <v>13853.8</v>
      </c>
      <c r="R674" s="1">
        <v>6702.9</v>
      </c>
      <c r="S674" s="1">
        <v>20556.7</v>
      </c>
      <c r="T674" s="1">
        <v>16.71</v>
      </c>
      <c r="U674" s="1">
        <v>0.11</v>
      </c>
      <c r="V674" s="1">
        <v>6475.4</v>
      </c>
      <c r="W674" s="1">
        <v>20329.2</v>
      </c>
      <c r="X674" s="1">
        <v>0.44</v>
      </c>
      <c r="Y674" s="1">
        <v>596</v>
      </c>
      <c r="Z674" s="1">
        <v>114765.7</v>
      </c>
      <c r="AA674" s="1">
        <v>16.87</v>
      </c>
      <c r="AB674" s="1">
        <v>2000</v>
      </c>
    </row>
    <row r="675" spans="1:28" x14ac:dyDescent="0.4">
      <c r="A675" s="1" t="s">
        <v>375</v>
      </c>
      <c r="B675" s="1">
        <v>2000</v>
      </c>
      <c r="C675" s="1">
        <v>0.4</v>
      </c>
      <c r="D675" s="1">
        <v>0.5</v>
      </c>
      <c r="E675" s="1">
        <v>500</v>
      </c>
      <c r="F675" s="1">
        <v>3</v>
      </c>
      <c r="G675" s="1">
        <v>4</v>
      </c>
      <c r="H675" s="1" t="s">
        <v>595</v>
      </c>
      <c r="I675" s="1">
        <v>144089.60000000001</v>
      </c>
      <c r="J675" s="1">
        <v>60356.7</v>
      </c>
      <c r="K675" s="1">
        <v>83732.899999999994</v>
      </c>
      <c r="L675" s="1">
        <v>600</v>
      </c>
      <c r="M675" s="1">
        <v>0.36</v>
      </c>
      <c r="N675" s="1">
        <v>42028.9</v>
      </c>
      <c r="O675" s="1">
        <v>60707.4</v>
      </c>
      <c r="P675" s="1">
        <v>102736.3</v>
      </c>
      <c r="Q675" s="1">
        <v>13152.4</v>
      </c>
      <c r="R675" s="1">
        <v>6601.6</v>
      </c>
      <c r="S675" s="1">
        <v>19754</v>
      </c>
      <c r="T675" s="1">
        <v>14.99</v>
      </c>
      <c r="U675" s="1">
        <v>0.12</v>
      </c>
      <c r="V675" s="1">
        <v>6433.7</v>
      </c>
      <c r="W675" s="1">
        <v>19586.099999999999</v>
      </c>
      <c r="X675" s="1">
        <v>0.49</v>
      </c>
      <c r="Y675" s="1">
        <v>562</v>
      </c>
      <c r="Z675" s="1">
        <v>122322.4</v>
      </c>
      <c r="AA675" s="1">
        <v>15.11</v>
      </c>
      <c r="AB675" s="1">
        <v>2000</v>
      </c>
    </row>
    <row r="676" spans="1:28" x14ac:dyDescent="0.4">
      <c r="A676" s="1" t="s">
        <v>376</v>
      </c>
      <c r="B676" s="1">
        <v>2000</v>
      </c>
      <c r="C676" s="1">
        <v>0.4</v>
      </c>
      <c r="D676" s="1">
        <v>0.5</v>
      </c>
      <c r="E676" s="1">
        <v>500</v>
      </c>
      <c r="F676" s="1">
        <v>3</v>
      </c>
      <c r="G676" s="1">
        <v>5</v>
      </c>
      <c r="H676" s="1" t="s">
        <v>595</v>
      </c>
      <c r="I676" s="1">
        <v>135459.1</v>
      </c>
      <c r="J676" s="1">
        <v>52439.1</v>
      </c>
      <c r="K676" s="1">
        <v>83020</v>
      </c>
      <c r="L676" s="1">
        <v>600</v>
      </c>
      <c r="M676" s="1">
        <v>0.34</v>
      </c>
      <c r="N676" s="1">
        <v>36389.300000000003</v>
      </c>
      <c r="O676" s="1">
        <v>59649</v>
      </c>
      <c r="P676" s="1">
        <v>96038.3</v>
      </c>
      <c r="Q676" s="1">
        <v>13919</v>
      </c>
      <c r="R676" s="1">
        <v>6378.3</v>
      </c>
      <c r="S676" s="1">
        <v>20297.3</v>
      </c>
      <c r="T676" s="1">
        <v>14.12</v>
      </c>
      <c r="U676" s="1">
        <v>0.1</v>
      </c>
      <c r="V676" s="1">
        <v>6220.8</v>
      </c>
      <c r="W676" s="1">
        <v>20139.8</v>
      </c>
      <c r="X676" s="1">
        <v>0.44</v>
      </c>
      <c r="Y676" s="1">
        <v>600</v>
      </c>
      <c r="Z676" s="1">
        <v>116178.1</v>
      </c>
      <c r="AA676" s="1">
        <v>14.23</v>
      </c>
      <c r="AB676" s="1">
        <v>2000</v>
      </c>
    </row>
    <row r="677" spans="1:28" x14ac:dyDescent="0.4">
      <c r="A677" s="1" t="s">
        <v>60</v>
      </c>
      <c r="B677" s="1">
        <v>4000</v>
      </c>
      <c r="C677" s="1">
        <v>0.2</v>
      </c>
      <c r="D677" s="1">
        <v>0.5</v>
      </c>
      <c r="E677" s="1">
        <v>1000</v>
      </c>
      <c r="F677" s="1">
        <v>1</v>
      </c>
      <c r="G677" s="1">
        <v>1</v>
      </c>
      <c r="H677" s="1" t="s">
        <v>595</v>
      </c>
      <c r="I677" s="1">
        <v>176793.4</v>
      </c>
      <c r="J677" s="1">
        <v>69235.899999999994</v>
      </c>
      <c r="K677" s="1">
        <v>107557.5</v>
      </c>
      <c r="L677" s="1">
        <v>1200</v>
      </c>
      <c r="M677" s="1">
        <v>0.82</v>
      </c>
      <c r="N677" s="1">
        <v>56294.5</v>
      </c>
      <c r="O677" s="1">
        <v>90088.2</v>
      </c>
      <c r="P677" s="1">
        <v>146382.70000000001</v>
      </c>
      <c r="Q677" s="1">
        <v>15111.1</v>
      </c>
      <c r="R677" s="1">
        <v>3166.8</v>
      </c>
      <c r="S677" s="1">
        <v>18277.900000000001</v>
      </c>
      <c r="T677" s="1">
        <v>6.86</v>
      </c>
      <c r="U677" s="1">
        <v>0.01</v>
      </c>
      <c r="V677" s="1">
        <v>3007.4</v>
      </c>
      <c r="W677" s="1">
        <v>18118.5</v>
      </c>
      <c r="X677" s="1">
        <v>0.83</v>
      </c>
      <c r="Y677" s="1">
        <v>505</v>
      </c>
      <c r="Z677" s="1">
        <v>164501.20000000001</v>
      </c>
      <c r="AA677" s="1">
        <v>6.95</v>
      </c>
      <c r="AB677" s="1">
        <v>4000</v>
      </c>
    </row>
    <row r="678" spans="1:28" x14ac:dyDescent="0.4">
      <c r="A678" s="1" t="s">
        <v>61</v>
      </c>
      <c r="B678" s="1">
        <v>4000</v>
      </c>
      <c r="C678" s="1">
        <v>0.2</v>
      </c>
      <c r="D678" s="1">
        <v>0.5</v>
      </c>
      <c r="E678" s="1">
        <v>1000</v>
      </c>
      <c r="F678" s="1">
        <v>1</v>
      </c>
      <c r="G678" s="1">
        <v>2</v>
      </c>
      <c r="H678" s="1" t="s">
        <v>595</v>
      </c>
      <c r="I678" s="1">
        <v>172246.7</v>
      </c>
      <c r="J678" s="1">
        <v>71438.100000000006</v>
      </c>
      <c r="K678" s="1">
        <v>100808.6</v>
      </c>
      <c r="L678" s="1">
        <v>1200</v>
      </c>
      <c r="M678" s="1">
        <v>0.82</v>
      </c>
      <c r="N678" s="1">
        <v>57348.800000000003</v>
      </c>
      <c r="O678" s="1">
        <v>83650.600000000006</v>
      </c>
      <c r="P678" s="1">
        <v>140999.4</v>
      </c>
      <c r="Q678" s="1">
        <v>14943.5</v>
      </c>
      <c r="R678" s="1">
        <v>3638.9</v>
      </c>
      <c r="S678" s="1">
        <v>18582.400000000001</v>
      </c>
      <c r="T678" s="1">
        <v>7.35</v>
      </c>
      <c r="U678" s="1">
        <v>0.01</v>
      </c>
      <c r="V678" s="1">
        <v>3450.5</v>
      </c>
      <c r="W678" s="1">
        <v>18394</v>
      </c>
      <c r="X678" s="1">
        <v>0.83</v>
      </c>
      <c r="Y678" s="1">
        <v>479</v>
      </c>
      <c r="Z678" s="1">
        <v>159393.4</v>
      </c>
      <c r="AA678" s="1">
        <v>7.46</v>
      </c>
      <c r="AB678" s="1">
        <v>4000</v>
      </c>
    </row>
    <row r="679" spans="1:28" x14ac:dyDescent="0.4">
      <c r="A679" s="1" t="s">
        <v>62</v>
      </c>
      <c r="B679" s="1">
        <v>4000</v>
      </c>
      <c r="C679" s="1">
        <v>0.2</v>
      </c>
      <c r="D679" s="1">
        <v>0.5</v>
      </c>
      <c r="E679" s="1">
        <v>1000</v>
      </c>
      <c r="F679" s="1">
        <v>1</v>
      </c>
      <c r="G679" s="1">
        <v>3</v>
      </c>
      <c r="H679" s="1" t="s">
        <v>595</v>
      </c>
      <c r="I679" s="1">
        <v>172482.6</v>
      </c>
      <c r="J679" s="1">
        <v>70991</v>
      </c>
      <c r="K679" s="1">
        <v>101491.6</v>
      </c>
      <c r="L679" s="1">
        <v>1200</v>
      </c>
      <c r="M679" s="1">
        <v>0.85</v>
      </c>
      <c r="N679" s="1">
        <v>56996.3</v>
      </c>
      <c r="O679" s="1">
        <v>85357.6</v>
      </c>
      <c r="P679" s="1">
        <v>142353.9</v>
      </c>
      <c r="Q679" s="1">
        <v>15321.2</v>
      </c>
      <c r="R679" s="1">
        <v>2866.1</v>
      </c>
      <c r="S679" s="1">
        <v>18187.3</v>
      </c>
      <c r="T679" s="1">
        <v>6.92</v>
      </c>
      <c r="U679" s="1">
        <v>0.01</v>
      </c>
      <c r="V679" s="1">
        <v>2728.7</v>
      </c>
      <c r="W679" s="1">
        <v>18049.900000000001</v>
      </c>
      <c r="X679" s="1">
        <v>0.86</v>
      </c>
      <c r="Y679" s="1">
        <v>539</v>
      </c>
      <c r="Z679" s="1">
        <v>160403.79999999999</v>
      </c>
      <c r="AA679" s="1">
        <v>7</v>
      </c>
      <c r="AB679" s="1">
        <v>4000</v>
      </c>
    </row>
    <row r="680" spans="1:28" x14ac:dyDescent="0.4">
      <c r="A680" s="1" t="s">
        <v>63</v>
      </c>
      <c r="B680" s="1">
        <v>4000</v>
      </c>
      <c r="C680" s="1">
        <v>0.2</v>
      </c>
      <c r="D680" s="1">
        <v>0.5</v>
      </c>
      <c r="E680" s="1">
        <v>1000</v>
      </c>
      <c r="F680" s="1">
        <v>1</v>
      </c>
      <c r="G680" s="1">
        <v>4</v>
      </c>
      <c r="H680" s="1" t="s">
        <v>595</v>
      </c>
      <c r="I680" s="1">
        <v>178110.7</v>
      </c>
      <c r="J680" s="1">
        <v>73274.7</v>
      </c>
      <c r="K680" s="1">
        <v>104836</v>
      </c>
      <c r="L680" s="1">
        <v>1200</v>
      </c>
      <c r="M680" s="1">
        <v>0.82</v>
      </c>
      <c r="N680" s="1">
        <v>58577.4</v>
      </c>
      <c r="O680" s="1">
        <v>87828.2</v>
      </c>
      <c r="P680" s="1">
        <v>146405.6</v>
      </c>
      <c r="Q680" s="1">
        <v>15144.1</v>
      </c>
      <c r="R680" s="1">
        <v>3852.1</v>
      </c>
      <c r="S680" s="1">
        <v>18996.2</v>
      </c>
      <c r="T680" s="1">
        <v>7.14</v>
      </c>
      <c r="U680" s="1">
        <v>0.01</v>
      </c>
      <c r="V680" s="1">
        <v>3740.7</v>
      </c>
      <c r="W680" s="1">
        <v>18884.8</v>
      </c>
      <c r="X680" s="1">
        <v>0.83</v>
      </c>
      <c r="Y680" s="1">
        <v>490</v>
      </c>
      <c r="Z680" s="1">
        <v>165290.4</v>
      </c>
      <c r="AA680" s="1">
        <v>7.2</v>
      </c>
      <c r="AB680" s="1">
        <v>4000</v>
      </c>
    </row>
    <row r="681" spans="1:28" x14ac:dyDescent="0.4">
      <c r="A681" s="1" t="s">
        <v>64</v>
      </c>
      <c r="B681" s="1">
        <v>4000</v>
      </c>
      <c r="C681" s="1">
        <v>0.2</v>
      </c>
      <c r="D681" s="1">
        <v>0.5</v>
      </c>
      <c r="E681" s="1">
        <v>1000</v>
      </c>
      <c r="F681" s="1">
        <v>1</v>
      </c>
      <c r="G681" s="1">
        <v>5</v>
      </c>
      <c r="H681" s="1" t="s">
        <v>595</v>
      </c>
      <c r="I681" s="1">
        <v>179070</v>
      </c>
      <c r="J681" s="1">
        <v>69970.8</v>
      </c>
      <c r="K681" s="1">
        <v>109099.2</v>
      </c>
      <c r="L681" s="1">
        <v>1200</v>
      </c>
      <c r="M681" s="1">
        <v>0.87</v>
      </c>
      <c r="N681" s="1">
        <v>56168.6</v>
      </c>
      <c r="O681" s="1">
        <v>89797.1</v>
      </c>
      <c r="P681" s="1">
        <v>145965.70000000001</v>
      </c>
      <c r="Q681" s="1">
        <v>17763.900000000001</v>
      </c>
      <c r="R681" s="1">
        <v>3566</v>
      </c>
      <c r="S681" s="1">
        <v>21329.9</v>
      </c>
      <c r="T681" s="1">
        <v>6.58</v>
      </c>
      <c r="U681" s="1">
        <v>0.02</v>
      </c>
      <c r="V681" s="1">
        <v>3398.5</v>
      </c>
      <c r="W681" s="1">
        <v>21162.400000000001</v>
      </c>
      <c r="X681" s="1">
        <v>0.88</v>
      </c>
      <c r="Y681" s="1">
        <v>635</v>
      </c>
      <c r="Z681" s="1">
        <v>167128.1</v>
      </c>
      <c r="AA681" s="1">
        <v>6.67</v>
      </c>
      <c r="AB681" s="1">
        <v>4000</v>
      </c>
    </row>
    <row r="682" spans="1:28" x14ac:dyDescent="0.4">
      <c r="A682" s="1" t="s">
        <v>65</v>
      </c>
      <c r="B682" s="1">
        <v>4000</v>
      </c>
      <c r="C682" s="1">
        <v>0.2</v>
      </c>
      <c r="D682" s="1">
        <v>0.5</v>
      </c>
      <c r="E682" s="1">
        <v>1000</v>
      </c>
      <c r="F682" s="1">
        <v>2</v>
      </c>
      <c r="G682" s="1">
        <v>1</v>
      </c>
      <c r="H682" s="1" t="s">
        <v>595</v>
      </c>
      <c r="I682" s="1">
        <v>266347.90000000002</v>
      </c>
      <c r="J682" s="1">
        <v>100159.7</v>
      </c>
      <c r="K682" s="1">
        <v>166188.20000000001</v>
      </c>
      <c r="L682" s="1">
        <v>1200</v>
      </c>
      <c r="M682" s="1">
        <v>1.17</v>
      </c>
      <c r="N682" s="1">
        <v>81708.3</v>
      </c>
      <c r="O682" s="1">
        <v>138656.5</v>
      </c>
      <c r="P682" s="1">
        <v>220364.79999999999</v>
      </c>
      <c r="Q682" s="1">
        <v>24386.1</v>
      </c>
      <c r="R682" s="1">
        <v>6067.4</v>
      </c>
      <c r="S682" s="1">
        <v>30453.5</v>
      </c>
      <c r="T682" s="1">
        <v>5.83</v>
      </c>
      <c r="U682" s="1">
        <v>0.06</v>
      </c>
      <c r="V682" s="1">
        <v>5478.6</v>
      </c>
      <c r="W682" s="1">
        <v>29864.7</v>
      </c>
      <c r="X682" s="1">
        <v>1.23</v>
      </c>
      <c r="Y682" s="1">
        <v>890</v>
      </c>
      <c r="Z682" s="1">
        <v>250229.5</v>
      </c>
      <c r="AA682" s="1">
        <v>6.05</v>
      </c>
      <c r="AB682" s="1">
        <v>4000</v>
      </c>
    </row>
    <row r="683" spans="1:28" x14ac:dyDescent="0.4">
      <c r="A683" s="1" t="s">
        <v>66</v>
      </c>
      <c r="B683" s="1">
        <v>4000</v>
      </c>
      <c r="C683" s="1">
        <v>0.2</v>
      </c>
      <c r="D683" s="1">
        <v>0.5</v>
      </c>
      <c r="E683" s="1">
        <v>1000</v>
      </c>
      <c r="F683" s="1">
        <v>2</v>
      </c>
      <c r="G683" s="1">
        <v>2</v>
      </c>
      <c r="H683" s="1" t="s">
        <v>595</v>
      </c>
      <c r="I683" s="1">
        <v>265499.59999999998</v>
      </c>
      <c r="J683" s="1">
        <v>100358.1</v>
      </c>
      <c r="K683" s="1">
        <v>165141.5</v>
      </c>
      <c r="L683" s="1">
        <v>1200</v>
      </c>
      <c r="M683" s="1">
        <v>1.1599999999999999</v>
      </c>
      <c r="N683" s="1">
        <v>79751.5</v>
      </c>
      <c r="O683" s="1">
        <v>135255.20000000001</v>
      </c>
      <c r="P683" s="1">
        <v>215006.7</v>
      </c>
      <c r="Q683" s="1">
        <v>24699.9</v>
      </c>
      <c r="R683" s="1">
        <v>5845.9</v>
      </c>
      <c r="S683" s="1">
        <v>30545.8</v>
      </c>
      <c r="T683" s="1">
        <v>7.51</v>
      </c>
      <c r="U683" s="1">
        <v>0.06</v>
      </c>
      <c r="V683" s="1">
        <v>5247.5</v>
      </c>
      <c r="W683" s="1">
        <v>29947.4</v>
      </c>
      <c r="X683" s="1">
        <v>1.21</v>
      </c>
      <c r="Y683" s="1">
        <v>872</v>
      </c>
      <c r="Z683" s="1">
        <v>244954.1</v>
      </c>
      <c r="AA683" s="1">
        <v>7.74</v>
      </c>
      <c r="AB683" s="1">
        <v>4000</v>
      </c>
    </row>
    <row r="684" spans="1:28" x14ac:dyDescent="0.4">
      <c r="A684" s="1" t="s">
        <v>67</v>
      </c>
      <c r="B684" s="1">
        <v>4000</v>
      </c>
      <c r="C684" s="1">
        <v>0.2</v>
      </c>
      <c r="D684" s="1">
        <v>0.5</v>
      </c>
      <c r="E684" s="1">
        <v>1000</v>
      </c>
      <c r="F684" s="1">
        <v>2</v>
      </c>
      <c r="G684" s="1">
        <v>3</v>
      </c>
      <c r="H684" s="1" t="s">
        <v>595</v>
      </c>
      <c r="I684" s="1">
        <v>256640.4</v>
      </c>
      <c r="J684" s="1">
        <v>100148.3</v>
      </c>
      <c r="K684" s="1">
        <v>156492.1</v>
      </c>
      <c r="L684" s="1">
        <v>1200</v>
      </c>
      <c r="M684" s="1">
        <v>1.17</v>
      </c>
      <c r="N684" s="1">
        <v>83006.7</v>
      </c>
      <c r="O684" s="1">
        <v>128768.7</v>
      </c>
      <c r="P684" s="1">
        <v>211775.4</v>
      </c>
      <c r="Q684" s="1">
        <v>22679.200000000001</v>
      </c>
      <c r="R684" s="1">
        <v>6020.8</v>
      </c>
      <c r="S684" s="1">
        <v>28700</v>
      </c>
      <c r="T684" s="1">
        <v>6.3</v>
      </c>
      <c r="U684" s="1">
        <v>0.05</v>
      </c>
      <c r="V684" s="1">
        <v>5329</v>
      </c>
      <c r="W684" s="1">
        <v>28008.2</v>
      </c>
      <c r="X684" s="1">
        <v>1.22</v>
      </c>
      <c r="Y684" s="1">
        <v>812</v>
      </c>
      <c r="Z684" s="1">
        <v>239783.6</v>
      </c>
      <c r="AA684" s="1">
        <v>6.57</v>
      </c>
      <c r="AB684" s="1">
        <v>4000</v>
      </c>
    </row>
    <row r="685" spans="1:28" x14ac:dyDescent="0.4">
      <c r="A685" s="1" t="s">
        <v>68</v>
      </c>
      <c r="B685" s="1">
        <v>4000</v>
      </c>
      <c r="C685" s="1">
        <v>0.2</v>
      </c>
      <c r="D685" s="1">
        <v>0.5</v>
      </c>
      <c r="E685" s="1">
        <v>1000</v>
      </c>
      <c r="F685" s="1">
        <v>2</v>
      </c>
      <c r="G685" s="1">
        <v>4</v>
      </c>
      <c r="H685" s="1" t="s">
        <v>595</v>
      </c>
      <c r="I685" s="1">
        <v>266529.09999999998</v>
      </c>
      <c r="J685" s="1">
        <v>102759</v>
      </c>
      <c r="K685" s="1">
        <v>163770.1</v>
      </c>
      <c r="L685" s="1">
        <v>1200</v>
      </c>
      <c r="M685" s="1">
        <v>1.23</v>
      </c>
      <c r="N685" s="1">
        <v>86921</v>
      </c>
      <c r="O685" s="1">
        <v>141747.5</v>
      </c>
      <c r="P685" s="1">
        <v>228668.5</v>
      </c>
      <c r="Q685" s="1">
        <v>16951.2</v>
      </c>
      <c r="R685" s="1">
        <v>4290</v>
      </c>
      <c r="S685" s="1">
        <v>21241.200000000001</v>
      </c>
      <c r="T685" s="1">
        <v>6.24</v>
      </c>
      <c r="U685" s="1">
        <v>0.03</v>
      </c>
      <c r="V685" s="1">
        <v>3924.3</v>
      </c>
      <c r="W685" s="1">
        <v>20875.5</v>
      </c>
      <c r="X685" s="1">
        <v>1.26</v>
      </c>
      <c r="Y685" s="1">
        <v>608</v>
      </c>
      <c r="Z685" s="1">
        <v>249544</v>
      </c>
      <c r="AA685" s="1">
        <v>6.37</v>
      </c>
      <c r="AB685" s="1">
        <v>4000</v>
      </c>
    </row>
    <row r="686" spans="1:28" x14ac:dyDescent="0.4">
      <c r="A686" s="1" t="s">
        <v>69</v>
      </c>
      <c r="B686" s="1">
        <v>4000</v>
      </c>
      <c r="C686" s="1">
        <v>0.2</v>
      </c>
      <c r="D686" s="1">
        <v>0.5</v>
      </c>
      <c r="E686" s="1">
        <v>1000</v>
      </c>
      <c r="F686" s="1">
        <v>2</v>
      </c>
      <c r="G686" s="1">
        <v>5</v>
      </c>
      <c r="H686" s="1" t="s">
        <v>595</v>
      </c>
      <c r="I686" s="1">
        <v>269546.8</v>
      </c>
      <c r="J686" s="1">
        <v>106410.2</v>
      </c>
      <c r="K686" s="1">
        <v>163136.6</v>
      </c>
      <c r="L686" s="1">
        <v>1200</v>
      </c>
      <c r="M686" s="1">
        <v>1.1399999999999999</v>
      </c>
      <c r="N686" s="1">
        <v>85276.5</v>
      </c>
      <c r="O686" s="1">
        <v>135488.29999999999</v>
      </c>
      <c r="P686" s="1">
        <v>220764.79999999999</v>
      </c>
      <c r="Q686" s="1">
        <v>25727.4</v>
      </c>
      <c r="R686" s="1">
        <v>6386.3</v>
      </c>
      <c r="S686" s="1">
        <v>32113.7</v>
      </c>
      <c r="T686" s="1">
        <v>6.18</v>
      </c>
      <c r="U686" s="1">
        <v>0.09</v>
      </c>
      <c r="V686" s="1">
        <v>6057.6</v>
      </c>
      <c r="W686" s="1">
        <v>31785</v>
      </c>
      <c r="X686" s="1">
        <v>1.23</v>
      </c>
      <c r="Y686" s="1">
        <v>935</v>
      </c>
      <c r="Z686" s="1">
        <v>252549.8</v>
      </c>
      <c r="AA686" s="1">
        <v>6.31</v>
      </c>
      <c r="AB686" s="1">
        <v>4000</v>
      </c>
    </row>
    <row r="687" spans="1:28" x14ac:dyDescent="0.4">
      <c r="A687" s="1" t="s">
        <v>70</v>
      </c>
      <c r="B687" s="1">
        <v>4000</v>
      </c>
      <c r="C687" s="1">
        <v>0.2</v>
      </c>
      <c r="D687" s="1">
        <v>0.5</v>
      </c>
      <c r="E687" s="1">
        <v>1000</v>
      </c>
      <c r="F687" s="1">
        <v>3</v>
      </c>
      <c r="G687" s="1">
        <v>1</v>
      </c>
      <c r="H687" s="1" t="s">
        <v>595</v>
      </c>
      <c r="I687" s="1">
        <v>351445</v>
      </c>
      <c r="J687" s="1">
        <v>133205</v>
      </c>
      <c r="K687" s="1">
        <v>218240</v>
      </c>
      <c r="L687" s="1">
        <v>1200</v>
      </c>
      <c r="M687" s="1">
        <v>1.67</v>
      </c>
      <c r="N687" s="1">
        <v>113324.3</v>
      </c>
      <c r="O687" s="1">
        <v>187683.6</v>
      </c>
      <c r="P687" s="1">
        <v>301007.90000000002</v>
      </c>
      <c r="Q687" s="1">
        <v>23177.1</v>
      </c>
      <c r="R687" s="1">
        <v>6359</v>
      </c>
      <c r="S687" s="1">
        <v>29536.1</v>
      </c>
      <c r="T687" s="1">
        <v>5.95</v>
      </c>
      <c r="U687" s="1">
        <v>7.0000000000000007E-2</v>
      </c>
      <c r="V687" s="1">
        <v>5799.5</v>
      </c>
      <c r="W687" s="1">
        <v>28976.6</v>
      </c>
      <c r="X687" s="1">
        <v>1.73</v>
      </c>
      <c r="Y687" s="1">
        <v>866</v>
      </c>
      <c r="Z687" s="1">
        <v>329984.5</v>
      </c>
      <c r="AA687" s="1">
        <v>6.11</v>
      </c>
      <c r="AB687" s="1">
        <v>4000</v>
      </c>
    </row>
    <row r="688" spans="1:28" x14ac:dyDescent="0.4">
      <c r="A688" s="1" t="s">
        <v>71</v>
      </c>
      <c r="B688" s="1">
        <v>4000</v>
      </c>
      <c r="C688" s="1">
        <v>0.2</v>
      </c>
      <c r="D688" s="1">
        <v>0.5</v>
      </c>
      <c r="E688" s="1">
        <v>1000</v>
      </c>
      <c r="F688" s="1">
        <v>3</v>
      </c>
      <c r="G688" s="1">
        <v>2</v>
      </c>
      <c r="H688" s="1" t="s">
        <v>595</v>
      </c>
      <c r="I688" s="1">
        <v>356679.5</v>
      </c>
      <c r="J688" s="1">
        <v>140383.9</v>
      </c>
      <c r="K688" s="1">
        <v>216295.6</v>
      </c>
      <c r="L688" s="1">
        <v>1200</v>
      </c>
      <c r="M688" s="1">
        <v>1.5</v>
      </c>
      <c r="N688" s="1">
        <v>115405.3</v>
      </c>
      <c r="O688" s="1">
        <v>177794.5</v>
      </c>
      <c r="P688" s="1">
        <v>293199.8</v>
      </c>
      <c r="Q688" s="1">
        <v>27273.8</v>
      </c>
      <c r="R688" s="1">
        <v>6888.6</v>
      </c>
      <c r="S688" s="1">
        <v>34162.400000000001</v>
      </c>
      <c r="T688" s="1">
        <v>8.2200000000000006</v>
      </c>
      <c r="U688" s="1">
        <v>0.08</v>
      </c>
      <c r="V688" s="1">
        <v>6168</v>
      </c>
      <c r="W688" s="1">
        <v>33441.800000000003</v>
      </c>
      <c r="X688" s="1">
        <v>1.58</v>
      </c>
      <c r="Y688" s="1">
        <v>1000</v>
      </c>
      <c r="Z688" s="1">
        <v>326641.59999999998</v>
      </c>
      <c r="AA688" s="1">
        <v>8.42</v>
      </c>
      <c r="AB688" s="1">
        <v>4000</v>
      </c>
    </row>
    <row r="689" spans="1:28" x14ac:dyDescent="0.4">
      <c r="A689" s="1" t="s">
        <v>72</v>
      </c>
      <c r="B689" s="1">
        <v>4000</v>
      </c>
      <c r="C689" s="1">
        <v>0.2</v>
      </c>
      <c r="D689" s="1">
        <v>0.5</v>
      </c>
      <c r="E689" s="1">
        <v>1000</v>
      </c>
      <c r="F689" s="1">
        <v>3</v>
      </c>
      <c r="G689" s="1">
        <v>3</v>
      </c>
      <c r="H689" s="1" t="s">
        <v>595</v>
      </c>
      <c r="I689" s="1">
        <v>346020.1</v>
      </c>
      <c r="J689" s="1">
        <v>134050.5</v>
      </c>
      <c r="K689" s="1">
        <v>211969.6</v>
      </c>
      <c r="L689" s="1">
        <v>1200</v>
      </c>
      <c r="M689" s="1">
        <v>1.67</v>
      </c>
      <c r="N689" s="1">
        <v>115249.9</v>
      </c>
      <c r="O689" s="1">
        <v>183714.6</v>
      </c>
      <c r="P689" s="1">
        <v>298964.5</v>
      </c>
      <c r="Q689" s="1">
        <v>17603.599999999999</v>
      </c>
      <c r="R689" s="1">
        <v>5606.4</v>
      </c>
      <c r="S689" s="1">
        <v>23210</v>
      </c>
      <c r="T689" s="1">
        <v>6.89</v>
      </c>
      <c r="U689" s="1">
        <v>0.09</v>
      </c>
      <c r="V689" s="1">
        <v>4870.7</v>
      </c>
      <c r="W689" s="1">
        <v>22474.3</v>
      </c>
      <c r="X689" s="1">
        <v>1.75</v>
      </c>
      <c r="Y689" s="1">
        <v>638</v>
      </c>
      <c r="Z689" s="1">
        <v>321438.8</v>
      </c>
      <c r="AA689" s="1">
        <v>7.1</v>
      </c>
      <c r="AB689" s="1">
        <v>4000</v>
      </c>
    </row>
    <row r="690" spans="1:28" x14ac:dyDescent="0.4">
      <c r="A690" s="1" t="s">
        <v>73</v>
      </c>
      <c r="B690" s="1">
        <v>4000</v>
      </c>
      <c r="C690" s="1">
        <v>0.2</v>
      </c>
      <c r="D690" s="1">
        <v>0.5</v>
      </c>
      <c r="E690" s="1">
        <v>1000</v>
      </c>
      <c r="F690" s="1">
        <v>3</v>
      </c>
      <c r="G690" s="1">
        <v>4</v>
      </c>
      <c r="H690" s="1" t="s">
        <v>595</v>
      </c>
      <c r="I690" s="1">
        <v>357913.8</v>
      </c>
      <c r="J690" s="1">
        <v>140722</v>
      </c>
      <c r="K690" s="1">
        <v>217191.8</v>
      </c>
      <c r="L690" s="1">
        <v>1200</v>
      </c>
      <c r="M690" s="1">
        <v>1.67</v>
      </c>
      <c r="N690" s="1">
        <v>113633.2</v>
      </c>
      <c r="O690" s="1">
        <v>181099.9</v>
      </c>
      <c r="P690" s="1">
        <v>294733.09999999998</v>
      </c>
      <c r="Q690" s="1">
        <v>31461.8</v>
      </c>
      <c r="R690" s="1">
        <v>7885.6</v>
      </c>
      <c r="S690" s="1">
        <v>39347.4</v>
      </c>
      <c r="T690" s="1">
        <v>6.66</v>
      </c>
      <c r="U690" s="1">
        <v>0.14000000000000001</v>
      </c>
      <c r="V690" s="1">
        <v>6967.6</v>
      </c>
      <c r="W690" s="1">
        <v>38429.4</v>
      </c>
      <c r="X690" s="1">
        <v>1.81</v>
      </c>
      <c r="Y690" s="1">
        <v>1132</v>
      </c>
      <c r="Z690" s="1">
        <v>333162.5</v>
      </c>
      <c r="AA690" s="1">
        <v>6.92</v>
      </c>
      <c r="AB690" s="1">
        <v>4000</v>
      </c>
    </row>
    <row r="691" spans="1:28" x14ac:dyDescent="0.4">
      <c r="A691" s="1" t="s">
        <v>74</v>
      </c>
      <c r="B691" s="1">
        <v>4000</v>
      </c>
      <c r="C691" s="1">
        <v>0.2</v>
      </c>
      <c r="D691" s="1">
        <v>0.5</v>
      </c>
      <c r="E691" s="1">
        <v>1000</v>
      </c>
      <c r="F691" s="1">
        <v>3</v>
      </c>
      <c r="G691" s="1">
        <v>5</v>
      </c>
      <c r="H691" s="1" t="s">
        <v>595</v>
      </c>
      <c r="I691" s="1">
        <v>358543.9</v>
      </c>
      <c r="J691" s="1">
        <v>136947.6</v>
      </c>
      <c r="K691" s="1">
        <v>221596.3</v>
      </c>
      <c r="L691" s="1">
        <v>1200</v>
      </c>
      <c r="M691" s="1">
        <v>1.51</v>
      </c>
      <c r="N691" s="1">
        <v>117985</v>
      </c>
      <c r="O691" s="1">
        <v>192404</v>
      </c>
      <c r="P691" s="1">
        <v>310389</v>
      </c>
      <c r="Q691" s="1">
        <v>17529.5</v>
      </c>
      <c r="R691" s="1">
        <v>5561.7</v>
      </c>
      <c r="S691" s="1">
        <v>23091.200000000001</v>
      </c>
      <c r="T691" s="1">
        <v>6.99</v>
      </c>
      <c r="U691" s="1">
        <v>0.05</v>
      </c>
      <c r="V691" s="1">
        <v>4979.1000000000004</v>
      </c>
      <c r="W691" s="1">
        <v>22508.6</v>
      </c>
      <c r="X691" s="1">
        <v>1.56</v>
      </c>
      <c r="Y691" s="1">
        <v>614</v>
      </c>
      <c r="Z691" s="1">
        <v>332897.59999999998</v>
      </c>
      <c r="AA691" s="1">
        <v>7.15</v>
      </c>
      <c r="AB691" s="1">
        <v>4000</v>
      </c>
    </row>
    <row r="692" spans="1:28" x14ac:dyDescent="0.4">
      <c r="A692" s="1" t="s">
        <v>377</v>
      </c>
      <c r="B692" s="1">
        <v>4000</v>
      </c>
      <c r="C692" s="1">
        <v>0.2</v>
      </c>
      <c r="D692" s="1">
        <v>0.5</v>
      </c>
      <c r="E692" s="1">
        <v>2000</v>
      </c>
      <c r="F692" s="1">
        <v>1</v>
      </c>
      <c r="G692" s="1">
        <v>1</v>
      </c>
      <c r="H692" s="1" t="s">
        <v>595</v>
      </c>
      <c r="I692" s="1">
        <v>342496.1</v>
      </c>
      <c r="J692" s="1">
        <v>140132.4</v>
      </c>
      <c r="K692" s="1">
        <v>202363.7</v>
      </c>
      <c r="L692" s="1">
        <v>1200</v>
      </c>
      <c r="M692" s="1">
        <v>1.05</v>
      </c>
      <c r="N692" s="1">
        <v>105125.7</v>
      </c>
      <c r="O692" s="1">
        <v>157881</v>
      </c>
      <c r="P692" s="1">
        <v>263006.7</v>
      </c>
      <c r="Q692" s="1">
        <v>32976.5</v>
      </c>
      <c r="R692" s="1">
        <v>7309.5</v>
      </c>
      <c r="S692" s="1">
        <v>40286</v>
      </c>
      <c r="T692" s="1">
        <v>11.45</v>
      </c>
      <c r="U692" s="1">
        <v>0.08</v>
      </c>
      <c r="V692" s="1">
        <v>6776.9</v>
      </c>
      <c r="W692" s="1">
        <v>39753.4</v>
      </c>
      <c r="X692" s="1">
        <v>1.1299999999999999</v>
      </c>
      <c r="Y692" s="1">
        <v>1199</v>
      </c>
      <c r="Z692" s="1">
        <v>302760.09999999998</v>
      </c>
      <c r="AA692" s="1">
        <v>11.6</v>
      </c>
      <c r="AB692" s="1">
        <v>4000</v>
      </c>
    </row>
    <row r="693" spans="1:28" x14ac:dyDescent="0.4">
      <c r="A693" s="1" t="s">
        <v>378</v>
      </c>
      <c r="B693" s="1">
        <v>4000</v>
      </c>
      <c r="C693" s="1">
        <v>0.2</v>
      </c>
      <c r="D693" s="1">
        <v>0.5</v>
      </c>
      <c r="E693" s="1">
        <v>2000</v>
      </c>
      <c r="F693" s="1">
        <v>1</v>
      </c>
      <c r="G693" s="1">
        <v>2</v>
      </c>
      <c r="H693" s="1" t="s">
        <v>595</v>
      </c>
      <c r="I693" s="1">
        <v>340872.4</v>
      </c>
      <c r="J693" s="1">
        <v>134753.1</v>
      </c>
      <c r="K693" s="1">
        <v>206119.3</v>
      </c>
      <c r="L693" s="1">
        <v>1200</v>
      </c>
      <c r="M693" s="1">
        <v>0.98</v>
      </c>
      <c r="N693" s="1">
        <v>105879.4</v>
      </c>
      <c r="O693" s="1">
        <v>165891.4</v>
      </c>
      <c r="P693" s="1">
        <v>271770.8</v>
      </c>
      <c r="Q693" s="1">
        <v>26402.9</v>
      </c>
      <c r="R693" s="1">
        <v>6496.3</v>
      </c>
      <c r="S693" s="1">
        <v>32899.199999999997</v>
      </c>
      <c r="T693" s="1">
        <v>10.62</v>
      </c>
      <c r="U693" s="1">
        <v>0.06</v>
      </c>
      <c r="V693" s="1">
        <v>6011.8</v>
      </c>
      <c r="W693" s="1">
        <v>32414.7</v>
      </c>
      <c r="X693" s="1">
        <v>1.04</v>
      </c>
      <c r="Y693" s="1">
        <v>958</v>
      </c>
      <c r="Z693" s="1">
        <v>304185.5</v>
      </c>
      <c r="AA693" s="1">
        <v>10.76</v>
      </c>
      <c r="AB693" s="1">
        <v>4000</v>
      </c>
    </row>
    <row r="694" spans="1:28" x14ac:dyDescent="0.4">
      <c r="A694" s="1" t="s">
        <v>379</v>
      </c>
      <c r="B694" s="1">
        <v>4000</v>
      </c>
      <c r="C694" s="1">
        <v>0.2</v>
      </c>
      <c r="D694" s="1">
        <v>0.5</v>
      </c>
      <c r="E694" s="1">
        <v>2000</v>
      </c>
      <c r="F694" s="1">
        <v>1</v>
      </c>
      <c r="G694" s="1">
        <v>3</v>
      </c>
      <c r="H694" s="1" t="s">
        <v>595</v>
      </c>
      <c r="I694" s="1">
        <v>348317.4</v>
      </c>
      <c r="J694" s="1">
        <v>138158.9</v>
      </c>
      <c r="K694" s="1">
        <v>210158.5</v>
      </c>
      <c r="L694" s="1">
        <v>1200</v>
      </c>
      <c r="M694" s="1">
        <v>0.99</v>
      </c>
      <c r="N694" s="1">
        <v>107148.1</v>
      </c>
      <c r="O694" s="1">
        <v>166389</v>
      </c>
      <c r="P694" s="1">
        <v>273537.09999999998</v>
      </c>
      <c r="Q694" s="1">
        <v>32756.7</v>
      </c>
      <c r="R694" s="1">
        <v>7549</v>
      </c>
      <c r="S694" s="1">
        <v>40305.699999999997</v>
      </c>
      <c r="T694" s="1">
        <v>9.9</v>
      </c>
      <c r="U694" s="1">
        <v>0.12</v>
      </c>
      <c r="V694" s="1">
        <v>7068.1</v>
      </c>
      <c r="W694" s="1">
        <v>39824.800000000003</v>
      </c>
      <c r="X694" s="1">
        <v>1.1000000000000001</v>
      </c>
      <c r="Y694" s="1">
        <v>1200</v>
      </c>
      <c r="Z694" s="1">
        <v>313361.90000000002</v>
      </c>
      <c r="AA694" s="1">
        <v>10.039999999999999</v>
      </c>
      <c r="AB694" s="1">
        <v>4000</v>
      </c>
    </row>
    <row r="695" spans="1:28" x14ac:dyDescent="0.4">
      <c r="A695" s="1" t="s">
        <v>380</v>
      </c>
      <c r="B695" s="1">
        <v>4000</v>
      </c>
      <c r="C695" s="1">
        <v>0.2</v>
      </c>
      <c r="D695" s="1">
        <v>0.5</v>
      </c>
      <c r="E695" s="1">
        <v>2000</v>
      </c>
      <c r="F695" s="1">
        <v>1</v>
      </c>
      <c r="G695" s="1">
        <v>4</v>
      </c>
      <c r="H695" s="1" t="s">
        <v>595</v>
      </c>
      <c r="I695" s="1">
        <v>346752.7</v>
      </c>
      <c r="J695" s="1">
        <v>138591.1</v>
      </c>
      <c r="K695" s="1">
        <v>208161.6</v>
      </c>
      <c r="L695" s="1">
        <v>1200</v>
      </c>
      <c r="M695" s="1">
        <v>0.98</v>
      </c>
      <c r="N695" s="1">
        <v>109201.9</v>
      </c>
      <c r="O695" s="1">
        <v>166226.1</v>
      </c>
      <c r="P695" s="1">
        <v>275428</v>
      </c>
      <c r="Q695" s="1">
        <v>27538.3</v>
      </c>
      <c r="R695" s="1">
        <v>6477.2</v>
      </c>
      <c r="S695" s="1">
        <v>34015.5</v>
      </c>
      <c r="T695" s="1">
        <v>10.76</v>
      </c>
      <c r="U695" s="1">
        <v>7.0000000000000007E-2</v>
      </c>
      <c r="V695" s="1">
        <v>6111.1</v>
      </c>
      <c r="W695" s="1">
        <v>33649.4</v>
      </c>
      <c r="X695" s="1">
        <v>1.05</v>
      </c>
      <c r="Y695" s="1">
        <v>961</v>
      </c>
      <c r="Z695" s="1">
        <v>309077.40000000002</v>
      </c>
      <c r="AA695" s="1">
        <v>10.87</v>
      </c>
      <c r="AB695" s="1">
        <v>4000</v>
      </c>
    </row>
    <row r="696" spans="1:28" x14ac:dyDescent="0.4">
      <c r="A696" s="1" t="s">
        <v>381</v>
      </c>
      <c r="B696" s="1">
        <v>4000</v>
      </c>
      <c r="C696" s="1">
        <v>0.2</v>
      </c>
      <c r="D696" s="1">
        <v>0.5</v>
      </c>
      <c r="E696" s="1">
        <v>2000</v>
      </c>
      <c r="F696" s="1">
        <v>1</v>
      </c>
      <c r="G696" s="1">
        <v>5</v>
      </c>
      <c r="H696" s="1" t="s">
        <v>595</v>
      </c>
      <c r="I696" s="1">
        <v>348631.2</v>
      </c>
      <c r="J696" s="1">
        <v>144856.70000000001</v>
      </c>
      <c r="K696" s="1">
        <v>203774.5</v>
      </c>
      <c r="L696" s="1">
        <v>1200</v>
      </c>
      <c r="M696" s="1">
        <v>0.93</v>
      </c>
      <c r="N696" s="1">
        <v>114316</v>
      </c>
      <c r="O696" s="1">
        <v>164022.29999999999</v>
      </c>
      <c r="P696" s="1">
        <v>278338.3</v>
      </c>
      <c r="Q696" s="1">
        <v>27759.4</v>
      </c>
      <c r="R696" s="1">
        <v>6571.8</v>
      </c>
      <c r="S696" s="1">
        <v>34331.199999999997</v>
      </c>
      <c r="T696" s="1">
        <v>10.32</v>
      </c>
      <c r="U696" s="1">
        <v>0.09</v>
      </c>
      <c r="V696" s="1">
        <v>6124.4</v>
      </c>
      <c r="W696" s="1">
        <v>33883.800000000003</v>
      </c>
      <c r="X696" s="1">
        <v>1.02</v>
      </c>
      <c r="Y696" s="1">
        <v>1020</v>
      </c>
      <c r="Z696" s="1">
        <v>312222.09999999998</v>
      </c>
      <c r="AA696" s="1">
        <v>10.44</v>
      </c>
      <c r="AB696" s="1">
        <v>4000</v>
      </c>
    </row>
    <row r="697" spans="1:28" x14ac:dyDescent="0.4">
      <c r="A697" s="1" t="s">
        <v>382</v>
      </c>
      <c r="B697" s="1">
        <v>4000</v>
      </c>
      <c r="C697" s="1">
        <v>0.2</v>
      </c>
      <c r="D697" s="1">
        <v>0.5</v>
      </c>
      <c r="E697" s="1">
        <v>2000</v>
      </c>
      <c r="F697" s="1">
        <v>2</v>
      </c>
      <c r="G697" s="1">
        <v>1</v>
      </c>
      <c r="H697" s="1" t="s">
        <v>595</v>
      </c>
      <c r="I697" s="1">
        <v>526871.69999999995</v>
      </c>
      <c r="J697" s="1">
        <v>203138.9</v>
      </c>
      <c r="K697" s="1">
        <v>323732.8</v>
      </c>
      <c r="L697" s="1">
        <v>1200</v>
      </c>
      <c r="M697" s="1">
        <v>1.63</v>
      </c>
      <c r="N697" s="1">
        <v>165667.70000000001</v>
      </c>
      <c r="O697" s="1">
        <v>269015</v>
      </c>
      <c r="P697" s="1">
        <v>434682.7</v>
      </c>
      <c r="Q697" s="1">
        <v>31290.9</v>
      </c>
      <c r="R697" s="1">
        <v>8673.7000000000007</v>
      </c>
      <c r="S697" s="1">
        <v>39964.6</v>
      </c>
      <c r="T697" s="1">
        <v>9.91</v>
      </c>
      <c r="U697" s="1">
        <v>0.2</v>
      </c>
      <c r="V697" s="1">
        <v>7796.1</v>
      </c>
      <c r="W697" s="1">
        <v>39087</v>
      </c>
      <c r="X697" s="1">
        <v>1.83</v>
      </c>
      <c r="Y697" s="1">
        <v>1166</v>
      </c>
      <c r="Z697" s="1">
        <v>473769.7</v>
      </c>
      <c r="AA697" s="1">
        <v>10.08</v>
      </c>
      <c r="AB697" s="1">
        <v>4000</v>
      </c>
    </row>
    <row r="698" spans="1:28" x14ac:dyDescent="0.4">
      <c r="A698" s="1" t="s">
        <v>383</v>
      </c>
      <c r="B698" s="1">
        <v>4000</v>
      </c>
      <c r="C698" s="1">
        <v>0.2</v>
      </c>
      <c r="D698" s="1">
        <v>0.5</v>
      </c>
      <c r="E698" s="1">
        <v>2000</v>
      </c>
      <c r="F698" s="1">
        <v>2</v>
      </c>
      <c r="G698" s="1">
        <v>2</v>
      </c>
      <c r="H698" s="1" t="s">
        <v>595</v>
      </c>
      <c r="I698" s="1">
        <v>538181.4</v>
      </c>
      <c r="J698" s="1">
        <v>206412.2</v>
      </c>
      <c r="K698" s="1">
        <v>331769.2</v>
      </c>
      <c r="L698" s="1">
        <v>1200</v>
      </c>
      <c r="M698" s="1">
        <v>1.82</v>
      </c>
      <c r="N698" s="1">
        <v>168996.7</v>
      </c>
      <c r="O698" s="1">
        <v>280336.90000000002</v>
      </c>
      <c r="P698" s="1">
        <v>449333.6</v>
      </c>
      <c r="Q698" s="1">
        <v>30991.3</v>
      </c>
      <c r="R698" s="1">
        <v>8778</v>
      </c>
      <c r="S698" s="1">
        <v>39769.300000000003</v>
      </c>
      <c r="T698" s="1">
        <v>9.1199999999999992</v>
      </c>
      <c r="U698" s="1">
        <v>0.22</v>
      </c>
      <c r="V698" s="1">
        <v>7639.4</v>
      </c>
      <c r="W698" s="1">
        <v>38630.699999999997</v>
      </c>
      <c r="X698" s="1">
        <v>2.04</v>
      </c>
      <c r="Y698" s="1">
        <v>1142</v>
      </c>
      <c r="Z698" s="1">
        <v>487964.3</v>
      </c>
      <c r="AA698" s="1">
        <v>9.33</v>
      </c>
      <c r="AB698" s="1">
        <v>4000</v>
      </c>
    </row>
    <row r="699" spans="1:28" x14ac:dyDescent="0.4">
      <c r="A699" s="1" t="s">
        <v>384</v>
      </c>
      <c r="B699" s="1">
        <v>4000</v>
      </c>
      <c r="C699" s="1">
        <v>0.2</v>
      </c>
      <c r="D699" s="1">
        <v>0.5</v>
      </c>
      <c r="E699" s="1">
        <v>2000</v>
      </c>
      <c r="F699" s="1">
        <v>2</v>
      </c>
      <c r="G699" s="1">
        <v>3</v>
      </c>
      <c r="H699" s="1" t="s">
        <v>595</v>
      </c>
      <c r="I699" s="1">
        <v>560311.9</v>
      </c>
      <c r="J699" s="1">
        <v>215357.5</v>
      </c>
      <c r="K699" s="1">
        <v>344954.4</v>
      </c>
      <c r="L699" s="1">
        <v>1200</v>
      </c>
      <c r="M699" s="1">
        <v>2</v>
      </c>
      <c r="N699" s="1">
        <v>179344.8</v>
      </c>
      <c r="O699" s="1">
        <v>293538.8</v>
      </c>
      <c r="P699" s="1">
        <v>472883.6</v>
      </c>
      <c r="Q699" s="1">
        <v>26225.4</v>
      </c>
      <c r="R699" s="1">
        <v>7721.3</v>
      </c>
      <c r="S699" s="1">
        <v>33946.699999999997</v>
      </c>
      <c r="T699" s="1">
        <v>9.5399999999999991</v>
      </c>
      <c r="U699" s="1">
        <v>0.16</v>
      </c>
      <c r="V699" s="1">
        <v>6816.2</v>
      </c>
      <c r="W699" s="1">
        <v>33041.599999999999</v>
      </c>
      <c r="X699" s="1">
        <v>2.16</v>
      </c>
      <c r="Y699" s="1">
        <v>978</v>
      </c>
      <c r="Z699" s="1">
        <v>505925.2</v>
      </c>
      <c r="AA699" s="1">
        <v>9.7100000000000009</v>
      </c>
      <c r="AB699" s="1">
        <v>4000</v>
      </c>
    </row>
    <row r="700" spans="1:28" x14ac:dyDescent="0.4">
      <c r="A700" s="1" t="s">
        <v>385</v>
      </c>
      <c r="B700" s="1">
        <v>4000</v>
      </c>
      <c r="C700" s="1">
        <v>0.2</v>
      </c>
      <c r="D700" s="1">
        <v>0.5</v>
      </c>
      <c r="E700" s="1">
        <v>2000</v>
      </c>
      <c r="F700" s="1">
        <v>2</v>
      </c>
      <c r="G700" s="1">
        <v>4</v>
      </c>
      <c r="H700" s="1" t="s">
        <v>595</v>
      </c>
      <c r="I700" s="1">
        <v>538133</v>
      </c>
      <c r="J700" s="1">
        <v>202847.3</v>
      </c>
      <c r="K700" s="1">
        <v>335285.7</v>
      </c>
      <c r="L700" s="1">
        <v>1200</v>
      </c>
      <c r="M700" s="1">
        <v>1.91</v>
      </c>
      <c r="N700" s="1">
        <v>165602.79999999999</v>
      </c>
      <c r="O700" s="1">
        <v>279886.59999999998</v>
      </c>
      <c r="P700" s="1">
        <v>445489.4</v>
      </c>
      <c r="Q700" s="1">
        <v>29732.1</v>
      </c>
      <c r="R700" s="1">
        <v>8555.4</v>
      </c>
      <c r="S700" s="1">
        <v>38287.5</v>
      </c>
      <c r="T700" s="1">
        <v>10.1</v>
      </c>
      <c r="U700" s="1">
        <v>0.19</v>
      </c>
      <c r="V700" s="1">
        <v>7628.6</v>
      </c>
      <c r="W700" s="1">
        <v>37360.699999999997</v>
      </c>
      <c r="X700" s="1">
        <v>2.1</v>
      </c>
      <c r="Y700" s="1">
        <v>1095</v>
      </c>
      <c r="Z700" s="1">
        <v>482850.1</v>
      </c>
      <c r="AA700" s="1">
        <v>10.27</v>
      </c>
      <c r="AB700" s="1">
        <v>4000</v>
      </c>
    </row>
    <row r="701" spans="1:28" x14ac:dyDescent="0.4">
      <c r="A701" s="1" t="s">
        <v>386</v>
      </c>
      <c r="B701" s="1">
        <v>4000</v>
      </c>
      <c r="C701" s="1">
        <v>0.2</v>
      </c>
      <c r="D701" s="1">
        <v>0.5</v>
      </c>
      <c r="E701" s="1">
        <v>2000</v>
      </c>
      <c r="F701" s="1">
        <v>2</v>
      </c>
      <c r="G701" s="1">
        <v>5</v>
      </c>
      <c r="H701" s="1" t="s">
        <v>595</v>
      </c>
      <c r="I701" s="1">
        <v>529127.69999999995</v>
      </c>
      <c r="J701" s="1">
        <v>200945.6</v>
      </c>
      <c r="K701" s="1">
        <v>328182.09999999998</v>
      </c>
      <c r="L701" s="1">
        <v>1200</v>
      </c>
      <c r="M701" s="1">
        <v>1.92</v>
      </c>
      <c r="N701" s="1">
        <v>165330.29999999999</v>
      </c>
      <c r="O701" s="1">
        <v>274377.8</v>
      </c>
      <c r="P701" s="1">
        <v>439708.1</v>
      </c>
      <c r="Q701" s="1">
        <v>29356</v>
      </c>
      <c r="R701" s="1">
        <v>8065.8</v>
      </c>
      <c r="S701" s="1">
        <v>37421.800000000003</v>
      </c>
      <c r="T701" s="1">
        <v>9.83</v>
      </c>
      <c r="U701" s="1">
        <v>0.17</v>
      </c>
      <c r="V701" s="1">
        <v>7406.9</v>
      </c>
      <c r="W701" s="1">
        <v>36762.9</v>
      </c>
      <c r="X701" s="1">
        <v>2.09</v>
      </c>
      <c r="Y701" s="1">
        <v>1103</v>
      </c>
      <c r="Z701" s="1">
        <v>476471</v>
      </c>
      <c r="AA701" s="1">
        <v>9.9499999999999993</v>
      </c>
      <c r="AB701" s="1">
        <v>4000</v>
      </c>
    </row>
    <row r="702" spans="1:28" x14ac:dyDescent="0.4">
      <c r="A702" s="1" t="s">
        <v>387</v>
      </c>
      <c r="B702" s="1">
        <v>4000</v>
      </c>
      <c r="C702" s="1">
        <v>0.2</v>
      </c>
      <c r="D702" s="1">
        <v>0.5</v>
      </c>
      <c r="E702" s="1">
        <v>2000</v>
      </c>
      <c r="F702" s="1">
        <v>3</v>
      </c>
      <c r="G702" s="1">
        <v>1</v>
      </c>
      <c r="H702" s="1" t="s">
        <v>595</v>
      </c>
      <c r="I702" s="1">
        <v>683234.6</v>
      </c>
      <c r="J702" s="1">
        <v>257568.3</v>
      </c>
      <c r="K702" s="1">
        <v>425666.3</v>
      </c>
      <c r="L702" s="1">
        <v>1200</v>
      </c>
      <c r="M702" s="1">
        <v>3.2</v>
      </c>
      <c r="N702" s="1">
        <v>214026</v>
      </c>
      <c r="O702" s="1">
        <v>361979.8</v>
      </c>
      <c r="P702" s="1">
        <v>576005.80000000005</v>
      </c>
      <c r="Q702" s="1">
        <v>31580.1</v>
      </c>
      <c r="R702" s="1">
        <v>8774.7000000000007</v>
      </c>
      <c r="S702" s="1">
        <v>40354.800000000003</v>
      </c>
      <c r="T702" s="1">
        <v>9.7899999999999991</v>
      </c>
      <c r="U702" s="1">
        <v>0.2</v>
      </c>
      <c r="V702" s="1">
        <v>7924.5</v>
      </c>
      <c r="W702" s="1">
        <v>39504.6</v>
      </c>
      <c r="X702" s="1">
        <v>3.39</v>
      </c>
      <c r="Y702" s="1">
        <v>1151</v>
      </c>
      <c r="Z702" s="1">
        <v>615510.4</v>
      </c>
      <c r="AA702" s="1">
        <v>9.91</v>
      </c>
      <c r="AB702" s="1">
        <v>4000</v>
      </c>
    </row>
    <row r="703" spans="1:28" x14ac:dyDescent="0.4">
      <c r="A703" s="1" t="s">
        <v>388</v>
      </c>
      <c r="B703" s="1">
        <v>4000</v>
      </c>
      <c r="C703" s="1">
        <v>0.2</v>
      </c>
      <c r="D703" s="1">
        <v>0.5</v>
      </c>
      <c r="E703" s="1">
        <v>2000</v>
      </c>
      <c r="F703" s="1">
        <v>3</v>
      </c>
      <c r="G703" s="1">
        <v>2</v>
      </c>
      <c r="H703" s="1" t="s">
        <v>595</v>
      </c>
      <c r="I703" s="1">
        <v>688321.6</v>
      </c>
      <c r="J703" s="1">
        <v>265318</v>
      </c>
      <c r="K703" s="1">
        <v>423003.6</v>
      </c>
      <c r="L703" s="1">
        <v>1200</v>
      </c>
      <c r="M703" s="1">
        <v>3.21</v>
      </c>
      <c r="N703" s="1">
        <v>223275.7</v>
      </c>
      <c r="O703" s="1">
        <v>364237.6</v>
      </c>
      <c r="P703" s="1">
        <v>587513.30000000005</v>
      </c>
      <c r="Q703" s="1">
        <v>27347.8</v>
      </c>
      <c r="R703" s="1">
        <v>8596.7999999999993</v>
      </c>
      <c r="S703" s="1">
        <v>35944.6</v>
      </c>
      <c r="T703" s="1">
        <v>9.42</v>
      </c>
      <c r="U703" s="1">
        <v>0.2</v>
      </c>
      <c r="V703" s="1">
        <v>7528.1</v>
      </c>
      <c r="W703" s="1">
        <v>34875.9</v>
      </c>
      <c r="X703" s="1">
        <v>3.4</v>
      </c>
      <c r="Y703" s="1">
        <v>1027</v>
      </c>
      <c r="Z703" s="1">
        <v>622389.19999999995</v>
      </c>
      <c r="AA703" s="1">
        <v>9.58</v>
      </c>
      <c r="AB703" s="1">
        <v>4000</v>
      </c>
    </row>
    <row r="704" spans="1:28" x14ac:dyDescent="0.4">
      <c r="A704" s="1" t="s">
        <v>389</v>
      </c>
      <c r="B704" s="1">
        <v>4000</v>
      </c>
      <c r="C704" s="1">
        <v>0.2</v>
      </c>
      <c r="D704" s="1">
        <v>0.5</v>
      </c>
      <c r="E704" s="1">
        <v>2000</v>
      </c>
      <c r="F704" s="1">
        <v>3</v>
      </c>
      <c r="G704" s="1">
        <v>3</v>
      </c>
      <c r="H704" s="1" t="s">
        <v>595</v>
      </c>
      <c r="I704" s="1">
        <v>720187.7</v>
      </c>
      <c r="J704" s="1">
        <v>279158.7</v>
      </c>
      <c r="K704" s="1">
        <v>441029</v>
      </c>
      <c r="L704" s="1">
        <v>1200</v>
      </c>
      <c r="M704" s="1">
        <v>3.25</v>
      </c>
      <c r="N704" s="1">
        <v>236587.1</v>
      </c>
      <c r="O704" s="1">
        <v>379800.5</v>
      </c>
      <c r="P704" s="1">
        <v>616387.6</v>
      </c>
      <c r="Q704" s="1">
        <v>30340.9</v>
      </c>
      <c r="R704" s="1">
        <v>8421.5</v>
      </c>
      <c r="S704" s="1">
        <v>38762.400000000001</v>
      </c>
      <c r="T704" s="1">
        <v>9.0299999999999994</v>
      </c>
      <c r="U704" s="1">
        <v>0.24</v>
      </c>
      <c r="V704" s="1">
        <v>7196.5</v>
      </c>
      <c r="W704" s="1">
        <v>37537.4</v>
      </c>
      <c r="X704" s="1">
        <v>3.49</v>
      </c>
      <c r="Y704" s="1">
        <v>1131</v>
      </c>
      <c r="Z704" s="1">
        <v>653925</v>
      </c>
      <c r="AA704" s="1">
        <v>9.1999999999999993</v>
      </c>
      <c r="AB704" s="1">
        <v>4000</v>
      </c>
    </row>
    <row r="705" spans="1:28" x14ac:dyDescent="0.4">
      <c r="A705" s="1" t="s">
        <v>390</v>
      </c>
      <c r="B705" s="1">
        <v>4000</v>
      </c>
      <c r="C705" s="1">
        <v>0.2</v>
      </c>
      <c r="D705" s="1">
        <v>0.5</v>
      </c>
      <c r="E705" s="1">
        <v>2000</v>
      </c>
      <c r="F705" s="1">
        <v>3</v>
      </c>
      <c r="G705" s="1">
        <v>4</v>
      </c>
      <c r="H705" s="1" t="s">
        <v>595</v>
      </c>
      <c r="I705" s="1">
        <v>704298.5</v>
      </c>
      <c r="J705" s="1">
        <v>263203.3</v>
      </c>
      <c r="K705" s="1">
        <v>441095.2</v>
      </c>
      <c r="L705" s="1">
        <v>1200</v>
      </c>
      <c r="M705" s="1">
        <v>3.3</v>
      </c>
      <c r="N705" s="1">
        <v>224700</v>
      </c>
      <c r="O705" s="1">
        <v>377542.5</v>
      </c>
      <c r="P705" s="1">
        <v>602242.5</v>
      </c>
      <c r="Q705" s="1">
        <v>26719.4</v>
      </c>
      <c r="R705" s="1">
        <v>8179.4</v>
      </c>
      <c r="S705" s="1">
        <v>34898.800000000003</v>
      </c>
      <c r="T705" s="1">
        <v>9.5399999999999991</v>
      </c>
      <c r="U705" s="1">
        <v>0.21</v>
      </c>
      <c r="V705" s="1">
        <v>7296.8</v>
      </c>
      <c r="W705" s="1">
        <v>34016.199999999997</v>
      </c>
      <c r="X705" s="1">
        <v>3.51</v>
      </c>
      <c r="Y705" s="1">
        <v>996</v>
      </c>
      <c r="Z705" s="1">
        <v>636258.69999999995</v>
      </c>
      <c r="AA705" s="1">
        <v>9.66</v>
      </c>
      <c r="AB705" s="1">
        <v>4000</v>
      </c>
    </row>
    <row r="706" spans="1:28" x14ac:dyDescent="0.4">
      <c r="A706" s="1" t="s">
        <v>391</v>
      </c>
      <c r="B706" s="1">
        <v>4000</v>
      </c>
      <c r="C706" s="1">
        <v>0.2</v>
      </c>
      <c r="D706" s="1">
        <v>0.5</v>
      </c>
      <c r="E706" s="1">
        <v>2000</v>
      </c>
      <c r="F706" s="1">
        <v>3</v>
      </c>
      <c r="G706" s="1">
        <v>5</v>
      </c>
      <c r="H706" s="1" t="s">
        <v>595</v>
      </c>
      <c r="I706" s="1">
        <v>698389.6</v>
      </c>
      <c r="J706" s="1">
        <v>267524.5</v>
      </c>
      <c r="K706" s="1">
        <v>430865.1</v>
      </c>
      <c r="L706" s="1">
        <v>1200</v>
      </c>
      <c r="M706" s="1">
        <v>3.2</v>
      </c>
      <c r="N706" s="1">
        <v>223547.4</v>
      </c>
      <c r="O706" s="1">
        <v>366436.5</v>
      </c>
      <c r="P706" s="1">
        <v>589983.9</v>
      </c>
      <c r="Q706" s="1">
        <v>31124.7</v>
      </c>
      <c r="R706" s="1">
        <v>9094.7000000000007</v>
      </c>
      <c r="S706" s="1">
        <v>40219.4</v>
      </c>
      <c r="T706" s="1">
        <v>9.76</v>
      </c>
      <c r="U706" s="1">
        <v>0.24</v>
      </c>
      <c r="V706" s="1">
        <v>7923.5</v>
      </c>
      <c r="W706" s="1">
        <v>39048.199999999997</v>
      </c>
      <c r="X706" s="1">
        <v>3.44</v>
      </c>
      <c r="Y706" s="1">
        <v>1149</v>
      </c>
      <c r="Z706" s="1">
        <v>629032.1</v>
      </c>
      <c r="AA706" s="1">
        <v>9.93</v>
      </c>
      <c r="AB706" s="1">
        <v>4000</v>
      </c>
    </row>
    <row r="707" spans="1:28" x14ac:dyDescent="0.4">
      <c r="A707" s="1" t="s">
        <v>392</v>
      </c>
      <c r="B707" s="1">
        <v>4000</v>
      </c>
      <c r="C707" s="1">
        <v>0.2</v>
      </c>
      <c r="D707" s="1">
        <v>0.5</v>
      </c>
      <c r="E707" s="1">
        <v>500</v>
      </c>
      <c r="F707" s="1">
        <v>1</v>
      </c>
      <c r="G707" s="1">
        <v>1</v>
      </c>
      <c r="H707" s="1" t="s">
        <v>595</v>
      </c>
      <c r="I707" s="1">
        <v>91390.7</v>
      </c>
      <c r="J707" s="1">
        <v>36834.5</v>
      </c>
      <c r="K707" s="1">
        <v>54556.2</v>
      </c>
      <c r="L707" s="1">
        <v>1200</v>
      </c>
      <c r="M707" s="1">
        <v>1.1299999999999999</v>
      </c>
      <c r="N707" s="1">
        <v>31546.9</v>
      </c>
      <c r="O707" s="1">
        <v>47567.199999999997</v>
      </c>
      <c r="P707" s="1">
        <v>79114.100000000006</v>
      </c>
      <c r="Q707" s="1">
        <v>6398.1</v>
      </c>
      <c r="R707" s="1">
        <v>1218.5999999999999</v>
      </c>
      <c r="S707" s="1">
        <v>7616.7</v>
      </c>
      <c r="T707" s="1">
        <v>5.0999999999999996</v>
      </c>
      <c r="U707" s="1">
        <v>0</v>
      </c>
      <c r="V707" s="1">
        <v>1171.2</v>
      </c>
      <c r="W707" s="1">
        <v>7569.3</v>
      </c>
      <c r="X707" s="1">
        <v>1.1399999999999999</v>
      </c>
      <c r="Y707" s="1">
        <v>194</v>
      </c>
      <c r="Z707" s="1">
        <v>86683.4</v>
      </c>
      <c r="AA707" s="1">
        <v>5.15</v>
      </c>
      <c r="AB707" s="1">
        <v>4000</v>
      </c>
    </row>
    <row r="708" spans="1:28" x14ac:dyDescent="0.4">
      <c r="A708" s="1" t="s">
        <v>393</v>
      </c>
      <c r="B708" s="1">
        <v>4000</v>
      </c>
      <c r="C708" s="1">
        <v>0.2</v>
      </c>
      <c r="D708" s="1">
        <v>0.5</v>
      </c>
      <c r="E708" s="1">
        <v>500</v>
      </c>
      <c r="F708" s="1">
        <v>1</v>
      </c>
      <c r="G708" s="1">
        <v>2</v>
      </c>
      <c r="H708" s="1" t="s">
        <v>595</v>
      </c>
      <c r="I708" s="1">
        <v>92818.2</v>
      </c>
      <c r="J708" s="1">
        <v>35033.199999999997</v>
      </c>
      <c r="K708" s="1">
        <v>57785</v>
      </c>
      <c r="L708" s="1">
        <v>1200</v>
      </c>
      <c r="M708" s="1">
        <v>1.03</v>
      </c>
      <c r="N708" s="1">
        <v>28556.9</v>
      </c>
      <c r="O708" s="1">
        <v>49062</v>
      </c>
      <c r="P708" s="1">
        <v>77618.899999999994</v>
      </c>
      <c r="Q708" s="1">
        <v>9651.7999999999993</v>
      </c>
      <c r="R708" s="1">
        <v>1506.5</v>
      </c>
      <c r="S708" s="1">
        <v>11158.3</v>
      </c>
      <c r="T708" s="1">
        <v>4.3499999999999996</v>
      </c>
      <c r="U708" s="1">
        <v>0</v>
      </c>
      <c r="V708" s="1">
        <v>1407.8</v>
      </c>
      <c r="W708" s="1">
        <v>11059.6</v>
      </c>
      <c r="X708" s="1">
        <v>1.03</v>
      </c>
      <c r="Y708" s="1">
        <v>322</v>
      </c>
      <c r="Z708" s="1">
        <v>88678.5</v>
      </c>
      <c r="AA708" s="1">
        <v>4.46</v>
      </c>
      <c r="AB708" s="1">
        <v>4000</v>
      </c>
    </row>
    <row r="709" spans="1:28" x14ac:dyDescent="0.4">
      <c r="A709" s="1" t="s">
        <v>394</v>
      </c>
      <c r="B709" s="1">
        <v>4000</v>
      </c>
      <c r="C709" s="1">
        <v>0.2</v>
      </c>
      <c r="D709" s="1">
        <v>0.5</v>
      </c>
      <c r="E709" s="1">
        <v>500</v>
      </c>
      <c r="F709" s="1">
        <v>1</v>
      </c>
      <c r="G709" s="1">
        <v>3</v>
      </c>
      <c r="H709" s="1" t="s">
        <v>595</v>
      </c>
      <c r="I709" s="1">
        <v>89874.2</v>
      </c>
      <c r="J709" s="1">
        <v>35811.9</v>
      </c>
      <c r="K709" s="1">
        <v>54062.3</v>
      </c>
      <c r="L709" s="1">
        <v>1200</v>
      </c>
      <c r="M709" s="1">
        <v>1.04</v>
      </c>
      <c r="N709" s="1">
        <v>30819.1</v>
      </c>
      <c r="O709" s="1">
        <v>47511.7</v>
      </c>
      <c r="P709" s="1">
        <v>78330.8</v>
      </c>
      <c r="Q709" s="1">
        <v>6339.6</v>
      </c>
      <c r="R709" s="1">
        <v>1521.1</v>
      </c>
      <c r="S709" s="1">
        <v>7860.7</v>
      </c>
      <c r="T709" s="1">
        <v>4.0999999999999996</v>
      </c>
      <c r="U709" s="1">
        <v>0</v>
      </c>
      <c r="V709" s="1">
        <v>1402.2</v>
      </c>
      <c r="W709" s="1">
        <v>7741.8</v>
      </c>
      <c r="X709" s="1">
        <v>1.04</v>
      </c>
      <c r="Y709" s="1">
        <v>208</v>
      </c>
      <c r="Z709" s="1">
        <v>86072.6</v>
      </c>
      <c r="AA709" s="1">
        <v>4.2300000000000004</v>
      </c>
      <c r="AB709" s="1">
        <v>4000</v>
      </c>
    </row>
    <row r="710" spans="1:28" x14ac:dyDescent="0.4">
      <c r="A710" s="1" t="s">
        <v>395</v>
      </c>
      <c r="B710" s="1">
        <v>4000</v>
      </c>
      <c r="C710" s="1">
        <v>0.2</v>
      </c>
      <c r="D710" s="1">
        <v>0.5</v>
      </c>
      <c r="E710" s="1">
        <v>500</v>
      </c>
      <c r="F710" s="1">
        <v>1</v>
      </c>
      <c r="G710" s="1">
        <v>4</v>
      </c>
      <c r="H710" s="1" t="s">
        <v>595</v>
      </c>
      <c r="I710" s="1">
        <v>88886.3</v>
      </c>
      <c r="J710" s="1">
        <v>34534.5</v>
      </c>
      <c r="K710" s="1">
        <v>54351.8</v>
      </c>
      <c r="L710" s="1">
        <v>1200</v>
      </c>
      <c r="M710" s="1">
        <v>0.99</v>
      </c>
      <c r="N710" s="1">
        <v>29830.6</v>
      </c>
      <c r="O710" s="1">
        <v>48495.9</v>
      </c>
      <c r="P710" s="1">
        <v>78326.5</v>
      </c>
      <c r="Q710" s="1">
        <v>6235.8</v>
      </c>
      <c r="R710" s="1">
        <v>1247.2</v>
      </c>
      <c r="S710" s="1">
        <v>7483</v>
      </c>
      <c r="T710" s="1">
        <v>3.46</v>
      </c>
      <c r="U710" s="1">
        <v>0</v>
      </c>
      <c r="V710" s="1">
        <v>1200.4000000000001</v>
      </c>
      <c r="W710" s="1">
        <v>7436.2</v>
      </c>
      <c r="X710" s="1">
        <v>0.99</v>
      </c>
      <c r="Y710" s="1">
        <v>187</v>
      </c>
      <c r="Z710" s="1">
        <v>85762.7</v>
      </c>
      <c r="AA710" s="1">
        <v>3.51</v>
      </c>
      <c r="AB710" s="1">
        <v>4000</v>
      </c>
    </row>
    <row r="711" spans="1:28" x14ac:dyDescent="0.4">
      <c r="A711" s="1" t="s">
        <v>396</v>
      </c>
      <c r="B711" s="1">
        <v>4000</v>
      </c>
      <c r="C711" s="1">
        <v>0.2</v>
      </c>
      <c r="D711" s="1">
        <v>0.5</v>
      </c>
      <c r="E711" s="1">
        <v>500</v>
      </c>
      <c r="F711" s="1">
        <v>1</v>
      </c>
      <c r="G711" s="1">
        <v>5</v>
      </c>
      <c r="H711" s="1" t="s">
        <v>595</v>
      </c>
      <c r="I711" s="1">
        <v>87291.1</v>
      </c>
      <c r="J711" s="1">
        <v>33873</v>
      </c>
      <c r="K711" s="1">
        <v>53418.1</v>
      </c>
      <c r="L711" s="1">
        <v>1200</v>
      </c>
      <c r="M711" s="1">
        <v>1.01</v>
      </c>
      <c r="N711" s="1">
        <v>26913</v>
      </c>
      <c r="O711" s="1">
        <v>45167.3</v>
      </c>
      <c r="P711" s="1">
        <v>72080.3</v>
      </c>
      <c r="Q711" s="1">
        <v>10051.9</v>
      </c>
      <c r="R711" s="1">
        <v>2247.1999999999998</v>
      </c>
      <c r="S711" s="1">
        <v>12299.1</v>
      </c>
      <c r="T711" s="1">
        <v>3.34</v>
      </c>
      <c r="U711" s="1">
        <v>0</v>
      </c>
      <c r="V711" s="1">
        <v>2114.9</v>
      </c>
      <c r="W711" s="1">
        <v>12166.8</v>
      </c>
      <c r="X711" s="1">
        <v>1.02</v>
      </c>
      <c r="Y711" s="1">
        <v>360</v>
      </c>
      <c r="Z711" s="1">
        <v>84247.1</v>
      </c>
      <c r="AA711" s="1">
        <v>3.49</v>
      </c>
      <c r="AB711" s="1">
        <v>4000</v>
      </c>
    </row>
    <row r="712" spans="1:28" x14ac:dyDescent="0.4">
      <c r="A712" s="1" t="s">
        <v>397</v>
      </c>
      <c r="B712" s="1">
        <v>4000</v>
      </c>
      <c r="C712" s="1">
        <v>0.2</v>
      </c>
      <c r="D712" s="1">
        <v>0.5</v>
      </c>
      <c r="E712" s="1">
        <v>500</v>
      </c>
      <c r="F712" s="1">
        <v>2</v>
      </c>
      <c r="G712" s="1">
        <v>1</v>
      </c>
      <c r="H712" s="1" t="s">
        <v>595</v>
      </c>
      <c r="I712" s="1">
        <v>136347</v>
      </c>
      <c r="J712" s="1">
        <v>52262.2</v>
      </c>
      <c r="K712" s="1">
        <v>84084.800000000003</v>
      </c>
      <c r="L712" s="1">
        <v>1200</v>
      </c>
      <c r="M712" s="1">
        <v>1.1399999999999999</v>
      </c>
      <c r="N712" s="1">
        <v>47317</v>
      </c>
      <c r="O712" s="1">
        <v>75571.399999999994</v>
      </c>
      <c r="P712" s="1">
        <v>122888.4</v>
      </c>
      <c r="Q712" s="1">
        <v>6445.7</v>
      </c>
      <c r="R712" s="1">
        <v>1552</v>
      </c>
      <c r="S712" s="1">
        <v>7997.7</v>
      </c>
      <c r="T712" s="1">
        <v>4.01</v>
      </c>
      <c r="U712" s="1">
        <v>0</v>
      </c>
      <c r="V712" s="1">
        <v>1446.2</v>
      </c>
      <c r="W712" s="1">
        <v>7891.9</v>
      </c>
      <c r="X712" s="1">
        <v>1.1399999999999999</v>
      </c>
      <c r="Y712" s="1">
        <v>228</v>
      </c>
      <c r="Z712" s="1">
        <v>130780.3</v>
      </c>
      <c r="AA712" s="1">
        <v>4.08</v>
      </c>
      <c r="AB712" s="1">
        <v>4000</v>
      </c>
    </row>
    <row r="713" spans="1:28" x14ac:dyDescent="0.4">
      <c r="A713" s="1" t="s">
        <v>398</v>
      </c>
      <c r="B713" s="1">
        <v>4000</v>
      </c>
      <c r="C713" s="1">
        <v>0.2</v>
      </c>
      <c r="D713" s="1">
        <v>0.5</v>
      </c>
      <c r="E713" s="1">
        <v>500</v>
      </c>
      <c r="F713" s="1">
        <v>2</v>
      </c>
      <c r="G713" s="1">
        <v>2</v>
      </c>
      <c r="H713" s="1" t="s">
        <v>595</v>
      </c>
      <c r="I713" s="1">
        <v>133994.6</v>
      </c>
      <c r="J713" s="1">
        <v>51705.2</v>
      </c>
      <c r="K713" s="1">
        <v>82289.399999999994</v>
      </c>
      <c r="L713" s="1">
        <v>1200</v>
      </c>
      <c r="M713" s="1">
        <v>1.2</v>
      </c>
      <c r="N713" s="1">
        <v>45869.599999999999</v>
      </c>
      <c r="O713" s="1">
        <v>73264.800000000003</v>
      </c>
      <c r="P713" s="1">
        <v>119134.39999999999</v>
      </c>
      <c r="Q713" s="1">
        <v>8548.1</v>
      </c>
      <c r="R713" s="1">
        <v>2066.6</v>
      </c>
      <c r="S713" s="1">
        <v>10614.7</v>
      </c>
      <c r="T713" s="1">
        <v>3.17</v>
      </c>
      <c r="U713" s="1">
        <v>0</v>
      </c>
      <c r="V713" s="1">
        <v>1940.4</v>
      </c>
      <c r="W713" s="1">
        <v>10488.5</v>
      </c>
      <c r="X713" s="1">
        <v>1.2</v>
      </c>
      <c r="Y713" s="1">
        <v>315</v>
      </c>
      <c r="Z713" s="1">
        <v>129622.9</v>
      </c>
      <c r="AA713" s="1">
        <v>3.26</v>
      </c>
      <c r="AB713" s="1">
        <v>4000</v>
      </c>
    </row>
    <row r="714" spans="1:28" x14ac:dyDescent="0.4">
      <c r="A714" s="1" t="s">
        <v>399</v>
      </c>
      <c r="B714" s="1">
        <v>4000</v>
      </c>
      <c r="C714" s="1">
        <v>0.2</v>
      </c>
      <c r="D714" s="1">
        <v>0.5</v>
      </c>
      <c r="E714" s="1">
        <v>500</v>
      </c>
      <c r="F714" s="1">
        <v>2</v>
      </c>
      <c r="G714" s="1">
        <v>3</v>
      </c>
      <c r="H714" s="1" t="s">
        <v>595</v>
      </c>
      <c r="I714" s="1">
        <v>136946.70000000001</v>
      </c>
      <c r="J714" s="1">
        <v>51685.9</v>
      </c>
      <c r="K714" s="1">
        <v>85260.800000000003</v>
      </c>
      <c r="L714" s="1">
        <v>1200</v>
      </c>
      <c r="M714" s="1">
        <v>1.17</v>
      </c>
      <c r="N714" s="1">
        <v>45164.3</v>
      </c>
      <c r="O714" s="1">
        <v>74802.100000000006</v>
      </c>
      <c r="P714" s="1">
        <v>119966.39999999999</v>
      </c>
      <c r="Q714" s="1">
        <v>9600.4</v>
      </c>
      <c r="R714" s="1">
        <v>2293.6</v>
      </c>
      <c r="S714" s="1">
        <v>11894</v>
      </c>
      <c r="T714" s="1">
        <v>3.71</v>
      </c>
      <c r="U714" s="1">
        <v>0.01</v>
      </c>
      <c r="V714" s="1">
        <v>2025.2</v>
      </c>
      <c r="W714" s="1">
        <v>11625.6</v>
      </c>
      <c r="X714" s="1">
        <v>1.17</v>
      </c>
      <c r="Y714" s="1">
        <v>354</v>
      </c>
      <c r="Z714" s="1">
        <v>131592</v>
      </c>
      <c r="AA714" s="1">
        <v>3.91</v>
      </c>
      <c r="AB714" s="1">
        <v>4000</v>
      </c>
    </row>
    <row r="715" spans="1:28" x14ac:dyDescent="0.4">
      <c r="A715" s="1" t="s">
        <v>400</v>
      </c>
      <c r="B715" s="1">
        <v>4000</v>
      </c>
      <c r="C715" s="1">
        <v>0.2</v>
      </c>
      <c r="D715" s="1">
        <v>0.5</v>
      </c>
      <c r="E715" s="1">
        <v>500</v>
      </c>
      <c r="F715" s="1">
        <v>2</v>
      </c>
      <c r="G715" s="1">
        <v>4</v>
      </c>
      <c r="H715" s="1" t="s">
        <v>595</v>
      </c>
      <c r="I715" s="1">
        <v>130276.2</v>
      </c>
      <c r="J715" s="1">
        <v>49319</v>
      </c>
      <c r="K715" s="1">
        <v>80957.2</v>
      </c>
      <c r="L715" s="1">
        <v>1200</v>
      </c>
      <c r="M715" s="1">
        <v>1.19</v>
      </c>
      <c r="N715" s="1">
        <v>42533.5</v>
      </c>
      <c r="O715" s="1">
        <v>72906.5</v>
      </c>
      <c r="P715" s="1">
        <v>115440</v>
      </c>
      <c r="Q715" s="1">
        <v>7967.3</v>
      </c>
      <c r="R715" s="1">
        <v>1759.1</v>
      </c>
      <c r="S715" s="1">
        <v>9726.4</v>
      </c>
      <c r="T715" s="1">
        <v>3.92</v>
      </c>
      <c r="U715" s="1">
        <v>0</v>
      </c>
      <c r="V715" s="1">
        <v>1580.6</v>
      </c>
      <c r="W715" s="1">
        <v>9547.9</v>
      </c>
      <c r="X715" s="1">
        <v>1.19</v>
      </c>
      <c r="Y715" s="1">
        <v>295</v>
      </c>
      <c r="Z715" s="1">
        <v>124987.9</v>
      </c>
      <c r="AA715" s="1">
        <v>4.0599999999999996</v>
      </c>
      <c r="AB715" s="1">
        <v>4000</v>
      </c>
    </row>
    <row r="716" spans="1:28" x14ac:dyDescent="0.4">
      <c r="A716" s="1" t="s">
        <v>401</v>
      </c>
      <c r="B716" s="1">
        <v>4000</v>
      </c>
      <c r="C716" s="1">
        <v>0.2</v>
      </c>
      <c r="D716" s="1">
        <v>0.5</v>
      </c>
      <c r="E716" s="1">
        <v>500</v>
      </c>
      <c r="F716" s="1">
        <v>2</v>
      </c>
      <c r="G716" s="1">
        <v>5</v>
      </c>
      <c r="H716" s="1" t="s">
        <v>595</v>
      </c>
      <c r="I716" s="1">
        <v>126993.7</v>
      </c>
      <c r="J716" s="1">
        <v>49785.9</v>
      </c>
      <c r="K716" s="1">
        <v>77207.8</v>
      </c>
      <c r="L716" s="1">
        <v>1200</v>
      </c>
      <c r="M716" s="1">
        <v>1.28</v>
      </c>
      <c r="N716" s="1">
        <v>44639.8</v>
      </c>
      <c r="O716" s="1">
        <v>70049.3</v>
      </c>
      <c r="P716" s="1">
        <v>114689.1</v>
      </c>
      <c r="Q716" s="1">
        <v>6127.5</v>
      </c>
      <c r="R716" s="1">
        <v>1501.6</v>
      </c>
      <c r="S716" s="1">
        <v>7629.1</v>
      </c>
      <c r="T716" s="1">
        <v>3.68</v>
      </c>
      <c r="U716" s="1">
        <v>0</v>
      </c>
      <c r="V716" s="1">
        <v>1379.4</v>
      </c>
      <c r="W716" s="1">
        <v>7506.9</v>
      </c>
      <c r="X716" s="1">
        <v>1.28</v>
      </c>
      <c r="Y716" s="1">
        <v>213</v>
      </c>
      <c r="Z716" s="1">
        <v>122196</v>
      </c>
      <c r="AA716" s="1">
        <v>3.78</v>
      </c>
      <c r="AB716" s="1">
        <v>4000</v>
      </c>
    </row>
    <row r="717" spans="1:28" x14ac:dyDescent="0.4">
      <c r="A717" s="1" t="s">
        <v>402</v>
      </c>
      <c r="B717" s="1">
        <v>4000</v>
      </c>
      <c r="C717" s="1">
        <v>0.2</v>
      </c>
      <c r="D717" s="1">
        <v>0.5</v>
      </c>
      <c r="E717" s="1">
        <v>500</v>
      </c>
      <c r="F717" s="1">
        <v>3</v>
      </c>
      <c r="G717" s="1">
        <v>1</v>
      </c>
      <c r="H717" s="1" t="s">
        <v>595</v>
      </c>
      <c r="I717" s="1">
        <v>178021</v>
      </c>
      <c r="J717" s="1">
        <v>68456.800000000003</v>
      </c>
      <c r="K717" s="1">
        <v>109564.2</v>
      </c>
      <c r="L717" s="1">
        <v>1200</v>
      </c>
      <c r="M717" s="1">
        <v>1.44</v>
      </c>
      <c r="N717" s="1">
        <v>59402.5</v>
      </c>
      <c r="O717" s="1">
        <v>97060.800000000003</v>
      </c>
      <c r="P717" s="1">
        <v>156463.29999999999</v>
      </c>
      <c r="Q717" s="1">
        <v>9683.7999999999993</v>
      </c>
      <c r="R717" s="1">
        <v>2880.2</v>
      </c>
      <c r="S717" s="1">
        <v>12564</v>
      </c>
      <c r="T717" s="1">
        <v>5.05</v>
      </c>
      <c r="U717" s="1">
        <v>0.01</v>
      </c>
      <c r="V717" s="1">
        <v>2602.1</v>
      </c>
      <c r="W717" s="1">
        <v>12285.9</v>
      </c>
      <c r="X717" s="1">
        <v>1.45</v>
      </c>
      <c r="Y717" s="1">
        <v>336</v>
      </c>
      <c r="Z717" s="1">
        <v>168749.2</v>
      </c>
      <c r="AA717" s="1">
        <v>5.21</v>
      </c>
      <c r="AB717" s="1">
        <v>4000</v>
      </c>
    </row>
    <row r="718" spans="1:28" x14ac:dyDescent="0.4">
      <c r="A718" s="1" t="s">
        <v>403</v>
      </c>
      <c r="B718" s="1">
        <v>4000</v>
      </c>
      <c r="C718" s="1">
        <v>0.2</v>
      </c>
      <c r="D718" s="1">
        <v>0.5</v>
      </c>
      <c r="E718" s="1">
        <v>500</v>
      </c>
      <c r="F718" s="1">
        <v>3</v>
      </c>
      <c r="G718" s="1">
        <v>2</v>
      </c>
      <c r="H718" s="1" t="s">
        <v>595</v>
      </c>
      <c r="I718" s="1">
        <v>165633.4</v>
      </c>
      <c r="J718" s="1">
        <v>62948.800000000003</v>
      </c>
      <c r="K718" s="1">
        <v>102684.6</v>
      </c>
      <c r="L718" s="1">
        <v>1200</v>
      </c>
      <c r="M718" s="1">
        <v>1.32</v>
      </c>
      <c r="N718" s="1">
        <v>55479.4</v>
      </c>
      <c r="O718" s="1">
        <v>93455.6</v>
      </c>
      <c r="P718" s="1">
        <v>148935</v>
      </c>
      <c r="Q718" s="1">
        <v>7615.1</v>
      </c>
      <c r="R718" s="1">
        <v>2063.1</v>
      </c>
      <c r="S718" s="1">
        <v>9678.2000000000007</v>
      </c>
      <c r="T718" s="1">
        <v>4.24</v>
      </c>
      <c r="U718" s="1">
        <v>0.01</v>
      </c>
      <c r="V718" s="1">
        <v>1782.3</v>
      </c>
      <c r="W718" s="1">
        <v>9397.4</v>
      </c>
      <c r="X718" s="1">
        <v>1.33</v>
      </c>
      <c r="Y718" s="1">
        <v>259</v>
      </c>
      <c r="Z718" s="1">
        <v>158332.4</v>
      </c>
      <c r="AA718" s="1">
        <v>4.41</v>
      </c>
      <c r="AB718" s="1">
        <v>4000</v>
      </c>
    </row>
    <row r="719" spans="1:28" x14ac:dyDescent="0.4">
      <c r="A719" s="1" t="s">
        <v>404</v>
      </c>
      <c r="B719" s="1">
        <v>4000</v>
      </c>
      <c r="C719" s="1">
        <v>0.2</v>
      </c>
      <c r="D719" s="1">
        <v>0.5</v>
      </c>
      <c r="E719" s="1">
        <v>500</v>
      </c>
      <c r="F719" s="1">
        <v>3</v>
      </c>
      <c r="G719" s="1">
        <v>3</v>
      </c>
      <c r="H719" s="1" t="s">
        <v>595</v>
      </c>
      <c r="I719" s="1">
        <v>174713</v>
      </c>
      <c r="J719" s="1">
        <v>65933.399999999994</v>
      </c>
      <c r="K719" s="1">
        <v>108779.6</v>
      </c>
      <c r="L719" s="1">
        <v>1200</v>
      </c>
      <c r="M719" s="1">
        <v>1.39</v>
      </c>
      <c r="N719" s="1">
        <v>60102.400000000001</v>
      </c>
      <c r="O719" s="1">
        <v>99749.7</v>
      </c>
      <c r="P719" s="1">
        <v>159852.1</v>
      </c>
      <c r="Q719" s="1">
        <v>7802.7</v>
      </c>
      <c r="R719" s="1">
        <v>2086.1999999999998</v>
      </c>
      <c r="S719" s="1">
        <v>9888.9</v>
      </c>
      <c r="T719" s="1">
        <v>2.85</v>
      </c>
      <c r="U719" s="1">
        <v>0.01</v>
      </c>
      <c r="V719" s="1">
        <v>1870.2</v>
      </c>
      <c r="W719" s="1">
        <v>9672.9</v>
      </c>
      <c r="X719" s="1">
        <v>1.39</v>
      </c>
      <c r="Y719" s="1">
        <v>281</v>
      </c>
      <c r="Z719" s="1">
        <v>169525</v>
      </c>
      <c r="AA719" s="1">
        <v>2.97</v>
      </c>
      <c r="AB719" s="1">
        <v>4000</v>
      </c>
    </row>
    <row r="720" spans="1:28" x14ac:dyDescent="0.4">
      <c r="A720" s="1" t="s">
        <v>405</v>
      </c>
      <c r="B720" s="1">
        <v>4000</v>
      </c>
      <c r="C720" s="1">
        <v>0.2</v>
      </c>
      <c r="D720" s="1">
        <v>0.5</v>
      </c>
      <c r="E720" s="1">
        <v>500</v>
      </c>
      <c r="F720" s="1">
        <v>3</v>
      </c>
      <c r="G720" s="1">
        <v>4</v>
      </c>
      <c r="H720" s="1" t="s">
        <v>595</v>
      </c>
      <c r="I720" s="1">
        <v>168294.1</v>
      </c>
      <c r="J720" s="1">
        <v>65620.5</v>
      </c>
      <c r="K720" s="1">
        <v>102673.60000000001</v>
      </c>
      <c r="L720" s="1">
        <v>1200</v>
      </c>
      <c r="M720" s="1">
        <v>1.22</v>
      </c>
      <c r="N720" s="1">
        <v>56794.1</v>
      </c>
      <c r="O720" s="1">
        <v>91445.5</v>
      </c>
      <c r="P720" s="1">
        <v>148239.6</v>
      </c>
      <c r="Q720" s="1">
        <v>11542.9</v>
      </c>
      <c r="R720" s="1">
        <v>3181.9</v>
      </c>
      <c r="S720" s="1">
        <v>14724.8</v>
      </c>
      <c r="T720" s="1">
        <v>3.17</v>
      </c>
      <c r="U720" s="1">
        <v>0.01</v>
      </c>
      <c r="V720" s="1">
        <v>2863.9</v>
      </c>
      <c r="W720" s="1">
        <v>14406.8</v>
      </c>
      <c r="X720" s="1">
        <v>1.23</v>
      </c>
      <c r="Y720" s="1">
        <v>398</v>
      </c>
      <c r="Z720" s="1">
        <v>162646.39999999999</v>
      </c>
      <c r="AA720" s="1">
        <v>3.36</v>
      </c>
      <c r="AB720" s="1">
        <v>4000</v>
      </c>
    </row>
    <row r="721" spans="1:28" x14ac:dyDescent="0.4">
      <c r="A721" s="1" t="s">
        <v>406</v>
      </c>
      <c r="B721" s="1">
        <v>4000</v>
      </c>
      <c r="C721" s="1">
        <v>0.2</v>
      </c>
      <c r="D721" s="1">
        <v>0.5</v>
      </c>
      <c r="E721" s="1">
        <v>500</v>
      </c>
      <c r="F721" s="1">
        <v>3</v>
      </c>
      <c r="G721" s="1">
        <v>5</v>
      </c>
      <c r="H721" s="1" t="s">
        <v>595</v>
      </c>
      <c r="I721" s="1">
        <v>172598.8</v>
      </c>
      <c r="J721" s="1">
        <v>67794.8</v>
      </c>
      <c r="K721" s="1">
        <v>104804</v>
      </c>
      <c r="L721" s="1">
        <v>1200</v>
      </c>
      <c r="M721" s="1">
        <v>1.3</v>
      </c>
      <c r="N721" s="1">
        <v>56062.1</v>
      </c>
      <c r="O721" s="1">
        <v>88152.3</v>
      </c>
      <c r="P721" s="1">
        <v>144214.39999999999</v>
      </c>
      <c r="Q721" s="1">
        <v>16890</v>
      </c>
      <c r="R721" s="1">
        <v>4051.1</v>
      </c>
      <c r="S721" s="1">
        <v>20941.099999999999</v>
      </c>
      <c r="T721" s="1">
        <v>4.3099999999999996</v>
      </c>
      <c r="U721" s="1">
        <v>0.02</v>
      </c>
      <c r="V721" s="1">
        <v>3660.6</v>
      </c>
      <c r="W721" s="1">
        <v>20550.599999999999</v>
      </c>
      <c r="X721" s="1">
        <v>1.32</v>
      </c>
      <c r="Y721" s="1">
        <v>617</v>
      </c>
      <c r="Z721" s="1">
        <v>164765</v>
      </c>
      <c r="AA721" s="1">
        <v>4.54</v>
      </c>
      <c r="AB721" s="1">
        <v>4000</v>
      </c>
    </row>
    <row r="722" spans="1:28" x14ac:dyDescent="0.4">
      <c r="A722" s="1" t="s">
        <v>75</v>
      </c>
      <c r="B722" s="1">
        <v>4000</v>
      </c>
      <c r="C722" s="1">
        <v>0.3</v>
      </c>
      <c r="D722" s="1">
        <v>0.5</v>
      </c>
      <c r="E722" s="1">
        <v>1000</v>
      </c>
      <c r="F722" s="1">
        <v>1</v>
      </c>
      <c r="G722" s="1">
        <v>1</v>
      </c>
      <c r="H722" s="1" t="s">
        <v>595</v>
      </c>
      <c r="I722" s="1">
        <v>175093.6</v>
      </c>
      <c r="J722" s="1">
        <v>68226.600000000006</v>
      </c>
      <c r="K722" s="1">
        <v>106867</v>
      </c>
      <c r="L722" s="1">
        <v>1200</v>
      </c>
      <c r="M722" s="1">
        <v>0.82</v>
      </c>
      <c r="N722" s="1">
        <v>52041.5</v>
      </c>
      <c r="O722" s="1">
        <v>84869.8</v>
      </c>
      <c r="P722" s="1">
        <v>136911.29999999999</v>
      </c>
      <c r="Q722" s="1">
        <v>17673.099999999999</v>
      </c>
      <c r="R722" s="1">
        <v>6678</v>
      </c>
      <c r="S722" s="1">
        <v>24351.1</v>
      </c>
      <c r="T722" s="1">
        <v>7.9</v>
      </c>
      <c r="U722" s="1">
        <v>0.08</v>
      </c>
      <c r="V722" s="1">
        <v>6283.2</v>
      </c>
      <c r="W722" s="1">
        <v>23956.3</v>
      </c>
      <c r="X722" s="1">
        <v>0.9</v>
      </c>
      <c r="Y722" s="1">
        <v>623</v>
      </c>
      <c r="Z722" s="1">
        <v>160867.6</v>
      </c>
      <c r="AA722" s="1">
        <v>8.1199999999999992</v>
      </c>
      <c r="AB722" s="1">
        <v>4000</v>
      </c>
    </row>
    <row r="723" spans="1:28" x14ac:dyDescent="0.4">
      <c r="A723" s="1" t="s">
        <v>76</v>
      </c>
      <c r="B723" s="1">
        <v>4000</v>
      </c>
      <c r="C723" s="1">
        <v>0.3</v>
      </c>
      <c r="D723" s="1">
        <v>0.5</v>
      </c>
      <c r="E723" s="1">
        <v>1000</v>
      </c>
      <c r="F723" s="1">
        <v>1</v>
      </c>
      <c r="G723" s="1">
        <v>2</v>
      </c>
      <c r="H723" s="1" t="s">
        <v>595</v>
      </c>
      <c r="I723" s="1">
        <v>175656.9</v>
      </c>
      <c r="J723" s="1">
        <v>73099.600000000006</v>
      </c>
      <c r="K723" s="1">
        <v>102557.3</v>
      </c>
      <c r="L723" s="1">
        <v>1200</v>
      </c>
      <c r="M723" s="1">
        <v>0.86</v>
      </c>
      <c r="N723" s="1">
        <v>55960</v>
      </c>
      <c r="O723" s="1">
        <v>81115.199999999997</v>
      </c>
      <c r="P723" s="1">
        <v>137075.20000000001</v>
      </c>
      <c r="Q723" s="1">
        <v>17654.599999999999</v>
      </c>
      <c r="R723" s="1">
        <v>6542.1</v>
      </c>
      <c r="S723" s="1">
        <v>24196.7</v>
      </c>
      <c r="T723" s="1">
        <v>8.19</v>
      </c>
      <c r="U723" s="1">
        <v>7.0000000000000007E-2</v>
      </c>
      <c r="V723" s="1">
        <v>6223.6</v>
      </c>
      <c r="W723" s="1">
        <v>23878.2</v>
      </c>
      <c r="X723" s="1">
        <v>0.93</v>
      </c>
      <c r="Y723" s="1">
        <v>599</v>
      </c>
      <c r="Z723" s="1">
        <v>160953.4</v>
      </c>
      <c r="AA723" s="1">
        <v>8.3699999999999992</v>
      </c>
      <c r="AB723" s="1">
        <v>4000</v>
      </c>
    </row>
    <row r="724" spans="1:28" x14ac:dyDescent="0.4">
      <c r="A724" s="1" t="s">
        <v>77</v>
      </c>
      <c r="B724" s="1">
        <v>4000</v>
      </c>
      <c r="C724" s="1">
        <v>0.3</v>
      </c>
      <c r="D724" s="1">
        <v>0.5</v>
      </c>
      <c r="E724" s="1">
        <v>1000</v>
      </c>
      <c r="F724" s="1">
        <v>1</v>
      </c>
      <c r="G724" s="1">
        <v>3</v>
      </c>
      <c r="H724" s="1" t="s">
        <v>595</v>
      </c>
      <c r="I724" s="1">
        <v>169951.8</v>
      </c>
      <c r="J724" s="1">
        <v>69742.100000000006</v>
      </c>
      <c r="K724" s="1">
        <v>100209.7</v>
      </c>
      <c r="L724" s="1">
        <v>1200</v>
      </c>
      <c r="M724" s="1">
        <v>0.86</v>
      </c>
      <c r="N724" s="1">
        <v>51386.9</v>
      </c>
      <c r="O724" s="1">
        <v>77263.100000000006</v>
      </c>
      <c r="P724" s="1">
        <v>128650</v>
      </c>
      <c r="Q724" s="1">
        <v>21123.4</v>
      </c>
      <c r="R724" s="1">
        <v>7104.4</v>
      </c>
      <c r="S724" s="1">
        <v>28227.8</v>
      </c>
      <c r="T724" s="1">
        <v>7.69</v>
      </c>
      <c r="U724" s="1">
        <v>7.0000000000000007E-2</v>
      </c>
      <c r="V724" s="1">
        <v>6703.6</v>
      </c>
      <c r="W724" s="1">
        <v>27827</v>
      </c>
      <c r="X724" s="1">
        <v>0.93</v>
      </c>
      <c r="Y724" s="1">
        <v>719</v>
      </c>
      <c r="Z724" s="1">
        <v>156477</v>
      </c>
      <c r="AA724" s="1">
        <v>7.93</v>
      </c>
      <c r="AB724" s="1">
        <v>4000</v>
      </c>
    </row>
    <row r="725" spans="1:28" x14ac:dyDescent="0.4">
      <c r="A725" s="1" t="s">
        <v>78</v>
      </c>
      <c r="B725" s="1">
        <v>4000</v>
      </c>
      <c r="C725" s="1">
        <v>0.3</v>
      </c>
      <c r="D725" s="1">
        <v>0.5</v>
      </c>
      <c r="E725" s="1">
        <v>1000</v>
      </c>
      <c r="F725" s="1">
        <v>1</v>
      </c>
      <c r="G725" s="1">
        <v>4</v>
      </c>
      <c r="H725" s="1" t="s">
        <v>595</v>
      </c>
      <c r="I725" s="1">
        <v>171916.6</v>
      </c>
      <c r="J725" s="1">
        <v>69635.3</v>
      </c>
      <c r="K725" s="1">
        <v>102281.3</v>
      </c>
      <c r="L725" s="1">
        <v>1200</v>
      </c>
      <c r="M725" s="1">
        <v>0.87</v>
      </c>
      <c r="N725" s="1">
        <v>52807.8</v>
      </c>
      <c r="O725" s="1">
        <v>80051.8</v>
      </c>
      <c r="P725" s="1">
        <v>132859.6</v>
      </c>
      <c r="Q725" s="1">
        <v>17207.2</v>
      </c>
      <c r="R725" s="1">
        <v>6463.3</v>
      </c>
      <c r="S725" s="1">
        <v>23670.5</v>
      </c>
      <c r="T725" s="1">
        <v>8.9499999999999993</v>
      </c>
      <c r="U725" s="1">
        <v>0.06</v>
      </c>
      <c r="V725" s="1">
        <v>5998.5</v>
      </c>
      <c r="W725" s="1">
        <v>23205.7</v>
      </c>
      <c r="X725" s="1">
        <v>0.93</v>
      </c>
      <c r="Y725" s="1">
        <v>589</v>
      </c>
      <c r="Z725" s="1">
        <v>156065.29999999999</v>
      </c>
      <c r="AA725" s="1">
        <v>9.2200000000000006</v>
      </c>
      <c r="AB725" s="1">
        <v>4000</v>
      </c>
    </row>
    <row r="726" spans="1:28" x14ac:dyDescent="0.4">
      <c r="A726" s="1" t="s">
        <v>79</v>
      </c>
      <c r="B726" s="1">
        <v>4000</v>
      </c>
      <c r="C726" s="1">
        <v>0.3</v>
      </c>
      <c r="D726" s="1">
        <v>0.5</v>
      </c>
      <c r="E726" s="1">
        <v>1000</v>
      </c>
      <c r="F726" s="1">
        <v>1</v>
      </c>
      <c r="G726" s="1">
        <v>5</v>
      </c>
      <c r="H726" s="1" t="s">
        <v>595</v>
      </c>
      <c r="I726" s="1">
        <v>176761.2</v>
      </c>
      <c r="J726" s="1">
        <v>70693.100000000006</v>
      </c>
      <c r="K726" s="1">
        <v>106068.1</v>
      </c>
      <c r="L726" s="1">
        <v>1200</v>
      </c>
      <c r="M726" s="1">
        <v>0.82</v>
      </c>
      <c r="N726" s="1">
        <v>54729.599999999999</v>
      </c>
      <c r="O726" s="1">
        <v>84922.1</v>
      </c>
      <c r="P726" s="1">
        <v>139651.70000000001</v>
      </c>
      <c r="Q726" s="1">
        <v>17333.8</v>
      </c>
      <c r="R726" s="1">
        <v>6392.5</v>
      </c>
      <c r="S726" s="1">
        <v>23726.3</v>
      </c>
      <c r="T726" s="1">
        <v>7.57</v>
      </c>
      <c r="U726" s="1">
        <v>0.06</v>
      </c>
      <c r="V726" s="1">
        <v>6125.8</v>
      </c>
      <c r="W726" s="1">
        <v>23459.599999999999</v>
      </c>
      <c r="X726" s="1">
        <v>0.88</v>
      </c>
      <c r="Y726" s="1">
        <v>593</v>
      </c>
      <c r="Z726" s="1">
        <v>163111.29999999999</v>
      </c>
      <c r="AA726" s="1">
        <v>7.72</v>
      </c>
      <c r="AB726" s="1">
        <v>4000</v>
      </c>
    </row>
    <row r="727" spans="1:28" x14ac:dyDescent="0.4">
      <c r="A727" s="1" t="s">
        <v>80</v>
      </c>
      <c r="B727" s="1">
        <v>4000</v>
      </c>
      <c r="C727" s="1">
        <v>0.3</v>
      </c>
      <c r="D727" s="1">
        <v>0.5</v>
      </c>
      <c r="E727" s="1">
        <v>1000</v>
      </c>
      <c r="F727" s="1">
        <v>2</v>
      </c>
      <c r="G727" s="1">
        <v>1</v>
      </c>
      <c r="H727" s="1" t="s">
        <v>595</v>
      </c>
      <c r="I727" s="1">
        <v>267278.59999999998</v>
      </c>
      <c r="J727" s="1">
        <v>104903.3</v>
      </c>
      <c r="K727" s="1">
        <v>162375.29999999999</v>
      </c>
      <c r="L727" s="1">
        <v>1200</v>
      </c>
      <c r="M727" s="1">
        <v>1.18</v>
      </c>
      <c r="N727" s="1">
        <v>78953.7</v>
      </c>
      <c r="O727" s="1">
        <v>126642.8</v>
      </c>
      <c r="P727" s="1">
        <v>205596.5</v>
      </c>
      <c r="Q727" s="1">
        <v>29780.5</v>
      </c>
      <c r="R727" s="1">
        <v>10531.9</v>
      </c>
      <c r="S727" s="1">
        <v>40312.400000000001</v>
      </c>
      <c r="T727" s="1">
        <v>8</v>
      </c>
      <c r="U727" s="1">
        <v>0.18</v>
      </c>
      <c r="V727" s="1">
        <v>9723.7000000000007</v>
      </c>
      <c r="W727" s="1">
        <v>39504.199999999997</v>
      </c>
      <c r="X727" s="1">
        <v>1.35</v>
      </c>
      <c r="Y727" s="1">
        <v>1078</v>
      </c>
      <c r="Z727" s="1">
        <v>245100.7</v>
      </c>
      <c r="AA727" s="1">
        <v>8.3000000000000007</v>
      </c>
      <c r="AB727" s="1">
        <v>4000</v>
      </c>
    </row>
    <row r="728" spans="1:28" x14ac:dyDescent="0.4">
      <c r="A728" s="1" t="s">
        <v>81</v>
      </c>
      <c r="B728" s="1">
        <v>4000</v>
      </c>
      <c r="C728" s="1">
        <v>0.3</v>
      </c>
      <c r="D728" s="1">
        <v>0.5</v>
      </c>
      <c r="E728" s="1">
        <v>1000</v>
      </c>
      <c r="F728" s="1">
        <v>2</v>
      </c>
      <c r="G728" s="1">
        <v>2</v>
      </c>
      <c r="H728" s="1" t="s">
        <v>595</v>
      </c>
      <c r="I728" s="1">
        <v>266574.40000000002</v>
      </c>
      <c r="J728" s="1">
        <v>109573.5</v>
      </c>
      <c r="K728" s="1">
        <v>157000.9</v>
      </c>
      <c r="L728" s="1">
        <v>1200</v>
      </c>
      <c r="M728" s="1">
        <v>1.1200000000000001</v>
      </c>
      <c r="N728" s="1">
        <v>82147.5</v>
      </c>
      <c r="O728" s="1">
        <v>121511.1</v>
      </c>
      <c r="P728" s="1">
        <v>203658.6</v>
      </c>
      <c r="Q728" s="1">
        <v>27721.8</v>
      </c>
      <c r="R728" s="1">
        <v>10702.3</v>
      </c>
      <c r="S728" s="1">
        <v>38424.1</v>
      </c>
      <c r="T728" s="1">
        <v>9.19</v>
      </c>
      <c r="U728" s="1">
        <v>0.19</v>
      </c>
      <c r="V728" s="1">
        <v>10098.6</v>
      </c>
      <c r="W728" s="1">
        <v>37820.400000000001</v>
      </c>
      <c r="X728" s="1">
        <v>1.31</v>
      </c>
      <c r="Y728" s="1">
        <v>984</v>
      </c>
      <c r="Z728" s="1">
        <v>241479</v>
      </c>
      <c r="AA728" s="1">
        <v>9.41</v>
      </c>
      <c r="AB728" s="1">
        <v>4000</v>
      </c>
    </row>
    <row r="729" spans="1:28" x14ac:dyDescent="0.4">
      <c r="A729" s="1" t="s">
        <v>82</v>
      </c>
      <c r="B729" s="1">
        <v>4000</v>
      </c>
      <c r="C729" s="1">
        <v>0.3</v>
      </c>
      <c r="D729" s="1">
        <v>0.5</v>
      </c>
      <c r="E729" s="1">
        <v>1000</v>
      </c>
      <c r="F729" s="1">
        <v>2</v>
      </c>
      <c r="G729" s="1">
        <v>3</v>
      </c>
      <c r="H729" s="1" t="s">
        <v>595</v>
      </c>
      <c r="I729" s="1">
        <v>270461.40000000002</v>
      </c>
      <c r="J729" s="1">
        <v>108640.8</v>
      </c>
      <c r="K729" s="1">
        <v>161820.6</v>
      </c>
      <c r="L729" s="1">
        <v>1200</v>
      </c>
      <c r="M729" s="1">
        <v>1.1599999999999999</v>
      </c>
      <c r="N729" s="1">
        <v>83098.5</v>
      </c>
      <c r="O729" s="1">
        <v>125841.5</v>
      </c>
      <c r="P729" s="1">
        <v>208940</v>
      </c>
      <c r="Q729" s="1">
        <v>26953.4</v>
      </c>
      <c r="R729" s="1">
        <v>10384.5</v>
      </c>
      <c r="S729" s="1">
        <v>37337.9</v>
      </c>
      <c r="T729" s="1">
        <v>8.94</v>
      </c>
      <c r="U729" s="1">
        <v>0.25</v>
      </c>
      <c r="V729" s="1">
        <v>9756.2999999999993</v>
      </c>
      <c r="W729" s="1">
        <v>36709.699999999997</v>
      </c>
      <c r="X729" s="1">
        <v>1.41</v>
      </c>
      <c r="Y729" s="1">
        <v>976</v>
      </c>
      <c r="Z729" s="1">
        <v>245649.7</v>
      </c>
      <c r="AA729" s="1">
        <v>9.17</v>
      </c>
      <c r="AB729" s="1">
        <v>4000</v>
      </c>
    </row>
    <row r="730" spans="1:28" x14ac:dyDescent="0.4">
      <c r="A730" s="1" t="s">
        <v>83</v>
      </c>
      <c r="B730" s="1">
        <v>4000</v>
      </c>
      <c r="C730" s="1">
        <v>0.3</v>
      </c>
      <c r="D730" s="1">
        <v>0.5</v>
      </c>
      <c r="E730" s="1">
        <v>1000</v>
      </c>
      <c r="F730" s="1">
        <v>2</v>
      </c>
      <c r="G730" s="1">
        <v>4</v>
      </c>
      <c r="H730" s="1" t="s">
        <v>595</v>
      </c>
      <c r="I730" s="1">
        <v>276520.5</v>
      </c>
      <c r="J730" s="1">
        <v>108151.8</v>
      </c>
      <c r="K730" s="1">
        <v>168368.7</v>
      </c>
      <c r="L730" s="1">
        <v>1200</v>
      </c>
      <c r="M730" s="1">
        <v>1.17</v>
      </c>
      <c r="N730" s="1">
        <v>83828.3</v>
      </c>
      <c r="O730" s="1">
        <v>135073.79999999999</v>
      </c>
      <c r="P730" s="1">
        <v>218902.1</v>
      </c>
      <c r="Q730" s="1">
        <v>24850.6</v>
      </c>
      <c r="R730" s="1">
        <v>9598.5</v>
      </c>
      <c r="S730" s="1">
        <v>34449.1</v>
      </c>
      <c r="T730" s="1">
        <v>8.3800000000000008</v>
      </c>
      <c r="U730" s="1">
        <v>0.21</v>
      </c>
      <c r="V730" s="1">
        <v>9256.9</v>
      </c>
      <c r="W730" s="1">
        <v>34107.5</v>
      </c>
      <c r="X730" s="1">
        <v>1.38</v>
      </c>
      <c r="Y730" s="1">
        <v>887</v>
      </c>
      <c r="Z730" s="1">
        <v>253009.6</v>
      </c>
      <c r="AA730" s="1">
        <v>8.5</v>
      </c>
      <c r="AB730" s="1">
        <v>4000</v>
      </c>
    </row>
    <row r="731" spans="1:28" x14ac:dyDescent="0.4">
      <c r="A731" s="1" t="s">
        <v>84</v>
      </c>
      <c r="B731" s="1">
        <v>4000</v>
      </c>
      <c r="C731" s="1">
        <v>0.3</v>
      </c>
      <c r="D731" s="1">
        <v>0.5</v>
      </c>
      <c r="E731" s="1">
        <v>1000</v>
      </c>
      <c r="F731" s="1">
        <v>2</v>
      </c>
      <c r="G731" s="1">
        <v>5</v>
      </c>
      <c r="H731" s="1" t="s">
        <v>595</v>
      </c>
      <c r="I731" s="1">
        <v>269398.09999999998</v>
      </c>
      <c r="J731" s="1">
        <v>105268.2</v>
      </c>
      <c r="K731" s="1">
        <v>164129.9</v>
      </c>
      <c r="L731" s="1">
        <v>1200</v>
      </c>
      <c r="M731" s="1">
        <v>1.28</v>
      </c>
      <c r="N731" s="1">
        <v>80850.100000000006</v>
      </c>
      <c r="O731" s="1">
        <v>128950.6</v>
      </c>
      <c r="P731" s="1">
        <v>209800.7</v>
      </c>
      <c r="Q731" s="1">
        <v>25277.1</v>
      </c>
      <c r="R731" s="1">
        <v>9389.9</v>
      </c>
      <c r="S731" s="1">
        <v>34667</v>
      </c>
      <c r="T731" s="1">
        <v>9.25</v>
      </c>
      <c r="U731" s="1">
        <v>0.2</v>
      </c>
      <c r="V731" s="1">
        <v>8524</v>
      </c>
      <c r="W731" s="1">
        <v>33801.1</v>
      </c>
      <c r="X731" s="1">
        <v>1.48</v>
      </c>
      <c r="Y731" s="1">
        <v>901</v>
      </c>
      <c r="Z731" s="1">
        <v>243601.8</v>
      </c>
      <c r="AA731" s="1">
        <v>9.58</v>
      </c>
      <c r="AB731" s="1">
        <v>4000</v>
      </c>
    </row>
    <row r="732" spans="1:28" x14ac:dyDescent="0.4">
      <c r="A732" s="1" t="s">
        <v>85</v>
      </c>
      <c r="B732" s="1">
        <v>4000</v>
      </c>
      <c r="C732" s="1">
        <v>0.3</v>
      </c>
      <c r="D732" s="1">
        <v>0.5</v>
      </c>
      <c r="E732" s="1">
        <v>1000</v>
      </c>
      <c r="F732" s="1">
        <v>3</v>
      </c>
      <c r="G732" s="1">
        <v>1</v>
      </c>
      <c r="H732" s="1" t="s">
        <v>595</v>
      </c>
      <c r="I732" s="1">
        <v>356848.3</v>
      </c>
      <c r="J732" s="1">
        <v>144262.29999999999</v>
      </c>
      <c r="K732" s="1">
        <v>212586</v>
      </c>
      <c r="L732" s="1">
        <v>1200</v>
      </c>
      <c r="M732" s="1">
        <v>1.86</v>
      </c>
      <c r="N732" s="1">
        <v>110103</v>
      </c>
      <c r="O732" s="1">
        <v>166503.70000000001</v>
      </c>
      <c r="P732" s="1">
        <v>276606.7</v>
      </c>
      <c r="Q732" s="1">
        <v>29578.6</v>
      </c>
      <c r="R732" s="1">
        <v>11556</v>
      </c>
      <c r="S732" s="1">
        <v>41134.6</v>
      </c>
      <c r="T732" s="1">
        <v>10.96</v>
      </c>
      <c r="U732" s="1">
        <v>0.32</v>
      </c>
      <c r="V732" s="1">
        <v>10829.5</v>
      </c>
      <c r="W732" s="1">
        <v>40408.1</v>
      </c>
      <c r="X732" s="1">
        <v>2.1800000000000002</v>
      </c>
      <c r="Y732" s="1">
        <v>1094</v>
      </c>
      <c r="Z732" s="1">
        <v>317014.8</v>
      </c>
      <c r="AA732" s="1">
        <v>11.16</v>
      </c>
      <c r="AB732" s="1">
        <v>4000</v>
      </c>
    </row>
    <row r="733" spans="1:28" x14ac:dyDescent="0.4">
      <c r="A733" s="1" t="s">
        <v>86</v>
      </c>
      <c r="B733" s="1">
        <v>4000</v>
      </c>
      <c r="C733" s="1">
        <v>0.3</v>
      </c>
      <c r="D733" s="1">
        <v>0.5</v>
      </c>
      <c r="E733" s="1">
        <v>1000</v>
      </c>
      <c r="F733" s="1">
        <v>3</v>
      </c>
      <c r="G733" s="1">
        <v>2</v>
      </c>
      <c r="H733" s="1" t="s">
        <v>595</v>
      </c>
      <c r="I733" s="1">
        <v>328960.90000000002</v>
      </c>
      <c r="J733" s="1">
        <v>126352.7</v>
      </c>
      <c r="K733" s="1">
        <v>202608.2</v>
      </c>
      <c r="L733" s="1">
        <v>1200</v>
      </c>
      <c r="M733" s="1">
        <v>1.72</v>
      </c>
      <c r="N733" s="1">
        <v>102688.5</v>
      </c>
      <c r="O733" s="1">
        <v>165754.20000000001</v>
      </c>
      <c r="P733" s="1">
        <v>268442.7</v>
      </c>
      <c r="Q733" s="1">
        <v>22278.400000000001</v>
      </c>
      <c r="R733" s="1">
        <v>9280.6</v>
      </c>
      <c r="S733" s="1">
        <v>31559</v>
      </c>
      <c r="T733" s="1">
        <v>8.8000000000000007</v>
      </c>
      <c r="U733" s="1">
        <v>0.17</v>
      </c>
      <c r="V733" s="1">
        <v>8714.2000000000007</v>
      </c>
      <c r="W733" s="1">
        <v>30992.6</v>
      </c>
      <c r="X733" s="1">
        <v>1.89</v>
      </c>
      <c r="Y733" s="1">
        <v>792</v>
      </c>
      <c r="Z733" s="1">
        <v>299435.3</v>
      </c>
      <c r="AA733" s="1">
        <v>8.98</v>
      </c>
      <c r="AB733" s="1">
        <v>4000</v>
      </c>
    </row>
    <row r="734" spans="1:28" x14ac:dyDescent="0.4">
      <c r="A734" s="1" t="s">
        <v>87</v>
      </c>
      <c r="B734" s="1">
        <v>4000</v>
      </c>
      <c r="C734" s="1">
        <v>0.3</v>
      </c>
      <c r="D734" s="1">
        <v>0.5</v>
      </c>
      <c r="E734" s="1">
        <v>1000</v>
      </c>
      <c r="F734" s="1">
        <v>3</v>
      </c>
      <c r="G734" s="1">
        <v>3</v>
      </c>
      <c r="H734" s="1" t="s">
        <v>595</v>
      </c>
      <c r="I734" s="1">
        <v>355550</v>
      </c>
      <c r="J734" s="1">
        <v>132273.1</v>
      </c>
      <c r="K734" s="1">
        <v>223276.9</v>
      </c>
      <c r="L734" s="1">
        <v>1200</v>
      </c>
      <c r="M734" s="1">
        <v>1.89</v>
      </c>
      <c r="N734" s="1">
        <v>101473.5</v>
      </c>
      <c r="O734" s="1">
        <v>174793.7</v>
      </c>
      <c r="P734" s="1">
        <v>276267.2</v>
      </c>
      <c r="Q734" s="1">
        <v>31696.9</v>
      </c>
      <c r="R734" s="1">
        <v>11476.5</v>
      </c>
      <c r="S734" s="1">
        <v>43173.4</v>
      </c>
      <c r="T734" s="1">
        <v>10.16</v>
      </c>
      <c r="U734" s="1">
        <v>0.3</v>
      </c>
      <c r="V734" s="1">
        <v>10851</v>
      </c>
      <c r="W734" s="1">
        <v>42547.9</v>
      </c>
      <c r="X734" s="1">
        <v>2.1800000000000002</v>
      </c>
      <c r="Y734" s="1">
        <v>1156</v>
      </c>
      <c r="Z734" s="1">
        <v>318815.09999999998</v>
      </c>
      <c r="AA734" s="1">
        <v>10.33</v>
      </c>
      <c r="AB734" s="1">
        <v>4000</v>
      </c>
    </row>
    <row r="735" spans="1:28" x14ac:dyDescent="0.4">
      <c r="A735" s="1" t="s">
        <v>88</v>
      </c>
      <c r="B735" s="1">
        <v>4000</v>
      </c>
      <c r="C735" s="1">
        <v>0.3</v>
      </c>
      <c r="D735" s="1">
        <v>0.5</v>
      </c>
      <c r="E735" s="1">
        <v>1000</v>
      </c>
      <c r="F735" s="1">
        <v>3</v>
      </c>
      <c r="G735" s="1">
        <v>4</v>
      </c>
      <c r="H735" s="1" t="s">
        <v>595</v>
      </c>
      <c r="I735" s="1">
        <v>350010.5</v>
      </c>
      <c r="J735" s="1">
        <v>134680.70000000001</v>
      </c>
      <c r="K735" s="1">
        <v>215329.8</v>
      </c>
      <c r="L735" s="1">
        <v>1200</v>
      </c>
      <c r="M735" s="1">
        <v>1.7</v>
      </c>
      <c r="N735" s="1">
        <v>103772.9</v>
      </c>
      <c r="O735" s="1">
        <v>167881.9</v>
      </c>
      <c r="P735" s="1">
        <v>271654.8</v>
      </c>
      <c r="Q735" s="1">
        <v>30897.7</v>
      </c>
      <c r="R735" s="1">
        <v>11981.2</v>
      </c>
      <c r="S735" s="1">
        <v>42878.9</v>
      </c>
      <c r="T735" s="1">
        <v>10.14</v>
      </c>
      <c r="U735" s="1">
        <v>0.32</v>
      </c>
      <c r="V735" s="1">
        <v>11356.2</v>
      </c>
      <c r="W735" s="1">
        <v>42253.9</v>
      </c>
      <c r="X735" s="1">
        <v>2.0099999999999998</v>
      </c>
      <c r="Y735" s="1">
        <v>1100</v>
      </c>
      <c r="Z735" s="1">
        <v>313908.7</v>
      </c>
      <c r="AA735" s="1">
        <v>10.31</v>
      </c>
      <c r="AB735" s="1">
        <v>4000</v>
      </c>
    </row>
    <row r="736" spans="1:28" x14ac:dyDescent="0.4">
      <c r="A736" s="1" t="s">
        <v>89</v>
      </c>
      <c r="B736" s="1">
        <v>4000</v>
      </c>
      <c r="C736" s="1">
        <v>0.3</v>
      </c>
      <c r="D736" s="1">
        <v>0.5</v>
      </c>
      <c r="E736" s="1">
        <v>1000</v>
      </c>
      <c r="F736" s="1">
        <v>3</v>
      </c>
      <c r="G736" s="1">
        <v>5</v>
      </c>
      <c r="H736" s="1" t="s">
        <v>595</v>
      </c>
      <c r="I736" s="1">
        <v>358853.9</v>
      </c>
      <c r="J736" s="1">
        <v>135489.60000000001</v>
      </c>
      <c r="K736" s="1">
        <v>223364.3</v>
      </c>
      <c r="L736" s="1">
        <v>1200</v>
      </c>
      <c r="M736" s="1">
        <v>1.65</v>
      </c>
      <c r="N736" s="1">
        <v>105528.9</v>
      </c>
      <c r="O736" s="1">
        <v>177494.2</v>
      </c>
      <c r="P736" s="1">
        <v>283023.09999999998</v>
      </c>
      <c r="Q736" s="1">
        <v>27491.1</v>
      </c>
      <c r="R736" s="1">
        <v>11108.2</v>
      </c>
      <c r="S736" s="1">
        <v>38599.300000000003</v>
      </c>
      <c r="T736" s="1">
        <v>10.38</v>
      </c>
      <c r="U736" s="1">
        <v>0.28000000000000003</v>
      </c>
      <c r="V736" s="1">
        <v>10493.9</v>
      </c>
      <c r="W736" s="1">
        <v>37985</v>
      </c>
      <c r="X736" s="1">
        <v>1.94</v>
      </c>
      <c r="Y736" s="1">
        <v>983</v>
      </c>
      <c r="Z736" s="1">
        <v>321008.09999999998</v>
      </c>
      <c r="AA736" s="1">
        <v>10.55</v>
      </c>
      <c r="AB736" s="1">
        <v>4000</v>
      </c>
    </row>
    <row r="737" spans="1:28" x14ac:dyDescent="0.4">
      <c r="A737" s="1" t="s">
        <v>407</v>
      </c>
      <c r="B737" s="1">
        <v>4000</v>
      </c>
      <c r="C737" s="1">
        <v>0.3</v>
      </c>
      <c r="D737" s="1">
        <v>0.5</v>
      </c>
      <c r="E737" s="1">
        <v>2000</v>
      </c>
      <c r="F737" s="1">
        <v>1</v>
      </c>
      <c r="G737" s="1">
        <v>1</v>
      </c>
      <c r="H737" s="1" t="s">
        <v>595</v>
      </c>
      <c r="I737" s="1">
        <v>348568.8</v>
      </c>
      <c r="J737" s="1">
        <v>140450.6</v>
      </c>
      <c r="K737" s="1">
        <v>208118.2</v>
      </c>
      <c r="L737" s="1">
        <v>1200</v>
      </c>
      <c r="M737" s="1">
        <v>0.86</v>
      </c>
      <c r="N737" s="1">
        <v>101747</v>
      </c>
      <c r="O737" s="1">
        <v>155618.79999999999</v>
      </c>
      <c r="P737" s="1">
        <v>257365.8</v>
      </c>
      <c r="Q737" s="1">
        <v>32962.1</v>
      </c>
      <c r="R737" s="1">
        <v>12013</v>
      </c>
      <c r="S737" s="1">
        <v>44975.1</v>
      </c>
      <c r="T737" s="1">
        <v>13.26</v>
      </c>
      <c r="U737" s="1">
        <v>0.23</v>
      </c>
      <c r="V737" s="1">
        <v>11379.8</v>
      </c>
      <c r="W737" s="1">
        <v>44341.9</v>
      </c>
      <c r="X737" s="1">
        <v>1.0900000000000001</v>
      </c>
      <c r="Y737" s="1">
        <v>1177</v>
      </c>
      <c r="Z737" s="1">
        <v>301707.7</v>
      </c>
      <c r="AA737" s="1">
        <v>13.44</v>
      </c>
      <c r="AB737" s="1">
        <v>4000</v>
      </c>
    </row>
    <row r="738" spans="1:28" x14ac:dyDescent="0.4">
      <c r="A738" s="1" t="s">
        <v>408</v>
      </c>
      <c r="B738" s="1">
        <v>4000</v>
      </c>
      <c r="C738" s="1">
        <v>0.3</v>
      </c>
      <c r="D738" s="1">
        <v>0.5</v>
      </c>
      <c r="E738" s="1">
        <v>2000</v>
      </c>
      <c r="F738" s="1">
        <v>1</v>
      </c>
      <c r="G738" s="1">
        <v>2</v>
      </c>
      <c r="H738" s="1" t="s">
        <v>595</v>
      </c>
      <c r="I738" s="1">
        <v>356227.2</v>
      </c>
      <c r="J738" s="1">
        <v>144468.4</v>
      </c>
      <c r="K738" s="1">
        <v>211758.8</v>
      </c>
      <c r="L738" s="1">
        <v>1200</v>
      </c>
      <c r="M738" s="1">
        <v>0.94</v>
      </c>
      <c r="N738" s="1">
        <v>102536.5</v>
      </c>
      <c r="O738" s="1">
        <v>159353.29999999999</v>
      </c>
      <c r="P738" s="1">
        <v>261889.8</v>
      </c>
      <c r="Q738" s="1">
        <v>32557.599999999999</v>
      </c>
      <c r="R738" s="1">
        <v>11809.7</v>
      </c>
      <c r="S738" s="1">
        <v>44367.3</v>
      </c>
      <c r="T738" s="1">
        <v>14.03</v>
      </c>
      <c r="U738" s="1">
        <v>0.28000000000000003</v>
      </c>
      <c r="V738" s="1">
        <v>11251.7</v>
      </c>
      <c r="W738" s="1">
        <v>43809.3</v>
      </c>
      <c r="X738" s="1">
        <v>1.22</v>
      </c>
      <c r="Y738" s="1">
        <v>1186</v>
      </c>
      <c r="Z738" s="1">
        <v>305699.09999999998</v>
      </c>
      <c r="AA738" s="1">
        <v>14.18</v>
      </c>
      <c r="AB738" s="1">
        <v>4000</v>
      </c>
    </row>
    <row r="739" spans="1:28" x14ac:dyDescent="0.4">
      <c r="A739" s="1" t="s">
        <v>409</v>
      </c>
      <c r="B739" s="1">
        <v>4000</v>
      </c>
      <c r="C739" s="1">
        <v>0.3</v>
      </c>
      <c r="D739" s="1">
        <v>0.5</v>
      </c>
      <c r="E739" s="1">
        <v>2000</v>
      </c>
      <c r="F739" s="1">
        <v>1</v>
      </c>
      <c r="G739" s="1">
        <v>3</v>
      </c>
      <c r="H739" s="1" t="s">
        <v>595</v>
      </c>
      <c r="I739" s="1">
        <v>352439.3</v>
      </c>
      <c r="J739" s="1">
        <v>140867.20000000001</v>
      </c>
      <c r="K739" s="1">
        <v>211572.1</v>
      </c>
      <c r="L739" s="1">
        <v>1200</v>
      </c>
      <c r="M739" s="1">
        <v>0.91</v>
      </c>
      <c r="N739" s="1">
        <v>102829.6</v>
      </c>
      <c r="O739" s="1">
        <v>159238.9</v>
      </c>
      <c r="P739" s="1">
        <v>262068.5</v>
      </c>
      <c r="Q739" s="1">
        <v>29118.3</v>
      </c>
      <c r="R739" s="1">
        <v>10766.1</v>
      </c>
      <c r="S739" s="1">
        <v>39884.400000000001</v>
      </c>
      <c r="T739" s="1">
        <v>14.32</v>
      </c>
      <c r="U739" s="1">
        <v>0.23</v>
      </c>
      <c r="V739" s="1">
        <v>10384.799999999999</v>
      </c>
      <c r="W739" s="1">
        <v>39503.1</v>
      </c>
      <c r="X739" s="1">
        <v>1.1399999999999999</v>
      </c>
      <c r="Y739" s="1">
        <v>1078</v>
      </c>
      <c r="Z739" s="1">
        <v>301571.59999999998</v>
      </c>
      <c r="AA739" s="1">
        <v>14.43</v>
      </c>
      <c r="AB739" s="1">
        <v>4000</v>
      </c>
    </row>
    <row r="740" spans="1:28" x14ac:dyDescent="0.4">
      <c r="A740" s="1" t="s">
        <v>410</v>
      </c>
      <c r="B740" s="1">
        <v>4000</v>
      </c>
      <c r="C740" s="1">
        <v>0.3</v>
      </c>
      <c r="D740" s="1">
        <v>0.5</v>
      </c>
      <c r="E740" s="1">
        <v>2000</v>
      </c>
      <c r="F740" s="1">
        <v>1</v>
      </c>
      <c r="G740" s="1">
        <v>4</v>
      </c>
      <c r="H740" s="1" t="s">
        <v>595</v>
      </c>
      <c r="I740" s="1">
        <v>362583.2</v>
      </c>
      <c r="J740" s="1">
        <v>147633</v>
      </c>
      <c r="K740" s="1">
        <v>214950.2</v>
      </c>
      <c r="L740" s="1">
        <v>1200</v>
      </c>
      <c r="M740" s="1">
        <v>0.94</v>
      </c>
      <c r="N740" s="1">
        <v>104937.2</v>
      </c>
      <c r="O740" s="1">
        <v>159855.5</v>
      </c>
      <c r="P740" s="1">
        <v>264792.7</v>
      </c>
      <c r="Q740" s="1">
        <v>33437</v>
      </c>
      <c r="R740" s="1">
        <v>11389.5</v>
      </c>
      <c r="S740" s="1">
        <v>44826.5</v>
      </c>
      <c r="T740" s="1">
        <v>14.61</v>
      </c>
      <c r="U740" s="1">
        <v>0.25</v>
      </c>
      <c r="V740" s="1">
        <v>10815.7</v>
      </c>
      <c r="W740" s="1">
        <v>44252.7</v>
      </c>
      <c r="X740" s="1">
        <v>1.18</v>
      </c>
      <c r="Y740" s="1">
        <v>1199</v>
      </c>
      <c r="Z740" s="1">
        <v>309045.40000000002</v>
      </c>
      <c r="AA740" s="1">
        <v>14.77</v>
      </c>
      <c r="AB740" s="1">
        <v>4000</v>
      </c>
    </row>
    <row r="741" spans="1:28" x14ac:dyDescent="0.4">
      <c r="A741" s="1" t="s">
        <v>411</v>
      </c>
      <c r="B741" s="1">
        <v>4000</v>
      </c>
      <c r="C741" s="1">
        <v>0.3</v>
      </c>
      <c r="D741" s="1">
        <v>0.5</v>
      </c>
      <c r="E741" s="1">
        <v>2000</v>
      </c>
      <c r="F741" s="1">
        <v>1</v>
      </c>
      <c r="G741" s="1">
        <v>5</v>
      </c>
      <c r="H741" s="1" t="s">
        <v>595</v>
      </c>
      <c r="I741" s="1">
        <v>357055</v>
      </c>
      <c r="J741" s="1">
        <v>142400.4</v>
      </c>
      <c r="K741" s="1">
        <v>214654.6</v>
      </c>
      <c r="L741" s="1">
        <v>1200</v>
      </c>
      <c r="M741" s="1">
        <v>0.97</v>
      </c>
      <c r="N741" s="1">
        <v>105787.7</v>
      </c>
      <c r="O741" s="1">
        <v>168832.3</v>
      </c>
      <c r="P741" s="1">
        <v>274620</v>
      </c>
      <c r="Q741" s="1">
        <v>28418.2</v>
      </c>
      <c r="R741" s="1">
        <v>10421.4</v>
      </c>
      <c r="S741" s="1">
        <v>38839.599999999999</v>
      </c>
      <c r="T741" s="1">
        <v>12.21</v>
      </c>
      <c r="U741" s="1">
        <v>0.22</v>
      </c>
      <c r="V741" s="1">
        <v>9893.7999999999993</v>
      </c>
      <c r="W741" s="1">
        <v>38312</v>
      </c>
      <c r="X741" s="1">
        <v>1.18</v>
      </c>
      <c r="Y741" s="1">
        <v>1036</v>
      </c>
      <c r="Z741" s="1">
        <v>312932</v>
      </c>
      <c r="AA741" s="1">
        <v>12.36</v>
      </c>
      <c r="AB741" s="1">
        <v>4000</v>
      </c>
    </row>
    <row r="742" spans="1:28" x14ac:dyDescent="0.4">
      <c r="A742" s="1" t="s">
        <v>412</v>
      </c>
      <c r="B742" s="1">
        <v>4000</v>
      </c>
      <c r="C742" s="1">
        <v>0.3</v>
      </c>
      <c r="D742" s="1">
        <v>0.5</v>
      </c>
      <c r="E742" s="1">
        <v>2000</v>
      </c>
      <c r="F742" s="1">
        <v>2</v>
      </c>
      <c r="G742" s="1">
        <v>1</v>
      </c>
      <c r="H742" s="1" t="s">
        <v>595</v>
      </c>
      <c r="I742" s="1">
        <v>525680.9</v>
      </c>
      <c r="J742" s="1">
        <v>196095.8</v>
      </c>
      <c r="K742" s="1">
        <v>329585.09999999998</v>
      </c>
      <c r="L742" s="1">
        <v>1200</v>
      </c>
      <c r="M742" s="1">
        <v>1.79</v>
      </c>
      <c r="N742" s="1">
        <v>156058.70000000001</v>
      </c>
      <c r="O742" s="1">
        <v>264632</v>
      </c>
      <c r="P742" s="1">
        <v>420690.7</v>
      </c>
      <c r="Q742" s="1">
        <v>29830.3</v>
      </c>
      <c r="R742" s="1">
        <v>11666</v>
      </c>
      <c r="S742" s="1">
        <v>41496.300000000003</v>
      </c>
      <c r="T742" s="1">
        <v>12.08</v>
      </c>
      <c r="U742" s="1">
        <v>0.34</v>
      </c>
      <c r="V742" s="1">
        <v>10861.3</v>
      </c>
      <c r="W742" s="1">
        <v>40691.599999999999</v>
      </c>
      <c r="X742" s="1">
        <v>2.13</v>
      </c>
      <c r="Y742" s="1">
        <v>1088</v>
      </c>
      <c r="Z742" s="1">
        <v>461382.3</v>
      </c>
      <c r="AA742" s="1">
        <v>12.23</v>
      </c>
      <c r="AB742" s="1">
        <v>4000</v>
      </c>
    </row>
    <row r="743" spans="1:28" x14ac:dyDescent="0.4">
      <c r="A743" s="1" t="s">
        <v>413</v>
      </c>
      <c r="B743" s="1">
        <v>4000</v>
      </c>
      <c r="C743" s="1">
        <v>0.3</v>
      </c>
      <c r="D743" s="1">
        <v>0.5</v>
      </c>
      <c r="E743" s="1">
        <v>2000</v>
      </c>
      <c r="F743" s="1">
        <v>2</v>
      </c>
      <c r="G743" s="1">
        <v>2</v>
      </c>
      <c r="H743" s="1" t="s">
        <v>595</v>
      </c>
      <c r="I743" s="1">
        <v>542626.4</v>
      </c>
      <c r="J743" s="1">
        <v>209886.9</v>
      </c>
      <c r="K743" s="1">
        <v>332739.5</v>
      </c>
      <c r="L743" s="1">
        <v>1200</v>
      </c>
      <c r="M743" s="1">
        <v>2.11</v>
      </c>
      <c r="N743" s="1">
        <v>161250.1</v>
      </c>
      <c r="O743" s="1">
        <v>262857.40000000002</v>
      </c>
      <c r="P743" s="1">
        <v>424107.5</v>
      </c>
      <c r="Q743" s="1">
        <v>31833.4</v>
      </c>
      <c r="R743" s="1">
        <v>12048.3</v>
      </c>
      <c r="S743" s="1">
        <v>43881.7</v>
      </c>
      <c r="T743" s="1">
        <v>13.75</v>
      </c>
      <c r="U743" s="1">
        <v>0.39</v>
      </c>
      <c r="V743" s="1">
        <v>11554.4</v>
      </c>
      <c r="W743" s="1">
        <v>43387.8</v>
      </c>
      <c r="X743" s="1">
        <v>2.5</v>
      </c>
      <c r="Y743" s="1">
        <v>1178</v>
      </c>
      <c r="Z743" s="1">
        <v>467495.3</v>
      </c>
      <c r="AA743" s="1">
        <v>13.85</v>
      </c>
      <c r="AB743" s="1">
        <v>4000</v>
      </c>
    </row>
    <row r="744" spans="1:28" x14ac:dyDescent="0.4">
      <c r="A744" s="1" t="s">
        <v>414</v>
      </c>
      <c r="B744" s="1">
        <v>4000</v>
      </c>
      <c r="C744" s="1">
        <v>0.3</v>
      </c>
      <c r="D744" s="1">
        <v>0.5</v>
      </c>
      <c r="E744" s="1">
        <v>2000</v>
      </c>
      <c r="F744" s="1">
        <v>2</v>
      </c>
      <c r="G744" s="1">
        <v>3</v>
      </c>
      <c r="H744" s="1" t="s">
        <v>595</v>
      </c>
      <c r="I744" s="1">
        <v>535601.9</v>
      </c>
      <c r="J744" s="1">
        <v>206774.8</v>
      </c>
      <c r="K744" s="1">
        <v>328827.09999999998</v>
      </c>
      <c r="L744" s="1">
        <v>1200</v>
      </c>
      <c r="M744" s="1">
        <v>1.91</v>
      </c>
      <c r="N744" s="1">
        <v>163432.6</v>
      </c>
      <c r="O744" s="1">
        <v>265433.2</v>
      </c>
      <c r="P744" s="1">
        <v>428865.8</v>
      </c>
      <c r="Q744" s="1">
        <v>24526.5</v>
      </c>
      <c r="R744" s="1">
        <v>11486.5</v>
      </c>
      <c r="S744" s="1">
        <v>36013</v>
      </c>
      <c r="T744" s="1">
        <v>13.2</v>
      </c>
      <c r="U744" s="1">
        <v>0.32</v>
      </c>
      <c r="V744" s="1">
        <v>10707.8</v>
      </c>
      <c r="W744" s="1">
        <v>35234.300000000003</v>
      </c>
      <c r="X744" s="1">
        <v>2.23</v>
      </c>
      <c r="Y744" s="1">
        <v>896</v>
      </c>
      <c r="Z744" s="1">
        <v>464100.1</v>
      </c>
      <c r="AA744" s="1">
        <v>13.35</v>
      </c>
      <c r="AB744" s="1">
        <v>4000</v>
      </c>
    </row>
    <row r="745" spans="1:28" x14ac:dyDescent="0.4">
      <c r="A745" s="1" t="s">
        <v>415</v>
      </c>
      <c r="B745" s="1">
        <v>4000</v>
      </c>
      <c r="C745" s="1">
        <v>0.3</v>
      </c>
      <c r="D745" s="1">
        <v>0.5</v>
      </c>
      <c r="E745" s="1">
        <v>2000</v>
      </c>
      <c r="F745" s="1">
        <v>2</v>
      </c>
      <c r="G745" s="1">
        <v>4</v>
      </c>
      <c r="H745" s="1" t="s">
        <v>595</v>
      </c>
      <c r="I745" s="1">
        <v>546869.19999999995</v>
      </c>
      <c r="J745" s="1">
        <v>217164.2</v>
      </c>
      <c r="K745" s="1">
        <v>329705</v>
      </c>
      <c r="L745" s="1">
        <v>1200</v>
      </c>
      <c r="M745" s="1">
        <v>2.16</v>
      </c>
      <c r="N745" s="1">
        <v>165947.1</v>
      </c>
      <c r="O745" s="1">
        <v>258142.1</v>
      </c>
      <c r="P745" s="1">
        <v>424089.2</v>
      </c>
      <c r="Q745" s="1">
        <v>32305.599999999999</v>
      </c>
      <c r="R745" s="1">
        <v>13179.9</v>
      </c>
      <c r="S745" s="1">
        <v>45485.5</v>
      </c>
      <c r="T745" s="1">
        <v>14.13</v>
      </c>
      <c r="U745" s="1">
        <v>0.4</v>
      </c>
      <c r="V745" s="1">
        <v>12229.3</v>
      </c>
      <c r="W745" s="1">
        <v>44534.9</v>
      </c>
      <c r="X745" s="1">
        <v>2.5499999999999998</v>
      </c>
      <c r="Y745" s="1">
        <v>1176</v>
      </c>
      <c r="Z745" s="1">
        <v>468624.1</v>
      </c>
      <c r="AA745" s="1">
        <v>14.31</v>
      </c>
      <c r="AB745" s="1">
        <v>4000</v>
      </c>
    </row>
    <row r="746" spans="1:28" x14ac:dyDescent="0.4">
      <c r="A746" s="1" t="s">
        <v>416</v>
      </c>
      <c r="B746" s="1">
        <v>4000</v>
      </c>
      <c r="C746" s="1">
        <v>0.3</v>
      </c>
      <c r="D746" s="1">
        <v>0.5</v>
      </c>
      <c r="E746" s="1">
        <v>2000</v>
      </c>
      <c r="F746" s="1">
        <v>2</v>
      </c>
      <c r="G746" s="1">
        <v>5</v>
      </c>
      <c r="H746" s="1" t="s">
        <v>595</v>
      </c>
      <c r="I746" s="1">
        <v>529483.30000000005</v>
      </c>
      <c r="J746" s="1">
        <v>205231.3</v>
      </c>
      <c r="K746" s="1">
        <v>324252</v>
      </c>
      <c r="L746" s="1">
        <v>1200</v>
      </c>
      <c r="M746" s="1">
        <v>1.98</v>
      </c>
      <c r="N746" s="1">
        <v>159183.79999999999</v>
      </c>
      <c r="O746" s="1">
        <v>255237.6</v>
      </c>
      <c r="P746" s="1">
        <v>414421.4</v>
      </c>
      <c r="Q746" s="1">
        <v>31152.799999999999</v>
      </c>
      <c r="R746" s="1">
        <v>12283.6</v>
      </c>
      <c r="S746" s="1">
        <v>43436.4</v>
      </c>
      <c r="T746" s="1">
        <v>13.53</v>
      </c>
      <c r="U746" s="1">
        <v>0.34</v>
      </c>
      <c r="V746" s="1">
        <v>11379.4</v>
      </c>
      <c r="W746" s="1">
        <v>42532.2</v>
      </c>
      <c r="X746" s="1">
        <v>2.33</v>
      </c>
      <c r="Y746" s="1">
        <v>1137</v>
      </c>
      <c r="Z746" s="1">
        <v>456953.59999999998</v>
      </c>
      <c r="AA746" s="1">
        <v>13.7</v>
      </c>
      <c r="AB746" s="1">
        <v>4000</v>
      </c>
    </row>
    <row r="747" spans="1:28" x14ac:dyDescent="0.4">
      <c r="A747" s="1" t="s">
        <v>417</v>
      </c>
      <c r="B747" s="1">
        <v>4000</v>
      </c>
      <c r="C747" s="1">
        <v>0.3</v>
      </c>
      <c r="D747" s="1">
        <v>0.5</v>
      </c>
      <c r="E747" s="1">
        <v>2000</v>
      </c>
      <c r="F747" s="1">
        <v>3</v>
      </c>
      <c r="G747" s="1">
        <v>1</v>
      </c>
      <c r="H747" s="1" t="s">
        <v>595</v>
      </c>
      <c r="I747" s="1">
        <v>681195.9</v>
      </c>
      <c r="J747" s="1">
        <v>262008.1</v>
      </c>
      <c r="K747" s="1">
        <v>419187.8</v>
      </c>
      <c r="L747" s="1">
        <v>1200</v>
      </c>
      <c r="M747" s="1">
        <v>3.43</v>
      </c>
      <c r="N747" s="1">
        <v>206098.2</v>
      </c>
      <c r="O747" s="1">
        <v>335856.3</v>
      </c>
      <c r="P747" s="1">
        <v>541954.5</v>
      </c>
      <c r="Q747" s="1">
        <v>30588</v>
      </c>
      <c r="R747" s="1">
        <v>12785.5</v>
      </c>
      <c r="S747" s="1">
        <v>43373.5</v>
      </c>
      <c r="T747" s="1">
        <v>14.07</v>
      </c>
      <c r="U747" s="1">
        <v>0.36</v>
      </c>
      <c r="V747" s="1">
        <v>11834.8</v>
      </c>
      <c r="W747" s="1">
        <v>42422.8</v>
      </c>
      <c r="X747" s="1">
        <v>3.8</v>
      </c>
      <c r="Y747" s="1">
        <v>1094</v>
      </c>
      <c r="Z747" s="1">
        <v>584377.30000000005</v>
      </c>
      <c r="AA747" s="1">
        <v>14.21</v>
      </c>
      <c r="AB747" s="1">
        <v>4000</v>
      </c>
    </row>
    <row r="748" spans="1:28" x14ac:dyDescent="0.4">
      <c r="A748" s="1" t="s">
        <v>418</v>
      </c>
      <c r="B748" s="1">
        <v>4000</v>
      </c>
      <c r="C748" s="1">
        <v>0.3</v>
      </c>
      <c r="D748" s="1">
        <v>0.5</v>
      </c>
      <c r="E748" s="1">
        <v>2000</v>
      </c>
      <c r="F748" s="1">
        <v>3</v>
      </c>
      <c r="G748" s="1">
        <v>2</v>
      </c>
      <c r="H748" s="1" t="s">
        <v>595</v>
      </c>
      <c r="I748" s="1">
        <v>688634.5</v>
      </c>
      <c r="J748" s="1">
        <v>263569.40000000002</v>
      </c>
      <c r="K748" s="1">
        <v>425065.1</v>
      </c>
      <c r="L748" s="1">
        <v>1200</v>
      </c>
      <c r="M748" s="1">
        <v>3.63</v>
      </c>
      <c r="N748" s="1">
        <v>206920.7</v>
      </c>
      <c r="O748" s="1">
        <v>341203.1</v>
      </c>
      <c r="P748" s="1">
        <v>548123.80000000005</v>
      </c>
      <c r="Q748" s="1">
        <v>31343.9</v>
      </c>
      <c r="R748" s="1">
        <v>13494</v>
      </c>
      <c r="S748" s="1">
        <v>44837.9</v>
      </c>
      <c r="T748" s="1">
        <v>13.89</v>
      </c>
      <c r="U748" s="1">
        <v>0.38</v>
      </c>
      <c r="V748" s="1">
        <v>12669.4</v>
      </c>
      <c r="W748" s="1">
        <v>44013.3</v>
      </c>
      <c r="X748" s="1">
        <v>4.01</v>
      </c>
      <c r="Y748" s="1">
        <v>1120</v>
      </c>
      <c r="Z748" s="1">
        <v>592137.1</v>
      </c>
      <c r="AA748" s="1">
        <v>14.01</v>
      </c>
      <c r="AB748" s="1">
        <v>4000</v>
      </c>
    </row>
    <row r="749" spans="1:28" x14ac:dyDescent="0.4">
      <c r="A749" s="1" t="s">
        <v>419</v>
      </c>
      <c r="B749" s="1">
        <v>4000</v>
      </c>
      <c r="C749" s="1">
        <v>0.3</v>
      </c>
      <c r="D749" s="1">
        <v>0.5</v>
      </c>
      <c r="E749" s="1">
        <v>2000</v>
      </c>
      <c r="F749" s="1">
        <v>3</v>
      </c>
      <c r="G749" s="1">
        <v>3</v>
      </c>
      <c r="H749" s="1" t="s">
        <v>595</v>
      </c>
      <c r="I749" s="1">
        <v>673599.6</v>
      </c>
      <c r="J749" s="1">
        <v>251402.1</v>
      </c>
      <c r="K749" s="1">
        <v>422197.5</v>
      </c>
      <c r="L749" s="1">
        <v>1200</v>
      </c>
      <c r="M749" s="1">
        <v>3.6</v>
      </c>
      <c r="N749" s="1">
        <v>200501.5</v>
      </c>
      <c r="O749" s="1">
        <v>342061.4</v>
      </c>
      <c r="P749" s="1">
        <v>542562.9</v>
      </c>
      <c r="Q749" s="1">
        <v>29087.9</v>
      </c>
      <c r="R749" s="1">
        <v>12492.2</v>
      </c>
      <c r="S749" s="1">
        <v>41580.1</v>
      </c>
      <c r="T749" s="1">
        <v>13.28</v>
      </c>
      <c r="U749" s="1">
        <v>0.34</v>
      </c>
      <c r="V749" s="1">
        <v>11745.1</v>
      </c>
      <c r="W749" s="1">
        <v>40833</v>
      </c>
      <c r="X749" s="1">
        <v>3.94</v>
      </c>
      <c r="Y749" s="1">
        <v>1061</v>
      </c>
      <c r="Z749" s="1">
        <v>583395.9</v>
      </c>
      <c r="AA749" s="1">
        <v>13.39</v>
      </c>
      <c r="AB749" s="1">
        <v>4000</v>
      </c>
    </row>
    <row r="750" spans="1:28" x14ac:dyDescent="0.4">
      <c r="A750" s="1" t="s">
        <v>420</v>
      </c>
      <c r="B750" s="1">
        <v>4000</v>
      </c>
      <c r="C750" s="1">
        <v>0.3</v>
      </c>
      <c r="D750" s="1">
        <v>0.5</v>
      </c>
      <c r="E750" s="1">
        <v>2000</v>
      </c>
      <c r="F750" s="1">
        <v>3</v>
      </c>
      <c r="G750" s="1">
        <v>4</v>
      </c>
      <c r="H750" s="1" t="s">
        <v>595</v>
      </c>
      <c r="I750" s="1">
        <v>674112.8</v>
      </c>
      <c r="J750" s="1">
        <v>259348.7</v>
      </c>
      <c r="K750" s="1">
        <v>414764.1</v>
      </c>
      <c r="L750" s="1">
        <v>1200</v>
      </c>
      <c r="M750" s="1">
        <v>3.11</v>
      </c>
      <c r="N750" s="1">
        <v>204575.6</v>
      </c>
      <c r="O750" s="1">
        <v>332772.7</v>
      </c>
      <c r="P750" s="1">
        <v>537348.30000000005</v>
      </c>
      <c r="Q750" s="1">
        <v>31427.599999999999</v>
      </c>
      <c r="R750" s="1">
        <v>12749</v>
      </c>
      <c r="S750" s="1">
        <v>44176.6</v>
      </c>
      <c r="T750" s="1">
        <v>13.73</v>
      </c>
      <c r="U750" s="1">
        <v>0.4</v>
      </c>
      <c r="V750" s="1">
        <v>11992.2</v>
      </c>
      <c r="W750" s="1">
        <v>43419.8</v>
      </c>
      <c r="X750" s="1">
        <v>3.51</v>
      </c>
      <c r="Y750" s="1">
        <v>1155</v>
      </c>
      <c r="Z750" s="1">
        <v>580768.1</v>
      </c>
      <c r="AA750" s="1">
        <v>13.85</v>
      </c>
      <c r="AB750" s="1">
        <v>4000</v>
      </c>
    </row>
    <row r="751" spans="1:28" x14ac:dyDescent="0.4">
      <c r="A751" s="1" t="s">
        <v>421</v>
      </c>
      <c r="B751" s="1">
        <v>4000</v>
      </c>
      <c r="C751" s="1">
        <v>0.3</v>
      </c>
      <c r="D751" s="1">
        <v>0.5</v>
      </c>
      <c r="E751" s="1">
        <v>2000</v>
      </c>
      <c r="F751" s="1">
        <v>3</v>
      </c>
      <c r="G751" s="1">
        <v>5</v>
      </c>
      <c r="H751" s="1" t="s">
        <v>595</v>
      </c>
      <c r="I751" s="1">
        <v>700049.7</v>
      </c>
      <c r="J751" s="1">
        <v>267738.7</v>
      </c>
      <c r="K751" s="1">
        <v>432311</v>
      </c>
      <c r="L751" s="1">
        <v>1200</v>
      </c>
      <c r="M751" s="1">
        <v>3.47</v>
      </c>
      <c r="N751" s="1">
        <v>209377.4</v>
      </c>
      <c r="O751" s="1">
        <v>344918.7</v>
      </c>
      <c r="P751" s="1">
        <v>554296.1</v>
      </c>
      <c r="Q751" s="1">
        <v>31360.9</v>
      </c>
      <c r="R751" s="1">
        <v>12956.4</v>
      </c>
      <c r="S751" s="1">
        <v>44317.3</v>
      </c>
      <c r="T751" s="1">
        <v>14.49</v>
      </c>
      <c r="U751" s="1">
        <v>0.42</v>
      </c>
      <c r="V751" s="1">
        <v>12147.7</v>
      </c>
      <c r="W751" s="1">
        <v>43508.6</v>
      </c>
      <c r="X751" s="1">
        <v>3.88</v>
      </c>
      <c r="Y751" s="1">
        <v>1131</v>
      </c>
      <c r="Z751" s="1">
        <v>597804.69999999995</v>
      </c>
      <c r="AA751" s="1">
        <v>14.61</v>
      </c>
      <c r="AB751" s="1">
        <v>4000</v>
      </c>
    </row>
    <row r="752" spans="1:28" x14ac:dyDescent="0.4">
      <c r="A752" s="1" t="s">
        <v>422</v>
      </c>
      <c r="B752" s="1">
        <v>4000</v>
      </c>
      <c r="C752" s="1">
        <v>0.3</v>
      </c>
      <c r="D752" s="1">
        <v>0.5</v>
      </c>
      <c r="E752" s="1">
        <v>500</v>
      </c>
      <c r="F752" s="1">
        <v>1</v>
      </c>
      <c r="G752" s="1">
        <v>1</v>
      </c>
      <c r="H752" s="1" t="s">
        <v>595</v>
      </c>
      <c r="I752" s="1">
        <v>86158.9</v>
      </c>
      <c r="J752" s="1">
        <v>35109.800000000003</v>
      </c>
      <c r="K752" s="1">
        <v>51049.1</v>
      </c>
      <c r="L752" s="1">
        <v>1200</v>
      </c>
      <c r="M752" s="1">
        <v>1.1100000000000001</v>
      </c>
      <c r="N752" s="1">
        <v>29273.9</v>
      </c>
      <c r="O752" s="1">
        <v>43966.1</v>
      </c>
      <c r="P752" s="1">
        <v>73240</v>
      </c>
      <c r="Q752" s="1">
        <v>7247.3</v>
      </c>
      <c r="R752" s="1">
        <v>2121.6</v>
      </c>
      <c r="S752" s="1">
        <v>9368.9</v>
      </c>
      <c r="T752" s="1">
        <v>4.12</v>
      </c>
      <c r="U752" s="1">
        <v>0</v>
      </c>
      <c r="V752" s="1">
        <v>2008.5</v>
      </c>
      <c r="W752" s="1">
        <v>9255.7999999999993</v>
      </c>
      <c r="X752" s="1">
        <v>1.1100000000000001</v>
      </c>
      <c r="Y752" s="1">
        <v>228</v>
      </c>
      <c r="Z752" s="1">
        <v>82495.8</v>
      </c>
      <c r="AA752" s="1">
        <v>4.25</v>
      </c>
      <c r="AB752" s="1">
        <v>4000</v>
      </c>
    </row>
    <row r="753" spans="1:28" x14ac:dyDescent="0.4">
      <c r="A753" s="1" t="s">
        <v>423</v>
      </c>
      <c r="B753" s="1">
        <v>4000</v>
      </c>
      <c r="C753" s="1">
        <v>0.3</v>
      </c>
      <c r="D753" s="1">
        <v>0.5</v>
      </c>
      <c r="E753" s="1">
        <v>500</v>
      </c>
      <c r="F753" s="1">
        <v>1</v>
      </c>
      <c r="G753" s="1">
        <v>2</v>
      </c>
      <c r="H753" s="1" t="s">
        <v>595</v>
      </c>
      <c r="I753" s="1">
        <v>87235.199999999997</v>
      </c>
      <c r="J753" s="1">
        <v>35765.300000000003</v>
      </c>
      <c r="K753" s="1">
        <v>51469.9</v>
      </c>
      <c r="L753" s="1">
        <v>1200</v>
      </c>
      <c r="M753" s="1">
        <v>1.1000000000000001</v>
      </c>
      <c r="N753" s="1">
        <v>30038.1</v>
      </c>
      <c r="O753" s="1">
        <v>45265.9</v>
      </c>
      <c r="P753" s="1">
        <v>75304</v>
      </c>
      <c r="Q753" s="1">
        <v>6412</v>
      </c>
      <c r="R753" s="1">
        <v>1981.5</v>
      </c>
      <c r="S753" s="1">
        <v>8393.5</v>
      </c>
      <c r="T753" s="1">
        <v>4.0599999999999996</v>
      </c>
      <c r="U753" s="1">
        <v>0</v>
      </c>
      <c r="V753" s="1">
        <v>1925.7</v>
      </c>
      <c r="W753" s="1">
        <v>8337.7000000000007</v>
      </c>
      <c r="X753" s="1">
        <v>1.1100000000000001</v>
      </c>
      <c r="Y753" s="1">
        <v>214</v>
      </c>
      <c r="Z753" s="1">
        <v>83641.7</v>
      </c>
      <c r="AA753" s="1">
        <v>4.12</v>
      </c>
      <c r="AB753" s="1">
        <v>4000</v>
      </c>
    </row>
    <row r="754" spans="1:28" x14ac:dyDescent="0.4">
      <c r="A754" s="1" t="s">
        <v>424</v>
      </c>
      <c r="B754" s="1">
        <v>4000</v>
      </c>
      <c r="C754" s="1">
        <v>0.3</v>
      </c>
      <c r="D754" s="1">
        <v>0.5</v>
      </c>
      <c r="E754" s="1">
        <v>500</v>
      </c>
      <c r="F754" s="1">
        <v>1</v>
      </c>
      <c r="G754" s="1">
        <v>3</v>
      </c>
      <c r="H754" s="1" t="s">
        <v>595</v>
      </c>
      <c r="I754" s="1">
        <v>87209.7</v>
      </c>
      <c r="J754" s="1">
        <v>35411.300000000003</v>
      </c>
      <c r="K754" s="1">
        <v>51798.400000000001</v>
      </c>
      <c r="L754" s="1">
        <v>1200</v>
      </c>
      <c r="M754" s="1">
        <v>1.0900000000000001</v>
      </c>
      <c r="N754" s="1">
        <v>28084.7</v>
      </c>
      <c r="O754" s="1">
        <v>42785.599999999999</v>
      </c>
      <c r="P754" s="1">
        <v>70870.3</v>
      </c>
      <c r="Q754" s="1">
        <v>9514.2000000000007</v>
      </c>
      <c r="R754" s="1">
        <v>2828.5</v>
      </c>
      <c r="S754" s="1">
        <v>12342.7</v>
      </c>
      <c r="T754" s="1">
        <v>4.58</v>
      </c>
      <c r="U754" s="1">
        <v>0.01</v>
      </c>
      <c r="V754" s="1">
        <v>2664.2</v>
      </c>
      <c r="W754" s="1">
        <v>12178.4</v>
      </c>
      <c r="X754" s="1">
        <v>1.1000000000000001</v>
      </c>
      <c r="Y754" s="1">
        <v>314</v>
      </c>
      <c r="Z754" s="1">
        <v>83048.7</v>
      </c>
      <c r="AA754" s="1">
        <v>4.7699999999999996</v>
      </c>
      <c r="AB754" s="1">
        <v>4000</v>
      </c>
    </row>
    <row r="755" spans="1:28" x14ac:dyDescent="0.4">
      <c r="A755" s="1" t="s">
        <v>425</v>
      </c>
      <c r="B755" s="1">
        <v>4000</v>
      </c>
      <c r="C755" s="1">
        <v>0.3</v>
      </c>
      <c r="D755" s="1">
        <v>0.5</v>
      </c>
      <c r="E755" s="1">
        <v>500</v>
      </c>
      <c r="F755" s="1">
        <v>1</v>
      </c>
      <c r="G755" s="1">
        <v>4</v>
      </c>
      <c r="H755" s="1" t="s">
        <v>595</v>
      </c>
      <c r="I755" s="1">
        <v>89293</v>
      </c>
      <c r="J755" s="1">
        <v>36025.699999999997</v>
      </c>
      <c r="K755" s="1">
        <v>53267.3</v>
      </c>
      <c r="L755" s="1">
        <v>1200</v>
      </c>
      <c r="M755" s="1">
        <v>1.06</v>
      </c>
      <c r="N755" s="1">
        <v>30630.7</v>
      </c>
      <c r="O755" s="1">
        <v>46037.3</v>
      </c>
      <c r="P755" s="1">
        <v>76668</v>
      </c>
      <c r="Q755" s="1">
        <v>6873.5</v>
      </c>
      <c r="R755" s="1">
        <v>2261.8000000000002</v>
      </c>
      <c r="S755" s="1">
        <v>9135.2999999999993</v>
      </c>
      <c r="T755" s="1">
        <v>3.91</v>
      </c>
      <c r="U755" s="1">
        <v>0</v>
      </c>
      <c r="V755" s="1">
        <v>2158.1999999999998</v>
      </c>
      <c r="W755" s="1">
        <v>9031.7000000000007</v>
      </c>
      <c r="X755" s="1">
        <v>1.06</v>
      </c>
      <c r="Y755" s="1">
        <v>221</v>
      </c>
      <c r="Z755" s="1">
        <v>85699.7</v>
      </c>
      <c r="AA755" s="1">
        <v>4.0199999999999996</v>
      </c>
      <c r="AB755" s="1">
        <v>4000</v>
      </c>
    </row>
    <row r="756" spans="1:28" x14ac:dyDescent="0.4">
      <c r="A756" s="1" t="s">
        <v>426</v>
      </c>
      <c r="B756" s="1">
        <v>4000</v>
      </c>
      <c r="C756" s="1">
        <v>0.3</v>
      </c>
      <c r="D756" s="1">
        <v>0.5</v>
      </c>
      <c r="E756" s="1">
        <v>500</v>
      </c>
      <c r="F756" s="1">
        <v>1</v>
      </c>
      <c r="G756" s="1">
        <v>5</v>
      </c>
      <c r="H756" s="1" t="s">
        <v>595</v>
      </c>
      <c r="I756" s="1">
        <v>90482.3</v>
      </c>
      <c r="J756" s="1">
        <v>36247.9</v>
      </c>
      <c r="K756" s="1">
        <v>54234.400000000001</v>
      </c>
      <c r="L756" s="1">
        <v>1200</v>
      </c>
      <c r="M756" s="1">
        <v>1.07</v>
      </c>
      <c r="N756" s="1">
        <v>30194.1</v>
      </c>
      <c r="O756" s="1">
        <v>45121</v>
      </c>
      <c r="P756" s="1">
        <v>75315.100000000006</v>
      </c>
      <c r="Q756" s="1">
        <v>8150.5</v>
      </c>
      <c r="R756" s="1">
        <v>3159.4</v>
      </c>
      <c r="S756" s="1">
        <v>11309.9</v>
      </c>
      <c r="T756" s="1">
        <v>4.26</v>
      </c>
      <c r="U756" s="1">
        <v>0.01</v>
      </c>
      <c r="V756" s="1">
        <v>2987.1</v>
      </c>
      <c r="W756" s="1">
        <v>11137.6</v>
      </c>
      <c r="X756" s="1">
        <v>1.07</v>
      </c>
      <c r="Y756" s="1">
        <v>261</v>
      </c>
      <c r="Z756" s="1">
        <v>86452.7</v>
      </c>
      <c r="AA756" s="1">
        <v>4.45</v>
      </c>
      <c r="AB756" s="1">
        <v>4000</v>
      </c>
    </row>
    <row r="757" spans="1:28" x14ac:dyDescent="0.4">
      <c r="A757" s="1" t="s">
        <v>427</v>
      </c>
      <c r="B757" s="1">
        <v>4000</v>
      </c>
      <c r="C757" s="1">
        <v>0.3</v>
      </c>
      <c r="D757" s="1">
        <v>0.5</v>
      </c>
      <c r="E757" s="1">
        <v>500</v>
      </c>
      <c r="F757" s="1">
        <v>2</v>
      </c>
      <c r="G757" s="1">
        <v>1</v>
      </c>
      <c r="H757" s="1" t="s">
        <v>595</v>
      </c>
      <c r="I757" s="1">
        <v>137406.5</v>
      </c>
      <c r="J757" s="1">
        <v>55799.7</v>
      </c>
      <c r="K757" s="1">
        <v>81606.8</v>
      </c>
      <c r="L757" s="1">
        <v>1200</v>
      </c>
      <c r="M757" s="1">
        <v>1.18</v>
      </c>
      <c r="N757" s="1">
        <v>44979</v>
      </c>
      <c r="O757" s="1">
        <v>66723.5</v>
      </c>
      <c r="P757" s="1">
        <v>111702.5</v>
      </c>
      <c r="Q757" s="1">
        <v>14221.2</v>
      </c>
      <c r="R757" s="1">
        <v>4934.8999999999996</v>
      </c>
      <c r="S757" s="1">
        <v>19156.099999999999</v>
      </c>
      <c r="T757" s="1">
        <v>4.7699999999999996</v>
      </c>
      <c r="U757" s="1">
        <v>0.03</v>
      </c>
      <c r="V757" s="1">
        <v>4625</v>
      </c>
      <c r="W757" s="1">
        <v>18846.2</v>
      </c>
      <c r="X757" s="1">
        <v>1.21</v>
      </c>
      <c r="Y757" s="1">
        <v>493</v>
      </c>
      <c r="Z757" s="1">
        <v>130548.7</v>
      </c>
      <c r="AA757" s="1">
        <v>4.99</v>
      </c>
      <c r="AB757" s="1">
        <v>4000</v>
      </c>
    </row>
    <row r="758" spans="1:28" x14ac:dyDescent="0.4">
      <c r="A758" s="1" t="s">
        <v>428</v>
      </c>
      <c r="B758" s="1">
        <v>4000</v>
      </c>
      <c r="C758" s="1">
        <v>0.3</v>
      </c>
      <c r="D758" s="1">
        <v>0.5</v>
      </c>
      <c r="E758" s="1">
        <v>500</v>
      </c>
      <c r="F758" s="1">
        <v>2</v>
      </c>
      <c r="G758" s="1">
        <v>2</v>
      </c>
      <c r="H758" s="1" t="s">
        <v>595</v>
      </c>
      <c r="I758" s="1">
        <v>134470.9</v>
      </c>
      <c r="J758" s="1">
        <v>52869.5</v>
      </c>
      <c r="K758" s="1">
        <v>81601.399999999994</v>
      </c>
      <c r="L758" s="1">
        <v>1200</v>
      </c>
      <c r="M758" s="1">
        <v>1.3</v>
      </c>
      <c r="N758" s="1">
        <v>42983.1</v>
      </c>
      <c r="O758" s="1">
        <v>69924</v>
      </c>
      <c r="P758" s="1">
        <v>112907.1</v>
      </c>
      <c r="Q758" s="1">
        <v>10601</v>
      </c>
      <c r="R758" s="1">
        <v>3901.8</v>
      </c>
      <c r="S758" s="1">
        <v>14502.8</v>
      </c>
      <c r="T758" s="1">
        <v>5.25</v>
      </c>
      <c r="U758" s="1">
        <v>0.02</v>
      </c>
      <c r="V758" s="1">
        <v>3420.5</v>
      </c>
      <c r="W758" s="1">
        <v>14021.5</v>
      </c>
      <c r="X758" s="1">
        <v>1.32</v>
      </c>
      <c r="Y758" s="1">
        <v>364</v>
      </c>
      <c r="Z758" s="1">
        <v>126928.6</v>
      </c>
      <c r="AA758" s="1">
        <v>5.61</v>
      </c>
      <c r="AB758" s="1">
        <v>4000</v>
      </c>
    </row>
    <row r="759" spans="1:28" x14ac:dyDescent="0.4">
      <c r="A759" s="1" t="s">
        <v>429</v>
      </c>
      <c r="B759" s="1">
        <v>4000</v>
      </c>
      <c r="C759" s="1">
        <v>0.3</v>
      </c>
      <c r="D759" s="1">
        <v>0.5</v>
      </c>
      <c r="E759" s="1">
        <v>500</v>
      </c>
      <c r="F759" s="1">
        <v>2</v>
      </c>
      <c r="G759" s="1">
        <v>3</v>
      </c>
      <c r="H759" s="1" t="s">
        <v>595</v>
      </c>
      <c r="I759" s="1">
        <v>141138</v>
      </c>
      <c r="J759" s="1">
        <v>56617.599999999999</v>
      </c>
      <c r="K759" s="1">
        <v>84520.4</v>
      </c>
      <c r="L759" s="1">
        <v>1200</v>
      </c>
      <c r="M759" s="1">
        <v>1.26</v>
      </c>
      <c r="N759" s="1">
        <v>48198.400000000001</v>
      </c>
      <c r="O759" s="1">
        <v>71707.100000000006</v>
      </c>
      <c r="P759" s="1">
        <v>119905.5</v>
      </c>
      <c r="Q759" s="1">
        <v>9828.2999999999993</v>
      </c>
      <c r="R759" s="1">
        <v>3994.3</v>
      </c>
      <c r="S759" s="1">
        <v>13822.6</v>
      </c>
      <c r="T759" s="1">
        <v>5.25</v>
      </c>
      <c r="U759" s="1">
        <v>0.02</v>
      </c>
      <c r="V759" s="1">
        <v>3470.6</v>
      </c>
      <c r="W759" s="1">
        <v>13298.9</v>
      </c>
      <c r="X759" s="1">
        <v>1.28</v>
      </c>
      <c r="Y759" s="1">
        <v>355</v>
      </c>
      <c r="Z759" s="1">
        <v>133204.4</v>
      </c>
      <c r="AA759" s="1">
        <v>5.62</v>
      </c>
      <c r="AB759" s="1">
        <v>4000</v>
      </c>
    </row>
    <row r="760" spans="1:28" x14ac:dyDescent="0.4">
      <c r="A760" s="1" t="s">
        <v>430</v>
      </c>
      <c r="B760" s="1">
        <v>4000</v>
      </c>
      <c r="C760" s="1">
        <v>0.3</v>
      </c>
      <c r="D760" s="1">
        <v>0.5</v>
      </c>
      <c r="E760" s="1">
        <v>500</v>
      </c>
      <c r="F760" s="1">
        <v>2</v>
      </c>
      <c r="G760" s="1">
        <v>4</v>
      </c>
      <c r="H760" s="1" t="s">
        <v>595</v>
      </c>
      <c r="I760" s="1">
        <v>138094.29999999999</v>
      </c>
      <c r="J760" s="1">
        <v>51984.9</v>
      </c>
      <c r="K760" s="1">
        <v>86109.4</v>
      </c>
      <c r="L760" s="1">
        <v>1200</v>
      </c>
      <c r="M760" s="1">
        <v>1.23</v>
      </c>
      <c r="N760" s="1">
        <v>45073.5</v>
      </c>
      <c r="O760" s="1">
        <v>72894.399999999994</v>
      </c>
      <c r="P760" s="1">
        <v>117967.9</v>
      </c>
      <c r="Q760" s="1">
        <v>10271.6</v>
      </c>
      <c r="R760" s="1">
        <v>4097</v>
      </c>
      <c r="S760" s="1">
        <v>14368.6</v>
      </c>
      <c r="T760" s="1">
        <v>4.17</v>
      </c>
      <c r="U760" s="1">
        <v>0.02</v>
      </c>
      <c r="V760" s="1">
        <v>3837.1</v>
      </c>
      <c r="W760" s="1">
        <v>14108.7</v>
      </c>
      <c r="X760" s="1">
        <v>1.25</v>
      </c>
      <c r="Y760" s="1">
        <v>353</v>
      </c>
      <c r="Z760" s="1">
        <v>132076.6</v>
      </c>
      <c r="AA760" s="1">
        <v>4.3600000000000003</v>
      </c>
      <c r="AB760" s="1">
        <v>4000</v>
      </c>
    </row>
    <row r="761" spans="1:28" x14ac:dyDescent="0.4">
      <c r="A761" s="1" t="s">
        <v>431</v>
      </c>
      <c r="B761" s="1">
        <v>4000</v>
      </c>
      <c r="C761" s="1">
        <v>0.3</v>
      </c>
      <c r="D761" s="1">
        <v>0.5</v>
      </c>
      <c r="E761" s="1">
        <v>500</v>
      </c>
      <c r="F761" s="1">
        <v>2</v>
      </c>
      <c r="G761" s="1">
        <v>5</v>
      </c>
      <c r="H761" s="1" t="s">
        <v>595</v>
      </c>
      <c r="I761" s="1">
        <v>132232.6</v>
      </c>
      <c r="J761" s="1">
        <v>53369.5</v>
      </c>
      <c r="K761" s="1">
        <v>78863.100000000006</v>
      </c>
      <c r="L761" s="1">
        <v>1200</v>
      </c>
      <c r="M761" s="1">
        <v>1.19</v>
      </c>
      <c r="N761" s="1">
        <v>46253.1</v>
      </c>
      <c r="O761" s="1">
        <v>68348.7</v>
      </c>
      <c r="P761" s="1">
        <v>114601.8</v>
      </c>
      <c r="Q761" s="1">
        <v>8531.5</v>
      </c>
      <c r="R761" s="1">
        <v>3549.6</v>
      </c>
      <c r="S761" s="1">
        <v>12081.1</v>
      </c>
      <c r="T761" s="1">
        <v>4.2</v>
      </c>
      <c r="U761" s="1">
        <v>0.01</v>
      </c>
      <c r="V761" s="1">
        <v>3387.8</v>
      </c>
      <c r="W761" s="1">
        <v>11919.3</v>
      </c>
      <c r="X761" s="1">
        <v>1.2</v>
      </c>
      <c r="Y761" s="1">
        <v>285</v>
      </c>
      <c r="Z761" s="1">
        <v>126521.1</v>
      </c>
      <c r="AA761" s="1">
        <v>4.32</v>
      </c>
      <c r="AB761" s="1">
        <v>4000</v>
      </c>
    </row>
    <row r="762" spans="1:28" x14ac:dyDescent="0.4">
      <c r="A762" s="1" t="s">
        <v>432</v>
      </c>
      <c r="B762" s="1">
        <v>4000</v>
      </c>
      <c r="C762" s="1">
        <v>0.3</v>
      </c>
      <c r="D762" s="1">
        <v>0.5</v>
      </c>
      <c r="E762" s="1">
        <v>500</v>
      </c>
      <c r="F762" s="1">
        <v>3</v>
      </c>
      <c r="G762" s="1">
        <v>1</v>
      </c>
      <c r="H762" s="1" t="s">
        <v>595</v>
      </c>
      <c r="I762" s="1">
        <v>175437.9</v>
      </c>
      <c r="J762" s="1">
        <v>65584.100000000006</v>
      </c>
      <c r="K762" s="1">
        <v>109853.8</v>
      </c>
      <c r="L762" s="1">
        <v>1200</v>
      </c>
      <c r="M762" s="1">
        <v>1.32</v>
      </c>
      <c r="N762" s="1">
        <v>57127</v>
      </c>
      <c r="O762" s="1">
        <v>96445</v>
      </c>
      <c r="P762" s="1">
        <v>153572</v>
      </c>
      <c r="Q762" s="1">
        <v>9120</v>
      </c>
      <c r="R762" s="1">
        <v>4487.3999999999996</v>
      </c>
      <c r="S762" s="1">
        <v>13607.4</v>
      </c>
      <c r="T762" s="1">
        <v>4.71</v>
      </c>
      <c r="U762" s="1">
        <v>0.02</v>
      </c>
      <c r="V762" s="1">
        <v>4172.2</v>
      </c>
      <c r="W762" s="1">
        <v>13292.2</v>
      </c>
      <c r="X762" s="1">
        <v>1.35</v>
      </c>
      <c r="Y762" s="1">
        <v>314</v>
      </c>
      <c r="Z762" s="1">
        <v>166864.20000000001</v>
      </c>
      <c r="AA762" s="1">
        <v>4.8899999999999997</v>
      </c>
      <c r="AB762" s="1">
        <v>4000</v>
      </c>
    </row>
    <row r="763" spans="1:28" x14ac:dyDescent="0.4">
      <c r="A763" s="1" t="s">
        <v>433</v>
      </c>
      <c r="B763" s="1">
        <v>4000</v>
      </c>
      <c r="C763" s="1">
        <v>0.3</v>
      </c>
      <c r="D763" s="1">
        <v>0.5</v>
      </c>
      <c r="E763" s="1">
        <v>500</v>
      </c>
      <c r="F763" s="1">
        <v>3</v>
      </c>
      <c r="G763" s="1">
        <v>2</v>
      </c>
      <c r="H763" s="1" t="s">
        <v>595</v>
      </c>
      <c r="I763" s="1">
        <v>180917.6</v>
      </c>
      <c r="J763" s="1">
        <v>67104.800000000003</v>
      </c>
      <c r="K763" s="1">
        <v>113812.8</v>
      </c>
      <c r="L763" s="1">
        <v>1200</v>
      </c>
      <c r="M763" s="1">
        <v>1.39</v>
      </c>
      <c r="N763" s="1">
        <v>58323.199999999997</v>
      </c>
      <c r="O763" s="1">
        <v>101851.2</v>
      </c>
      <c r="P763" s="1">
        <v>160174.39999999999</v>
      </c>
      <c r="Q763" s="1">
        <v>8919.7999999999993</v>
      </c>
      <c r="R763" s="1">
        <v>4013.7</v>
      </c>
      <c r="S763" s="1">
        <v>12933.5</v>
      </c>
      <c r="T763" s="1">
        <v>4.32</v>
      </c>
      <c r="U763" s="1">
        <v>0.02</v>
      </c>
      <c r="V763" s="1">
        <v>3755</v>
      </c>
      <c r="W763" s="1">
        <v>12674.8</v>
      </c>
      <c r="X763" s="1">
        <v>1.41</v>
      </c>
      <c r="Y763" s="1">
        <v>317</v>
      </c>
      <c r="Z763" s="1">
        <v>172849.2</v>
      </c>
      <c r="AA763" s="1">
        <v>4.46</v>
      </c>
      <c r="AB763" s="1">
        <v>4000</v>
      </c>
    </row>
    <row r="764" spans="1:28" x14ac:dyDescent="0.4">
      <c r="A764" s="1" t="s">
        <v>434</v>
      </c>
      <c r="B764" s="1">
        <v>4000</v>
      </c>
      <c r="C764" s="1">
        <v>0.3</v>
      </c>
      <c r="D764" s="1">
        <v>0.5</v>
      </c>
      <c r="E764" s="1">
        <v>500</v>
      </c>
      <c r="F764" s="1">
        <v>3</v>
      </c>
      <c r="G764" s="1">
        <v>3</v>
      </c>
      <c r="H764" s="1" t="s">
        <v>595</v>
      </c>
      <c r="I764" s="1">
        <v>181227.2</v>
      </c>
      <c r="J764" s="1">
        <v>68904.100000000006</v>
      </c>
      <c r="K764" s="1">
        <v>112323.1</v>
      </c>
      <c r="L764" s="1">
        <v>1200</v>
      </c>
      <c r="M764" s="1">
        <v>1.41</v>
      </c>
      <c r="N764" s="1">
        <v>59037</v>
      </c>
      <c r="O764" s="1">
        <v>99898.5</v>
      </c>
      <c r="P764" s="1">
        <v>158935.5</v>
      </c>
      <c r="Q764" s="1">
        <v>8891.7999999999993</v>
      </c>
      <c r="R764" s="1">
        <v>4307.7</v>
      </c>
      <c r="S764" s="1">
        <v>13199.5</v>
      </c>
      <c r="T764" s="1">
        <v>5.0199999999999996</v>
      </c>
      <c r="U764" s="1">
        <v>0.02</v>
      </c>
      <c r="V764" s="1">
        <v>3871.4</v>
      </c>
      <c r="W764" s="1">
        <v>12763.2</v>
      </c>
      <c r="X764" s="1">
        <v>1.43</v>
      </c>
      <c r="Y764" s="1">
        <v>306</v>
      </c>
      <c r="Z764" s="1">
        <v>171698.7</v>
      </c>
      <c r="AA764" s="1">
        <v>5.26</v>
      </c>
      <c r="AB764" s="1">
        <v>4000</v>
      </c>
    </row>
    <row r="765" spans="1:28" x14ac:dyDescent="0.4">
      <c r="A765" s="1" t="s">
        <v>435</v>
      </c>
      <c r="B765" s="1">
        <v>4000</v>
      </c>
      <c r="C765" s="1">
        <v>0.3</v>
      </c>
      <c r="D765" s="1">
        <v>0.5</v>
      </c>
      <c r="E765" s="1">
        <v>500</v>
      </c>
      <c r="F765" s="1">
        <v>3</v>
      </c>
      <c r="G765" s="1">
        <v>4</v>
      </c>
      <c r="H765" s="1" t="s">
        <v>595</v>
      </c>
      <c r="I765" s="1">
        <v>174207.9</v>
      </c>
      <c r="J765" s="1">
        <v>64976.3</v>
      </c>
      <c r="K765" s="1">
        <v>109231.6</v>
      </c>
      <c r="L765" s="1">
        <v>1200</v>
      </c>
      <c r="M765" s="1">
        <v>1.41</v>
      </c>
      <c r="N765" s="1">
        <v>56878</v>
      </c>
      <c r="O765" s="1">
        <v>96430.399999999994</v>
      </c>
      <c r="P765" s="1">
        <v>153308.4</v>
      </c>
      <c r="Q765" s="1">
        <v>9403.7999999999993</v>
      </c>
      <c r="R765" s="1">
        <v>4005.6</v>
      </c>
      <c r="S765" s="1">
        <v>13409.4</v>
      </c>
      <c r="T765" s="1">
        <v>4.3</v>
      </c>
      <c r="U765" s="1">
        <v>0.02</v>
      </c>
      <c r="V765" s="1">
        <v>3523.9</v>
      </c>
      <c r="W765" s="1">
        <v>12927.7</v>
      </c>
      <c r="X765" s="1">
        <v>1.43</v>
      </c>
      <c r="Y765" s="1">
        <v>342</v>
      </c>
      <c r="Z765" s="1">
        <v>166236.1</v>
      </c>
      <c r="AA765" s="1">
        <v>4.58</v>
      </c>
      <c r="AB765" s="1">
        <v>4000</v>
      </c>
    </row>
    <row r="766" spans="1:28" x14ac:dyDescent="0.4">
      <c r="A766" s="1" t="s">
        <v>436</v>
      </c>
      <c r="B766" s="1">
        <v>4000</v>
      </c>
      <c r="C766" s="1">
        <v>0.3</v>
      </c>
      <c r="D766" s="1">
        <v>0.5</v>
      </c>
      <c r="E766" s="1">
        <v>500</v>
      </c>
      <c r="F766" s="1">
        <v>3</v>
      </c>
      <c r="G766" s="1">
        <v>5</v>
      </c>
      <c r="H766" s="1" t="s">
        <v>595</v>
      </c>
      <c r="I766" s="1">
        <v>177058.9</v>
      </c>
      <c r="J766" s="1">
        <v>65926.600000000006</v>
      </c>
      <c r="K766" s="1">
        <v>111132.3</v>
      </c>
      <c r="L766" s="1">
        <v>1200</v>
      </c>
      <c r="M766" s="1">
        <v>1.43</v>
      </c>
      <c r="N766" s="1">
        <v>57285.599999999999</v>
      </c>
      <c r="O766" s="1">
        <v>98153</v>
      </c>
      <c r="P766" s="1">
        <v>155438.6</v>
      </c>
      <c r="Q766" s="1">
        <v>10009.9</v>
      </c>
      <c r="R766" s="1">
        <v>4235.1000000000004</v>
      </c>
      <c r="S766" s="1">
        <v>14245</v>
      </c>
      <c r="T766" s="1">
        <v>4.17</v>
      </c>
      <c r="U766" s="1">
        <v>0.02</v>
      </c>
      <c r="V766" s="1">
        <v>3805.3</v>
      </c>
      <c r="W766" s="1">
        <v>13815.2</v>
      </c>
      <c r="X766" s="1">
        <v>1.45</v>
      </c>
      <c r="Y766" s="1">
        <v>347</v>
      </c>
      <c r="Z766" s="1">
        <v>169253.8</v>
      </c>
      <c r="AA766" s="1">
        <v>4.41</v>
      </c>
      <c r="AB766" s="1">
        <v>4000</v>
      </c>
    </row>
    <row r="767" spans="1:28" x14ac:dyDescent="0.4">
      <c r="A767" s="1" t="s">
        <v>90</v>
      </c>
      <c r="B767" s="1">
        <v>4000</v>
      </c>
      <c r="C767" s="1">
        <v>0.4</v>
      </c>
      <c r="D767" s="1">
        <v>0.5</v>
      </c>
      <c r="E767" s="1">
        <v>1000</v>
      </c>
      <c r="F767" s="1">
        <v>1</v>
      </c>
      <c r="G767" s="1">
        <v>1</v>
      </c>
      <c r="H767" s="1" t="s">
        <v>595</v>
      </c>
      <c r="I767" s="1">
        <v>171724.4</v>
      </c>
      <c r="J767" s="1">
        <v>71423.3</v>
      </c>
      <c r="K767" s="1">
        <v>100301.1</v>
      </c>
      <c r="L767" s="1">
        <v>1200</v>
      </c>
      <c r="M767" s="1">
        <v>0.77</v>
      </c>
      <c r="N767" s="1">
        <v>50502.7</v>
      </c>
      <c r="O767" s="1">
        <v>72811.199999999997</v>
      </c>
      <c r="P767" s="1">
        <v>123313.9</v>
      </c>
      <c r="Q767" s="1">
        <v>20504.599999999999</v>
      </c>
      <c r="R767" s="1">
        <v>8798.5</v>
      </c>
      <c r="S767" s="1">
        <v>29303.1</v>
      </c>
      <c r="T767" s="1">
        <v>11.13</v>
      </c>
      <c r="U767" s="1">
        <v>0.15</v>
      </c>
      <c r="V767" s="1">
        <v>8377.2999999999993</v>
      </c>
      <c r="W767" s="1">
        <v>28881.9</v>
      </c>
      <c r="X767" s="1">
        <v>0.92</v>
      </c>
      <c r="Y767" s="1">
        <v>703</v>
      </c>
      <c r="Z767" s="1">
        <v>152195.79999999999</v>
      </c>
      <c r="AA767" s="1">
        <v>11.37</v>
      </c>
      <c r="AB767" s="1">
        <v>4000</v>
      </c>
    </row>
    <row r="768" spans="1:28" x14ac:dyDescent="0.4">
      <c r="A768" s="1" t="s">
        <v>91</v>
      </c>
      <c r="B768" s="1">
        <v>4000</v>
      </c>
      <c r="C768" s="1">
        <v>0.4</v>
      </c>
      <c r="D768" s="1">
        <v>0.5</v>
      </c>
      <c r="E768" s="1">
        <v>1000</v>
      </c>
      <c r="F768" s="1">
        <v>1</v>
      </c>
      <c r="G768" s="1">
        <v>2</v>
      </c>
      <c r="H768" s="1" t="s">
        <v>595</v>
      </c>
      <c r="I768" s="1">
        <v>177265.8</v>
      </c>
      <c r="J768" s="1">
        <v>68879.7</v>
      </c>
      <c r="K768" s="1">
        <v>108386.1</v>
      </c>
      <c r="L768" s="1">
        <v>1200</v>
      </c>
      <c r="M768" s="1">
        <v>0.73</v>
      </c>
      <c r="N768" s="1">
        <v>47269.8</v>
      </c>
      <c r="O768" s="1">
        <v>75820.7</v>
      </c>
      <c r="P768" s="1">
        <v>123090.5</v>
      </c>
      <c r="Q768" s="1">
        <v>23414</v>
      </c>
      <c r="R768" s="1">
        <v>9641.4</v>
      </c>
      <c r="S768" s="1">
        <v>33055.4</v>
      </c>
      <c r="T768" s="1">
        <v>11.91</v>
      </c>
      <c r="U768" s="1">
        <v>0.12</v>
      </c>
      <c r="V768" s="1">
        <v>9352.7999999999993</v>
      </c>
      <c r="W768" s="1">
        <v>32766.799999999999</v>
      </c>
      <c r="X768" s="1">
        <v>0.85</v>
      </c>
      <c r="Y768" s="1">
        <v>817</v>
      </c>
      <c r="Z768" s="1">
        <v>155857.29999999999</v>
      </c>
      <c r="AA768" s="1">
        <v>12.08</v>
      </c>
      <c r="AB768" s="1">
        <v>4000</v>
      </c>
    </row>
    <row r="769" spans="1:28" x14ac:dyDescent="0.4">
      <c r="A769" s="1" t="s">
        <v>92</v>
      </c>
      <c r="B769" s="1">
        <v>4000</v>
      </c>
      <c r="C769" s="1">
        <v>0.4</v>
      </c>
      <c r="D769" s="1">
        <v>0.5</v>
      </c>
      <c r="E769" s="1">
        <v>1000</v>
      </c>
      <c r="F769" s="1">
        <v>1</v>
      </c>
      <c r="G769" s="1">
        <v>3</v>
      </c>
      <c r="H769" s="1" t="s">
        <v>595</v>
      </c>
      <c r="I769" s="1">
        <v>177163.7</v>
      </c>
      <c r="J769" s="1">
        <v>70112.600000000006</v>
      </c>
      <c r="K769" s="1">
        <v>107051.1</v>
      </c>
      <c r="L769" s="1">
        <v>1200</v>
      </c>
      <c r="M769" s="1">
        <v>0.77</v>
      </c>
      <c r="N769" s="1">
        <v>48483.9</v>
      </c>
      <c r="O769" s="1">
        <v>77030.100000000006</v>
      </c>
      <c r="P769" s="1">
        <v>125514</v>
      </c>
      <c r="Q769" s="1">
        <v>22299.1</v>
      </c>
      <c r="R769" s="1">
        <v>9640</v>
      </c>
      <c r="S769" s="1">
        <v>31939.1</v>
      </c>
      <c r="T769" s="1">
        <v>11.13</v>
      </c>
      <c r="U769" s="1">
        <v>0.2</v>
      </c>
      <c r="V769" s="1">
        <v>9186.1</v>
      </c>
      <c r="W769" s="1">
        <v>31485.200000000001</v>
      </c>
      <c r="X769" s="1">
        <v>0.97</v>
      </c>
      <c r="Y769" s="1">
        <v>792</v>
      </c>
      <c r="Z769" s="1">
        <v>156999.20000000001</v>
      </c>
      <c r="AA769" s="1">
        <v>11.38</v>
      </c>
      <c r="AB769" s="1">
        <v>4000</v>
      </c>
    </row>
    <row r="770" spans="1:28" x14ac:dyDescent="0.4">
      <c r="A770" s="1" t="s">
        <v>93</v>
      </c>
      <c r="B770" s="1">
        <v>4000</v>
      </c>
      <c r="C770" s="1">
        <v>0.4</v>
      </c>
      <c r="D770" s="1">
        <v>0.5</v>
      </c>
      <c r="E770" s="1">
        <v>1000</v>
      </c>
      <c r="F770" s="1">
        <v>1</v>
      </c>
      <c r="G770" s="1">
        <v>4</v>
      </c>
      <c r="H770" s="1" t="s">
        <v>595</v>
      </c>
      <c r="I770" s="1">
        <v>172274.8</v>
      </c>
      <c r="J770" s="1">
        <v>71609</v>
      </c>
      <c r="K770" s="1">
        <v>100665.8</v>
      </c>
      <c r="L770" s="1">
        <v>1200</v>
      </c>
      <c r="M770" s="1">
        <v>0.78</v>
      </c>
      <c r="N770" s="1">
        <v>49777.3</v>
      </c>
      <c r="O770" s="1">
        <v>73746</v>
      </c>
      <c r="P770" s="1">
        <v>123523.3</v>
      </c>
      <c r="Q770" s="1">
        <v>21504</v>
      </c>
      <c r="R770" s="1">
        <v>9208.7999999999993</v>
      </c>
      <c r="S770" s="1">
        <v>30712.799999999999</v>
      </c>
      <c r="T770" s="1">
        <v>10.47</v>
      </c>
      <c r="U770" s="1">
        <v>0.16</v>
      </c>
      <c r="V770" s="1">
        <v>8785.6</v>
      </c>
      <c r="W770" s="1">
        <v>30289.599999999999</v>
      </c>
      <c r="X770" s="1">
        <v>0.94</v>
      </c>
      <c r="Y770" s="1">
        <v>726</v>
      </c>
      <c r="Z770" s="1">
        <v>153812.9</v>
      </c>
      <c r="AA770" s="1">
        <v>10.72</v>
      </c>
      <c r="AB770" s="1">
        <v>4000</v>
      </c>
    </row>
    <row r="771" spans="1:28" x14ac:dyDescent="0.4">
      <c r="A771" s="1" t="s">
        <v>94</v>
      </c>
      <c r="B771" s="1">
        <v>4000</v>
      </c>
      <c r="C771" s="1">
        <v>0.4</v>
      </c>
      <c r="D771" s="1">
        <v>0.5</v>
      </c>
      <c r="E771" s="1">
        <v>1000</v>
      </c>
      <c r="F771" s="1">
        <v>1</v>
      </c>
      <c r="G771" s="1">
        <v>5</v>
      </c>
      <c r="H771" s="1" t="s">
        <v>595</v>
      </c>
      <c r="I771" s="1">
        <v>177440</v>
      </c>
      <c r="J771" s="1">
        <v>71930.2</v>
      </c>
      <c r="K771" s="1">
        <v>105509.8</v>
      </c>
      <c r="L771" s="1">
        <v>1200</v>
      </c>
      <c r="M771" s="1">
        <v>0.77</v>
      </c>
      <c r="N771" s="1">
        <v>54272.2</v>
      </c>
      <c r="O771" s="1">
        <v>79637.2</v>
      </c>
      <c r="P771" s="1">
        <v>133909.4</v>
      </c>
      <c r="Q771" s="1">
        <v>17557.8</v>
      </c>
      <c r="R771" s="1">
        <v>8029.6</v>
      </c>
      <c r="S771" s="1">
        <v>25587.4</v>
      </c>
      <c r="T771" s="1">
        <v>10.11</v>
      </c>
      <c r="U771" s="1">
        <v>0.13</v>
      </c>
      <c r="V771" s="1">
        <v>7885.2</v>
      </c>
      <c r="W771" s="1">
        <v>25443</v>
      </c>
      <c r="X771" s="1">
        <v>0.9</v>
      </c>
      <c r="Y771" s="1">
        <v>583</v>
      </c>
      <c r="Z771" s="1">
        <v>159352.4</v>
      </c>
      <c r="AA771" s="1">
        <v>10.19</v>
      </c>
      <c r="AB771" s="1">
        <v>4000</v>
      </c>
    </row>
    <row r="772" spans="1:28" x14ac:dyDescent="0.4">
      <c r="A772" s="1" t="s">
        <v>95</v>
      </c>
      <c r="B772" s="1">
        <v>4000</v>
      </c>
      <c r="C772" s="1">
        <v>0.4</v>
      </c>
      <c r="D772" s="1">
        <v>0.5</v>
      </c>
      <c r="E772" s="1">
        <v>1000</v>
      </c>
      <c r="F772" s="1">
        <v>2</v>
      </c>
      <c r="G772" s="1">
        <v>1</v>
      </c>
      <c r="H772" s="1" t="s">
        <v>595</v>
      </c>
      <c r="I772" s="1">
        <v>272984.8</v>
      </c>
      <c r="J772" s="1">
        <v>106266.9</v>
      </c>
      <c r="K772" s="1">
        <v>166717.9</v>
      </c>
      <c r="L772" s="1">
        <v>1200</v>
      </c>
      <c r="M772" s="1">
        <v>1.0900000000000001</v>
      </c>
      <c r="N772" s="1">
        <v>75488.399999999994</v>
      </c>
      <c r="O772" s="1">
        <v>120102.9</v>
      </c>
      <c r="P772" s="1">
        <v>195591.3</v>
      </c>
      <c r="Q772" s="1">
        <v>29976.9</v>
      </c>
      <c r="R772" s="1">
        <v>13300.6</v>
      </c>
      <c r="S772" s="1">
        <v>43277.5</v>
      </c>
      <c r="T772" s="1">
        <v>12.5</v>
      </c>
      <c r="U772" s="1">
        <v>0.39</v>
      </c>
      <c r="V772" s="1">
        <v>12819.7</v>
      </c>
      <c r="W772" s="1">
        <v>42796.6</v>
      </c>
      <c r="X772" s="1">
        <v>1.48</v>
      </c>
      <c r="Y772" s="1">
        <v>1080</v>
      </c>
      <c r="Z772" s="1">
        <v>238387.9</v>
      </c>
      <c r="AA772" s="1">
        <v>12.67</v>
      </c>
      <c r="AB772" s="1">
        <v>4000</v>
      </c>
    </row>
    <row r="773" spans="1:28" x14ac:dyDescent="0.4">
      <c r="A773" s="1" t="s">
        <v>96</v>
      </c>
      <c r="B773" s="1">
        <v>4000</v>
      </c>
      <c r="C773" s="1">
        <v>0.4</v>
      </c>
      <c r="D773" s="1">
        <v>0.5</v>
      </c>
      <c r="E773" s="1">
        <v>1000</v>
      </c>
      <c r="F773" s="1">
        <v>2</v>
      </c>
      <c r="G773" s="1">
        <v>2</v>
      </c>
      <c r="H773" s="1" t="s">
        <v>595</v>
      </c>
      <c r="I773" s="1">
        <v>263794</v>
      </c>
      <c r="J773" s="1">
        <v>97689.9</v>
      </c>
      <c r="K773" s="1">
        <v>166104.1</v>
      </c>
      <c r="L773" s="1">
        <v>1200</v>
      </c>
      <c r="M773" s="1">
        <v>1.05</v>
      </c>
      <c r="N773" s="1">
        <v>69145.399999999994</v>
      </c>
      <c r="O773" s="1">
        <v>119261.8</v>
      </c>
      <c r="P773" s="1">
        <v>188407.2</v>
      </c>
      <c r="Q773" s="1">
        <v>31753.8</v>
      </c>
      <c r="R773" s="1">
        <v>13445.8</v>
      </c>
      <c r="S773" s="1">
        <v>45199.6</v>
      </c>
      <c r="T773" s="1">
        <v>11.44</v>
      </c>
      <c r="U773" s="1">
        <v>0.42</v>
      </c>
      <c r="V773" s="1">
        <v>12788.3</v>
      </c>
      <c r="W773" s="1">
        <v>44542.1</v>
      </c>
      <c r="X773" s="1">
        <v>1.47</v>
      </c>
      <c r="Y773" s="1">
        <v>1118</v>
      </c>
      <c r="Z773" s="1">
        <v>232949.3</v>
      </c>
      <c r="AA773" s="1">
        <v>11.69</v>
      </c>
      <c r="AB773" s="1">
        <v>4000</v>
      </c>
    </row>
    <row r="774" spans="1:28" x14ac:dyDescent="0.4">
      <c r="A774" s="1" t="s">
        <v>97</v>
      </c>
      <c r="B774" s="1">
        <v>4000</v>
      </c>
      <c r="C774" s="1">
        <v>0.4</v>
      </c>
      <c r="D774" s="1">
        <v>0.5</v>
      </c>
      <c r="E774" s="1">
        <v>1000</v>
      </c>
      <c r="F774" s="1">
        <v>2</v>
      </c>
      <c r="G774" s="1">
        <v>3</v>
      </c>
      <c r="H774" s="1" t="s">
        <v>595</v>
      </c>
      <c r="I774" s="1">
        <v>267654.8</v>
      </c>
      <c r="J774" s="1">
        <v>104237.1</v>
      </c>
      <c r="K774" s="1">
        <v>163417.70000000001</v>
      </c>
      <c r="L774" s="1">
        <v>1200</v>
      </c>
      <c r="M774" s="1">
        <v>1.07</v>
      </c>
      <c r="N774" s="1">
        <v>72773</v>
      </c>
      <c r="O774" s="1">
        <v>117837.8</v>
      </c>
      <c r="P774" s="1">
        <v>190610.8</v>
      </c>
      <c r="Q774" s="1">
        <v>30611.200000000001</v>
      </c>
      <c r="R774" s="1">
        <v>13517.6</v>
      </c>
      <c r="S774" s="1">
        <v>44128.800000000003</v>
      </c>
      <c r="T774" s="1">
        <v>12.3</v>
      </c>
      <c r="U774" s="1">
        <v>0.41</v>
      </c>
      <c r="V774" s="1">
        <v>12706.9</v>
      </c>
      <c r="W774" s="1">
        <v>43318.1</v>
      </c>
      <c r="X774" s="1">
        <v>1.48</v>
      </c>
      <c r="Y774" s="1">
        <v>1076</v>
      </c>
      <c r="Z774" s="1">
        <v>233928.9</v>
      </c>
      <c r="AA774" s="1">
        <v>12.6</v>
      </c>
      <c r="AB774" s="1">
        <v>4000</v>
      </c>
    </row>
    <row r="775" spans="1:28" x14ac:dyDescent="0.4">
      <c r="A775" s="1" t="s">
        <v>98</v>
      </c>
      <c r="B775" s="1">
        <v>4000</v>
      </c>
      <c r="C775" s="1">
        <v>0.4</v>
      </c>
      <c r="D775" s="1">
        <v>0.5</v>
      </c>
      <c r="E775" s="1">
        <v>1000</v>
      </c>
      <c r="F775" s="1">
        <v>2</v>
      </c>
      <c r="G775" s="1">
        <v>4</v>
      </c>
      <c r="H775" s="1" t="s">
        <v>595</v>
      </c>
      <c r="I775" s="1">
        <v>271917.09999999998</v>
      </c>
      <c r="J775" s="1">
        <v>103980.4</v>
      </c>
      <c r="K775" s="1">
        <v>167936.7</v>
      </c>
      <c r="L775" s="1">
        <v>1200</v>
      </c>
      <c r="M775" s="1">
        <v>1.04</v>
      </c>
      <c r="N775" s="1">
        <v>72852</v>
      </c>
      <c r="O775" s="1">
        <v>119000.5</v>
      </c>
      <c r="P775" s="1">
        <v>191852.5</v>
      </c>
      <c r="Q775" s="1">
        <v>31655.3</v>
      </c>
      <c r="R775" s="1">
        <v>14000.2</v>
      </c>
      <c r="S775" s="1">
        <v>45655.5</v>
      </c>
      <c r="T775" s="1">
        <v>12.65</v>
      </c>
      <c r="U775" s="1">
        <v>0.42</v>
      </c>
      <c r="V775" s="1">
        <v>13312.1</v>
      </c>
      <c r="W775" s="1">
        <v>44967.4</v>
      </c>
      <c r="X775" s="1">
        <v>1.46</v>
      </c>
      <c r="Y775" s="1">
        <v>1122</v>
      </c>
      <c r="Z775" s="1">
        <v>236819.9</v>
      </c>
      <c r="AA775" s="1">
        <v>12.91</v>
      </c>
      <c r="AB775" s="1">
        <v>4000</v>
      </c>
    </row>
    <row r="776" spans="1:28" x14ac:dyDescent="0.4">
      <c r="A776" s="1" t="s">
        <v>99</v>
      </c>
      <c r="B776" s="1">
        <v>4000</v>
      </c>
      <c r="C776" s="1">
        <v>0.4</v>
      </c>
      <c r="D776" s="1">
        <v>0.5</v>
      </c>
      <c r="E776" s="1">
        <v>1000</v>
      </c>
      <c r="F776" s="1">
        <v>2</v>
      </c>
      <c r="G776" s="1">
        <v>5</v>
      </c>
      <c r="H776" s="1" t="s">
        <v>595</v>
      </c>
      <c r="I776" s="1">
        <v>276548.7</v>
      </c>
      <c r="J776" s="1">
        <v>105846.5</v>
      </c>
      <c r="K776" s="1">
        <v>170702.2</v>
      </c>
      <c r="L776" s="1">
        <v>1200</v>
      </c>
      <c r="M776" s="1">
        <v>1.1599999999999999</v>
      </c>
      <c r="N776" s="1">
        <v>74767.7</v>
      </c>
      <c r="O776" s="1">
        <v>121180.2</v>
      </c>
      <c r="P776" s="1">
        <v>195947.9</v>
      </c>
      <c r="Q776" s="1">
        <v>31013.7</v>
      </c>
      <c r="R776" s="1">
        <v>13647</v>
      </c>
      <c r="S776" s="1">
        <v>44660.7</v>
      </c>
      <c r="T776" s="1">
        <v>13</v>
      </c>
      <c r="U776" s="1">
        <v>0.41</v>
      </c>
      <c r="V776" s="1">
        <v>12852.2</v>
      </c>
      <c r="W776" s="1">
        <v>43865.9</v>
      </c>
      <c r="X776" s="1">
        <v>1.57</v>
      </c>
      <c r="Y776" s="1">
        <v>1108</v>
      </c>
      <c r="Z776" s="1">
        <v>239813.8</v>
      </c>
      <c r="AA776" s="1">
        <v>13.28</v>
      </c>
      <c r="AB776" s="1">
        <v>4000</v>
      </c>
    </row>
    <row r="777" spans="1:28" x14ac:dyDescent="0.4">
      <c r="A777" s="1" t="s">
        <v>100</v>
      </c>
      <c r="B777" s="1">
        <v>4000</v>
      </c>
      <c r="C777" s="1">
        <v>0.4</v>
      </c>
      <c r="D777" s="1">
        <v>0.5</v>
      </c>
      <c r="E777" s="1">
        <v>1000</v>
      </c>
      <c r="F777" s="1">
        <v>3</v>
      </c>
      <c r="G777" s="1">
        <v>1</v>
      </c>
      <c r="H777" s="1" t="s">
        <v>595</v>
      </c>
      <c r="I777" s="1">
        <v>341551.3</v>
      </c>
      <c r="J777" s="1">
        <v>129094.3</v>
      </c>
      <c r="K777" s="1">
        <v>212457</v>
      </c>
      <c r="L777" s="1">
        <v>1200</v>
      </c>
      <c r="M777" s="1">
        <v>1.53</v>
      </c>
      <c r="N777" s="1">
        <v>93030.3</v>
      </c>
      <c r="O777" s="1">
        <v>154448.1</v>
      </c>
      <c r="P777" s="1">
        <v>247478.39999999999</v>
      </c>
      <c r="Q777" s="1">
        <v>31824</v>
      </c>
      <c r="R777" s="1">
        <v>14440.3</v>
      </c>
      <c r="S777" s="1">
        <v>46264.3</v>
      </c>
      <c r="T777" s="1">
        <v>14</v>
      </c>
      <c r="U777" s="1">
        <v>0.51</v>
      </c>
      <c r="V777" s="1">
        <v>13700.9</v>
      </c>
      <c r="W777" s="1">
        <v>45524.9</v>
      </c>
      <c r="X777" s="1">
        <v>2.04</v>
      </c>
      <c r="Y777" s="1">
        <v>1135</v>
      </c>
      <c r="Z777" s="1">
        <v>293003.3</v>
      </c>
      <c r="AA777" s="1">
        <v>14.21</v>
      </c>
      <c r="AB777" s="1">
        <v>4000</v>
      </c>
    </row>
    <row r="778" spans="1:28" x14ac:dyDescent="0.4">
      <c r="A778" s="1" t="s">
        <v>101</v>
      </c>
      <c r="B778" s="1">
        <v>4000</v>
      </c>
      <c r="C778" s="1">
        <v>0.4</v>
      </c>
      <c r="D778" s="1">
        <v>0.5</v>
      </c>
      <c r="E778" s="1">
        <v>1000</v>
      </c>
      <c r="F778" s="1">
        <v>3</v>
      </c>
      <c r="G778" s="1">
        <v>2</v>
      </c>
      <c r="H778" s="1" t="s">
        <v>595</v>
      </c>
      <c r="I778" s="1">
        <v>359905</v>
      </c>
      <c r="J778" s="1">
        <v>140692.79999999999</v>
      </c>
      <c r="K778" s="1">
        <v>219212.2</v>
      </c>
      <c r="L778" s="1">
        <v>1200</v>
      </c>
      <c r="M778" s="1">
        <v>1.74</v>
      </c>
      <c r="N778" s="1">
        <v>101407.2</v>
      </c>
      <c r="O778" s="1">
        <v>162073.5</v>
      </c>
      <c r="P778" s="1">
        <v>263480.7</v>
      </c>
      <c r="Q778" s="1">
        <v>30249.599999999999</v>
      </c>
      <c r="R778" s="1">
        <v>14249.3</v>
      </c>
      <c r="S778" s="1">
        <v>44498.9</v>
      </c>
      <c r="T778" s="1">
        <v>14.43</v>
      </c>
      <c r="U778" s="1">
        <v>0.42</v>
      </c>
      <c r="V778" s="1">
        <v>13580.6</v>
      </c>
      <c r="W778" s="1">
        <v>43830.2</v>
      </c>
      <c r="X778" s="1">
        <v>2.16</v>
      </c>
      <c r="Y778" s="1">
        <v>1085</v>
      </c>
      <c r="Z778" s="1">
        <v>307310.90000000002</v>
      </c>
      <c r="AA778" s="1">
        <v>14.61</v>
      </c>
      <c r="AB778" s="1">
        <v>4000</v>
      </c>
    </row>
    <row r="779" spans="1:28" x14ac:dyDescent="0.4">
      <c r="A779" s="1" t="s">
        <v>102</v>
      </c>
      <c r="B779" s="1">
        <v>4000</v>
      </c>
      <c r="C779" s="1">
        <v>0.4</v>
      </c>
      <c r="D779" s="1">
        <v>0.5</v>
      </c>
      <c r="E779" s="1">
        <v>1000</v>
      </c>
      <c r="F779" s="1">
        <v>3</v>
      </c>
      <c r="G779" s="1">
        <v>3</v>
      </c>
      <c r="H779" s="1" t="s">
        <v>595</v>
      </c>
      <c r="I779" s="1">
        <v>346084.2</v>
      </c>
      <c r="J779" s="1">
        <v>139484.70000000001</v>
      </c>
      <c r="K779" s="1">
        <v>206599.5</v>
      </c>
      <c r="L779" s="1">
        <v>1200</v>
      </c>
      <c r="M779" s="1">
        <v>1.38</v>
      </c>
      <c r="N779" s="1">
        <v>101083.9</v>
      </c>
      <c r="O779" s="1">
        <v>150923.20000000001</v>
      </c>
      <c r="P779" s="1">
        <v>252007.1</v>
      </c>
      <c r="Q779" s="1">
        <v>31167.1</v>
      </c>
      <c r="R779" s="1">
        <v>13970.8</v>
      </c>
      <c r="S779" s="1">
        <v>45137.9</v>
      </c>
      <c r="T779" s="1">
        <v>14.14</v>
      </c>
      <c r="U779" s="1">
        <v>0.42</v>
      </c>
      <c r="V779" s="1">
        <v>13345.7</v>
      </c>
      <c r="W779" s="1">
        <v>44512.800000000003</v>
      </c>
      <c r="X779" s="1">
        <v>1.8</v>
      </c>
      <c r="Y779" s="1">
        <v>1130</v>
      </c>
      <c r="Z779" s="1">
        <v>296519.90000000002</v>
      </c>
      <c r="AA779" s="1">
        <v>14.32</v>
      </c>
      <c r="AB779" s="1">
        <v>4000</v>
      </c>
    </row>
    <row r="780" spans="1:28" x14ac:dyDescent="0.4">
      <c r="A780" s="1" t="s">
        <v>103</v>
      </c>
      <c r="B780" s="1">
        <v>4000</v>
      </c>
      <c r="C780" s="1">
        <v>0.4</v>
      </c>
      <c r="D780" s="1">
        <v>0.5</v>
      </c>
      <c r="E780" s="1">
        <v>1000</v>
      </c>
      <c r="F780" s="1">
        <v>3</v>
      </c>
      <c r="G780" s="1">
        <v>4</v>
      </c>
      <c r="H780" s="1" t="s">
        <v>595</v>
      </c>
      <c r="I780" s="1">
        <v>368365.6</v>
      </c>
      <c r="J780" s="1">
        <v>138650.29999999999</v>
      </c>
      <c r="K780" s="1">
        <v>229715.3</v>
      </c>
      <c r="L780" s="1">
        <v>1200</v>
      </c>
      <c r="M780" s="1">
        <v>1.84</v>
      </c>
      <c r="N780" s="1">
        <v>102027.9</v>
      </c>
      <c r="O780" s="1">
        <v>166914</v>
      </c>
      <c r="P780" s="1">
        <v>268941.90000000002</v>
      </c>
      <c r="Q780" s="1">
        <v>30833.3</v>
      </c>
      <c r="R780" s="1">
        <v>15185.2</v>
      </c>
      <c r="S780" s="1">
        <v>46018.5</v>
      </c>
      <c r="T780" s="1">
        <v>14.5</v>
      </c>
      <c r="U780" s="1">
        <v>0.48</v>
      </c>
      <c r="V780" s="1">
        <v>14383.4</v>
      </c>
      <c r="W780" s="1">
        <v>45216.7</v>
      </c>
      <c r="X780" s="1">
        <v>2.31</v>
      </c>
      <c r="Y780" s="1">
        <v>1113</v>
      </c>
      <c r="Z780" s="1">
        <v>314158.59999999998</v>
      </c>
      <c r="AA780" s="1">
        <v>14.72</v>
      </c>
      <c r="AB780" s="1">
        <v>4000</v>
      </c>
    </row>
    <row r="781" spans="1:28" x14ac:dyDescent="0.4">
      <c r="A781" s="1" t="s">
        <v>104</v>
      </c>
      <c r="B781" s="1">
        <v>4000</v>
      </c>
      <c r="C781" s="1">
        <v>0.4</v>
      </c>
      <c r="D781" s="1">
        <v>0.5</v>
      </c>
      <c r="E781" s="1">
        <v>1000</v>
      </c>
      <c r="F781" s="1">
        <v>3</v>
      </c>
      <c r="G781" s="1">
        <v>5</v>
      </c>
      <c r="H781" s="1" t="s">
        <v>595</v>
      </c>
      <c r="I781" s="1">
        <v>339263.6</v>
      </c>
      <c r="J781" s="1">
        <v>129708.3</v>
      </c>
      <c r="K781" s="1">
        <v>209555.3</v>
      </c>
      <c r="L781" s="1">
        <v>1200</v>
      </c>
      <c r="M781" s="1">
        <v>1.46</v>
      </c>
      <c r="N781" s="1">
        <v>96436.2</v>
      </c>
      <c r="O781" s="1">
        <v>157785.1</v>
      </c>
      <c r="P781" s="1">
        <v>254221.3</v>
      </c>
      <c r="Q781" s="1">
        <v>26953.8</v>
      </c>
      <c r="R781" s="1">
        <v>13393.1</v>
      </c>
      <c r="S781" s="1">
        <v>40346.9</v>
      </c>
      <c r="T781" s="1">
        <v>13.17</v>
      </c>
      <c r="U781" s="1">
        <v>0.35</v>
      </c>
      <c r="V781" s="1">
        <v>12823.9</v>
      </c>
      <c r="W781" s="1">
        <v>39777.699999999997</v>
      </c>
      <c r="X781" s="1">
        <v>1.82</v>
      </c>
      <c r="Y781" s="1">
        <v>940</v>
      </c>
      <c r="Z781" s="1">
        <v>293999</v>
      </c>
      <c r="AA781" s="1">
        <v>13.34</v>
      </c>
      <c r="AB781" s="1">
        <v>4000</v>
      </c>
    </row>
    <row r="782" spans="1:28" x14ac:dyDescent="0.4">
      <c r="A782" s="1" t="s">
        <v>437</v>
      </c>
      <c r="B782" s="1">
        <v>4000</v>
      </c>
      <c r="C782" s="1">
        <v>0.4</v>
      </c>
      <c r="D782" s="1">
        <v>0.5</v>
      </c>
      <c r="E782" s="1">
        <v>2000</v>
      </c>
      <c r="F782" s="1">
        <v>1</v>
      </c>
      <c r="G782" s="1">
        <v>1</v>
      </c>
      <c r="H782" s="1" t="s">
        <v>595</v>
      </c>
      <c r="I782" s="1">
        <v>359399</v>
      </c>
      <c r="J782" s="1">
        <v>142539.5</v>
      </c>
      <c r="K782" s="1">
        <v>216859.5</v>
      </c>
      <c r="L782" s="1">
        <v>1200</v>
      </c>
      <c r="M782" s="1">
        <v>0.71</v>
      </c>
      <c r="N782" s="1">
        <v>96504.6</v>
      </c>
      <c r="O782" s="1">
        <v>152107.9</v>
      </c>
      <c r="P782" s="1">
        <v>248612.5</v>
      </c>
      <c r="Q782" s="1">
        <v>32126.7</v>
      </c>
      <c r="R782" s="1">
        <v>14052.2</v>
      </c>
      <c r="S782" s="1">
        <v>46178.9</v>
      </c>
      <c r="T782" s="1">
        <v>17.98</v>
      </c>
      <c r="U782" s="1">
        <v>0.34</v>
      </c>
      <c r="V782" s="1">
        <v>13368.2</v>
      </c>
      <c r="W782" s="1">
        <v>45494.9</v>
      </c>
      <c r="X782" s="1">
        <v>1.06</v>
      </c>
      <c r="Y782" s="1">
        <v>1135</v>
      </c>
      <c r="Z782" s="1">
        <v>294107.40000000002</v>
      </c>
      <c r="AA782" s="1">
        <v>18.170000000000002</v>
      </c>
      <c r="AB782" s="1">
        <v>4000</v>
      </c>
    </row>
    <row r="783" spans="1:28" x14ac:dyDescent="0.4">
      <c r="A783" s="1" t="s">
        <v>438</v>
      </c>
      <c r="B783" s="1">
        <v>4000</v>
      </c>
      <c r="C783" s="1">
        <v>0.4</v>
      </c>
      <c r="D783" s="1">
        <v>0.5</v>
      </c>
      <c r="E783" s="1">
        <v>2000</v>
      </c>
      <c r="F783" s="1">
        <v>1</v>
      </c>
      <c r="G783" s="1">
        <v>2</v>
      </c>
      <c r="H783" s="1" t="s">
        <v>595</v>
      </c>
      <c r="I783" s="1">
        <v>357031.4</v>
      </c>
      <c r="J783" s="1">
        <v>141652.1</v>
      </c>
      <c r="K783" s="1">
        <v>215379.3</v>
      </c>
      <c r="L783" s="1">
        <v>1200</v>
      </c>
      <c r="M783" s="1">
        <v>0.83</v>
      </c>
      <c r="N783" s="1">
        <v>94684.1</v>
      </c>
      <c r="O783" s="1">
        <v>152982.29999999999</v>
      </c>
      <c r="P783" s="1">
        <v>247666.4</v>
      </c>
      <c r="Q783" s="1">
        <v>31509.7</v>
      </c>
      <c r="R783" s="1">
        <v>13697.9</v>
      </c>
      <c r="S783" s="1">
        <v>45207.6</v>
      </c>
      <c r="T783" s="1">
        <v>17.97</v>
      </c>
      <c r="U783" s="1">
        <v>0.37</v>
      </c>
      <c r="V783" s="1">
        <v>12947.2</v>
      </c>
      <c r="W783" s="1">
        <v>44456.9</v>
      </c>
      <c r="X783" s="1">
        <v>1.2</v>
      </c>
      <c r="Y783" s="1">
        <v>1137</v>
      </c>
      <c r="Z783" s="1">
        <v>292123.3</v>
      </c>
      <c r="AA783" s="1">
        <v>18.18</v>
      </c>
      <c r="AB783" s="1">
        <v>4000</v>
      </c>
    </row>
    <row r="784" spans="1:28" x14ac:dyDescent="0.4">
      <c r="A784" s="1" t="s">
        <v>439</v>
      </c>
      <c r="B784" s="1">
        <v>4000</v>
      </c>
      <c r="C784" s="1">
        <v>0.4</v>
      </c>
      <c r="D784" s="1">
        <v>0.5</v>
      </c>
      <c r="E784" s="1">
        <v>2000</v>
      </c>
      <c r="F784" s="1">
        <v>1</v>
      </c>
      <c r="G784" s="1">
        <v>3</v>
      </c>
      <c r="H784" s="1" t="s">
        <v>595</v>
      </c>
      <c r="I784" s="1">
        <v>354479.3</v>
      </c>
      <c r="J784" s="1">
        <v>137883.5</v>
      </c>
      <c r="K784" s="1">
        <v>216595.8</v>
      </c>
      <c r="L784" s="1">
        <v>1200</v>
      </c>
      <c r="M784" s="1">
        <v>0.78</v>
      </c>
      <c r="N784" s="1">
        <v>94611.1</v>
      </c>
      <c r="O784" s="1">
        <v>153123.4</v>
      </c>
      <c r="P784" s="1">
        <v>247734.5</v>
      </c>
      <c r="Q784" s="1">
        <v>32026.6</v>
      </c>
      <c r="R784" s="1">
        <v>13496</v>
      </c>
      <c r="S784" s="1">
        <v>45522.6</v>
      </c>
      <c r="T784" s="1">
        <v>17.27</v>
      </c>
      <c r="U784" s="1">
        <v>0.33</v>
      </c>
      <c r="V784" s="1">
        <v>12927.5</v>
      </c>
      <c r="W784" s="1">
        <v>44954.1</v>
      </c>
      <c r="X784" s="1">
        <v>1.1100000000000001</v>
      </c>
      <c r="Y784" s="1">
        <v>1142</v>
      </c>
      <c r="Z784" s="1">
        <v>292688.59999999998</v>
      </c>
      <c r="AA784" s="1">
        <v>17.43</v>
      </c>
      <c r="AB784" s="1">
        <v>4000</v>
      </c>
    </row>
    <row r="785" spans="1:28" x14ac:dyDescent="0.4">
      <c r="A785" s="1" t="s">
        <v>440</v>
      </c>
      <c r="B785" s="1">
        <v>4000</v>
      </c>
      <c r="C785" s="1">
        <v>0.4</v>
      </c>
      <c r="D785" s="1">
        <v>0.5</v>
      </c>
      <c r="E785" s="1">
        <v>2000</v>
      </c>
      <c r="F785" s="1">
        <v>1</v>
      </c>
      <c r="G785" s="1">
        <v>4</v>
      </c>
      <c r="H785" s="1" t="s">
        <v>595</v>
      </c>
      <c r="I785" s="1">
        <v>350005.1</v>
      </c>
      <c r="J785" s="1">
        <v>139952.9</v>
      </c>
      <c r="K785" s="1">
        <v>210052.2</v>
      </c>
      <c r="L785" s="1">
        <v>1200</v>
      </c>
      <c r="M785" s="1">
        <v>0.79</v>
      </c>
      <c r="N785" s="1">
        <v>94941.2</v>
      </c>
      <c r="O785" s="1">
        <v>148142.79999999999</v>
      </c>
      <c r="P785" s="1">
        <v>243084</v>
      </c>
      <c r="Q785" s="1">
        <v>30748.400000000001</v>
      </c>
      <c r="R785" s="1">
        <v>13581.1</v>
      </c>
      <c r="S785" s="1">
        <v>44329.5</v>
      </c>
      <c r="T785" s="1">
        <v>17.88</v>
      </c>
      <c r="U785" s="1">
        <v>0.39</v>
      </c>
      <c r="V785" s="1">
        <v>12917.3</v>
      </c>
      <c r="W785" s="1">
        <v>43665.7</v>
      </c>
      <c r="X785" s="1">
        <v>1.18</v>
      </c>
      <c r="Y785" s="1">
        <v>1096</v>
      </c>
      <c r="Z785" s="1">
        <v>286749.7</v>
      </c>
      <c r="AA785" s="1">
        <v>18.07</v>
      </c>
      <c r="AB785" s="1">
        <v>4000</v>
      </c>
    </row>
    <row r="786" spans="1:28" x14ac:dyDescent="0.4">
      <c r="A786" s="1" t="s">
        <v>441</v>
      </c>
      <c r="B786" s="1">
        <v>4000</v>
      </c>
      <c r="C786" s="1">
        <v>0.4</v>
      </c>
      <c r="D786" s="1">
        <v>0.5</v>
      </c>
      <c r="E786" s="1">
        <v>2000</v>
      </c>
      <c r="F786" s="1">
        <v>1</v>
      </c>
      <c r="G786" s="1">
        <v>5</v>
      </c>
      <c r="H786" s="1" t="s">
        <v>595</v>
      </c>
      <c r="I786" s="1">
        <v>349985</v>
      </c>
      <c r="J786" s="1">
        <v>143173.9</v>
      </c>
      <c r="K786" s="1">
        <v>206811.1</v>
      </c>
      <c r="L786" s="1">
        <v>1200</v>
      </c>
      <c r="M786" s="1">
        <v>0.75</v>
      </c>
      <c r="N786" s="1">
        <v>95682.6</v>
      </c>
      <c r="O786" s="1">
        <v>143092.79999999999</v>
      </c>
      <c r="P786" s="1">
        <v>238775.4</v>
      </c>
      <c r="Q786" s="1">
        <v>32905.1</v>
      </c>
      <c r="R786" s="1">
        <v>14018.2</v>
      </c>
      <c r="S786" s="1">
        <v>46923.3</v>
      </c>
      <c r="T786" s="1">
        <v>18.37</v>
      </c>
      <c r="U786" s="1">
        <v>0.38</v>
      </c>
      <c r="V786" s="1">
        <v>13448.6</v>
      </c>
      <c r="W786" s="1">
        <v>46353.7</v>
      </c>
      <c r="X786" s="1">
        <v>1.1200000000000001</v>
      </c>
      <c r="Y786" s="1">
        <v>1167</v>
      </c>
      <c r="Z786" s="1">
        <v>285129.09999999998</v>
      </c>
      <c r="AA786" s="1">
        <v>18.53</v>
      </c>
      <c r="AB786" s="1">
        <v>4000</v>
      </c>
    </row>
    <row r="787" spans="1:28" x14ac:dyDescent="0.4">
      <c r="A787" s="1" t="s">
        <v>442</v>
      </c>
      <c r="B787" s="1">
        <v>4000</v>
      </c>
      <c r="C787" s="1">
        <v>0.4</v>
      </c>
      <c r="D787" s="1">
        <v>0.5</v>
      </c>
      <c r="E787" s="1">
        <v>2000</v>
      </c>
      <c r="F787" s="1">
        <v>2</v>
      </c>
      <c r="G787" s="1">
        <v>1</v>
      </c>
      <c r="H787" s="1" t="s">
        <v>595</v>
      </c>
      <c r="I787" s="1">
        <v>530065.5</v>
      </c>
      <c r="J787" s="1">
        <v>200162.8</v>
      </c>
      <c r="K787" s="1">
        <v>329902.7</v>
      </c>
      <c r="L787" s="1">
        <v>1200</v>
      </c>
      <c r="M787" s="1">
        <v>1.93</v>
      </c>
      <c r="N787" s="1">
        <v>142754.6</v>
      </c>
      <c r="O787" s="1">
        <v>241658.6</v>
      </c>
      <c r="P787" s="1">
        <v>384413.2</v>
      </c>
      <c r="Q787" s="1">
        <v>31770.2</v>
      </c>
      <c r="R787" s="1">
        <v>14963.1</v>
      </c>
      <c r="S787" s="1">
        <v>46733.3</v>
      </c>
      <c r="T787" s="1">
        <v>18.66</v>
      </c>
      <c r="U787" s="1">
        <v>0.54</v>
      </c>
      <c r="V787" s="1">
        <v>14227.4</v>
      </c>
      <c r="W787" s="1">
        <v>45997.599999999999</v>
      </c>
      <c r="X787" s="1">
        <v>2.46</v>
      </c>
      <c r="Y787" s="1">
        <v>1140</v>
      </c>
      <c r="Z787" s="1">
        <v>430410.8</v>
      </c>
      <c r="AA787" s="1">
        <v>18.8</v>
      </c>
      <c r="AB787" s="1">
        <v>4000</v>
      </c>
    </row>
    <row r="788" spans="1:28" x14ac:dyDescent="0.4">
      <c r="A788" s="1" t="s">
        <v>443</v>
      </c>
      <c r="B788" s="1">
        <v>4000</v>
      </c>
      <c r="C788" s="1">
        <v>0.4</v>
      </c>
      <c r="D788" s="1">
        <v>0.5</v>
      </c>
      <c r="E788" s="1">
        <v>2000</v>
      </c>
      <c r="F788" s="1">
        <v>2</v>
      </c>
      <c r="G788" s="1">
        <v>2</v>
      </c>
      <c r="H788" s="1" t="s">
        <v>595</v>
      </c>
      <c r="I788" s="1">
        <v>544762.19999999995</v>
      </c>
      <c r="J788" s="1">
        <v>210074.1</v>
      </c>
      <c r="K788" s="1">
        <v>334688.09999999998</v>
      </c>
      <c r="L788" s="1">
        <v>1200</v>
      </c>
      <c r="M788" s="1">
        <v>2.02</v>
      </c>
      <c r="N788" s="1">
        <v>151385.70000000001</v>
      </c>
      <c r="O788" s="1">
        <v>245290.2</v>
      </c>
      <c r="P788" s="1">
        <v>396675.9</v>
      </c>
      <c r="Q788" s="1">
        <v>31509.7</v>
      </c>
      <c r="R788" s="1">
        <v>15306.2</v>
      </c>
      <c r="S788" s="1">
        <v>46815.9</v>
      </c>
      <c r="T788" s="1">
        <v>18.59</v>
      </c>
      <c r="U788" s="1">
        <v>0.55000000000000004</v>
      </c>
      <c r="V788" s="1">
        <v>14471.3</v>
      </c>
      <c r="W788" s="1">
        <v>45981</v>
      </c>
      <c r="X788" s="1">
        <v>2.57</v>
      </c>
      <c r="Y788" s="1">
        <v>1123</v>
      </c>
      <c r="Z788" s="1">
        <v>442656.9</v>
      </c>
      <c r="AA788" s="1">
        <v>18.739999999999998</v>
      </c>
      <c r="AB788" s="1">
        <v>4000</v>
      </c>
    </row>
    <row r="789" spans="1:28" x14ac:dyDescent="0.4">
      <c r="A789" s="1" t="s">
        <v>444</v>
      </c>
      <c r="B789" s="1">
        <v>4000</v>
      </c>
      <c r="C789" s="1">
        <v>0.4</v>
      </c>
      <c r="D789" s="1">
        <v>0.5</v>
      </c>
      <c r="E789" s="1">
        <v>2000</v>
      </c>
      <c r="F789" s="1">
        <v>2</v>
      </c>
      <c r="G789" s="1">
        <v>3</v>
      </c>
      <c r="H789" s="1" t="s">
        <v>595</v>
      </c>
      <c r="I789" s="1">
        <v>530652.9</v>
      </c>
      <c r="J789" s="1">
        <v>203092.4</v>
      </c>
      <c r="K789" s="1">
        <v>327560.5</v>
      </c>
      <c r="L789" s="1">
        <v>1200</v>
      </c>
      <c r="M789" s="1">
        <v>1.87</v>
      </c>
      <c r="N789" s="1">
        <v>145493.29999999999</v>
      </c>
      <c r="O789" s="1">
        <v>238294.1</v>
      </c>
      <c r="P789" s="1">
        <v>383787.4</v>
      </c>
      <c r="Q789" s="1">
        <v>31440.6</v>
      </c>
      <c r="R789" s="1">
        <v>15080</v>
      </c>
      <c r="S789" s="1">
        <v>46520.6</v>
      </c>
      <c r="T789" s="1">
        <v>18.91</v>
      </c>
      <c r="U789" s="1">
        <v>0.49</v>
      </c>
      <c r="V789" s="1">
        <v>14328.1</v>
      </c>
      <c r="W789" s="1">
        <v>45768.7</v>
      </c>
      <c r="X789" s="1">
        <v>2.36</v>
      </c>
      <c r="Y789" s="1">
        <v>1138</v>
      </c>
      <c r="Z789" s="1">
        <v>429556.1</v>
      </c>
      <c r="AA789" s="1">
        <v>19.05</v>
      </c>
      <c r="AB789" s="1">
        <v>4000</v>
      </c>
    </row>
    <row r="790" spans="1:28" x14ac:dyDescent="0.4">
      <c r="A790" s="1" t="s">
        <v>445</v>
      </c>
      <c r="B790" s="1">
        <v>4000</v>
      </c>
      <c r="C790" s="1">
        <v>0.4</v>
      </c>
      <c r="D790" s="1">
        <v>0.5</v>
      </c>
      <c r="E790" s="1">
        <v>2000</v>
      </c>
      <c r="F790" s="1">
        <v>2</v>
      </c>
      <c r="G790" s="1">
        <v>4</v>
      </c>
      <c r="H790" s="1" t="s">
        <v>595</v>
      </c>
      <c r="I790" s="1">
        <v>541149</v>
      </c>
      <c r="J790" s="1">
        <v>207558.3</v>
      </c>
      <c r="K790" s="1">
        <v>333590.7</v>
      </c>
      <c r="L790" s="1">
        <v>1200</v>
      </c>
      <c r="M790" s="1">
        <v>1.86</v>
      </c>
      <c r="N790" s="1">
        <v>146822.20000000001</v>
      </c>
      <c r="O790" s="1">
        <v>241174.8</v>
      </c>
      <c r="P790" s="1">
        <v>387997</v>
      </c>
      <c r="Q790" s="1">
        <v>32007.5</v>
      </c>
      <c r="R790" s="1">
        <v>15465.9</v>
      </c>
      <c r="S790" s="1">
        <v>47473.4</v>
      </c>
      <c r="T790" s="1">
        <v>19.53</v>
      </c>
      <c r="U790" s="1">
        <v>0.51</v>
      </c>
      <c r="V790" s="1">
        <v>15035.2</v>
      </c>
      <c r="W790" s="1">
        <v>47042.7</v>
      </c>
      <c r="X790" s="1">
        <v>2.37</v>
      </c>
      <c r="Y790" s="1">
        <v>1143</v>
      </c>
      <c r="Z790" s="1">
        <v>435039.7</v>
      </c>
      <c r="AA790" s="1">
        <v>19.61</v>
      </c>
      <c r="AB790" s="1">
        <v>4000</v>
      </c>
    </row>
    <row r="791" spans="1:28" x14ac:dyDescent="0.4">
      <c r="A791" s="1" t="s">
        <v>446</v>
      </c>
      <c r="B791" s="1">
        <v>4000</v>
      </c>
      <c r="C791" s="1">
        <v>0.4</v>
      </c>
      <c r="D791" s="1">
        <v>0.5</v>
      </c>
      <c r="E791" s="1">
        <v>2000</v>
      </c>
      <c r="F791" s="1">
        <v>2</v>
      </c>
      <c r="G791" s="1">
        <v>5</v>
      </c>
      <c r="H791" s="1" t="s">
        <v>595</v>
      </c>
      <c r="I791" s="1">
        <v>541488.4</v>
      </c>
      <c r="J791" s="1">
        <v>211176</v>
      </c>
      <c r="K791" s="1">
        <v>330312.40000000002</v>
      </c>
      <c r="L791" s="1">
        <v>1200</v>
      </c>
      <c r="M791" s="1">
        <v>1.85</v>
      </c>
      <c r="N791" s="1">
        <v>153052.79999999999</v>
      </c>
      <c r="O791" s="1">
        <v>240692.5</v>
      </c>
      <c r="P791" s="1">
        <v>393745.3</v>
      </c>
      <c r="Q791" s="1">
        <v>31040.5</v>
      </c>
      <c r="R791" s="1">
        <v>14872.2</v>
      </c>
      <c r="S791" s="1">
        <v>45912.7</v>
      </c>
      <c r="T791" s="1">
        <v>18.809999999999999</v>
      </c>
      <c r="U791" s="1">
        <v>0.56000000000000005</v>
      </c>
      <c r="V791" s="1">
        <v>14073.6</v>
      </c>
      <c r="W791" s="1">
        <v>45114.1</v>
      </c>
      <c r="X791" s="1">
        <v>2.41</v>
      </c>
      <c r="Y791" s="1">
        <v>1125</v>
      </c>
      <c r="Z791" s="1">
        <v>438859.4</v>
      </c>
      <c r="AA791" s="1">
        <v>18.95</v>
      </c>
      <c r="AB791" s="1">
        <v>4000</v>
      </c>
    </row>
    <row r="792" spans="1:28" x14ac:dyDescent="0.4">
      <c r="A792" s="1" t="s">
        <v>447</v>
      </c>
      <c r="B792" s="1">
        <v>4000</v>
      </c>
      <c r="C792" s="1">
        <v>0.4</v>
      </c>
      <c r="D792" s="1">
        <v>0.5</v>
      </c>
      <c r="E792" s="1">
        <v>2000</v>
      </c>
      <c r="F792" s="1">
        <v>3</v>
      </c>
      <c r="G792" s="1">
        <v>1</v>
      </c>
      <c r="H792" s="1" t="s">
        <v>595</v>
      </c>
      <c r="I792" s="1">
        <v>690900.6</v>
      </c>
      <c r="J792" s="1">
        <v>273563.3</v>
      </c>
      <c r="K792" s="1">
        <v>417337.3</v>
      </c>
      <c r="L792" s="1">
        <v>1200</v>
      </c>
      <c r="M792" s="1">
        <v>3.1</v>
      </c>
      <c r="N792" s="1">
        <v>200768.9</v>
      </c>
      <c r="O792" s="1">
        <v>317050.8</v>
      </c>
      <c r="P792" s="1">
        <v>517819.7</v>
      </c>
      <c r="Q792" s="1">
        <v>31694.1</v>
      </c>
      <c r="R792" s="1">
        <v>15202.6</v>
      </c>
      <c r="S792" s="1">
        <v>46896.7</v>
      </c>
      <c r="T792" s="1">
        <v>18.260000000000002</v>
      </c>
      <c r="U792" s="1">
        <v>0.53</v>
      </c>
      <c r="V792" s="1">
        <v>14583</v>
      </c>
      <c r="W792" s="1">
        <v>46277.1</v>
      </c>
      <c r="X792" s="1">
        <v>3.63</v>
      </c>
      <c r="Y792" s="1">
        <v>1125</v>
      </c>
      <c r="Z792" s="1">
        <v>564096.80000000005</v>
      </c>
      <c r="AA792" s="1">
        <v>18.350000000000001</v>
      </c>
      <c r="AB792" s="1">
        <v>4000</v>
      </c>
    </row>
    <row r="793" spans="1:28" x14ac:dyDescent="0.4">
      <c r="A793" s="1" t="s">
        <v>448</v>
      </c>
      <c r="B793" s="1">
        <v>4000</v>
      </c>
      <c r="C793" s="1">
        <v>0.4</v>
      </c>
      <c r="D793" s="1">
        <v>0.5</v>
      </c>
      <c r="E793" s="1">
        <v>2000</v>
      </c>
      <c r="F793" s="1">
        <v>3</v>
      </c>
      <c r="G793" s="1">
        <v>2</v>
      </c>
      <c r="H793" s="1" t="s">
        <v>595</v>
      </c>
      <c r="I793" s="1">
        <v>683230.4</v>
      </c>
      <c r="J793" s="1">
        <v>258189.2</v>
      </c>
      <c r="K793" s="1">
        <v>425041.2</v>
      </c>
      <c r="L793" s="1">
        <v>1200</v>
      </c>
      <c r="M793" s="1">
        <v>2.96</v>
      </c>
      <c r="N793" s="1">
        <v>186095.3</v>
      </c>
      <c r="O793" s="1">
        <v>314738.3</v>
      </c>
      <c r="P793" s="1">
        <v>500833.6</v>
      </c>
      <c r="Q793" s="1">
        <v>32271.4</v>
      </c>
      <c r="R793" s="1">
        <v>15665.1</v>
      </c>
      <c r="S793" s="1">
        <v>47936.5</v>
      </c>
      <c r="T793" s="1">
        <v>19.68</v>
      </c>
      <c r="U793" s="1">
        <v>0.54</v>
      </c>
      <c r="V793" s="1">
        <v>14994.4</v>
      </c>
      <c r="W793" s="1">
        <v>47265.8</v>
      </c>
      <c r="X793" s="1">
        <v>3.5</v>
      </c>
      <c r="Y793" s="1">
        <v>1141</v>
      </c>
      <c r="Z793" s="1">
        <v>548099.4</v>
      </c>
      <c r="AA793" s="1">
        <v>19.78</v>
      </c>
      <c r="AB793" s="1">
        <v>4000</v>
      </c>
    </row>
    <row r="794" spans="1:28" x14ac:dyDescent="0.4">
      <c r="A794" s="1" t="s">
        <v>449</v>
      </c>
      <c r="B794" s="1">
        <v>4000</v>
      </c>
      <c r="C794" s="1">
        <v>0.4</v>
      </c>
      <c r="D794" s="1">
        <v>0.5</v>
      </c>
      <c r="E794" s="1">
        <v>2000</v>
      </c>
      <c r="F794" s="1">
        <v>3</v>
      </c>
      <c r="G794" s="1">
        <v>3</v>
      </c>
      <c r="H794" s="1" t="s">
        <v>595</v>
      </c>
      <c r="I794" s="1">
        <v>685319.4</v>
      </c>
      <c r="J794" s="1">
        <v>263709.59999999998</v>
      </c>
      <c r="K794" s="1">
        <v>421609.8</v>
      </c>
      <c r="L794" s="1">
        <v>1200</v>
      </c>
      <c r="M794" s="1">
        <v>2.89</v>
      </c>
      <c r="N794" s="1">
        <v>192078.7</v>
      </c>
      <c r="O794" s="1">
        <v>314378.8</v>
      </c>
      <c r="P794" s="1">
        <v>506457.5</v>
      </c>
      <c r="Q794" s="1">
        <v>30843.5</v>
      </c>
      <c r="R794" s="1">
        <v>15902.9</v>
      </c>
      <c r="S794" s="1">
        <v>46746.400000000001</v>
      </c>
      <c r="T794" s="1">
        <v>19.28</v>
      </c>
      <c r="U794" s="1">
        <v>0.53</v>
      </c>
      <c r="V794" s="1">
        <v>15271.2</v>
      </c>
      <c r="W794" s="1">
        <v>46114.7</v>
      </c>
      <c r="X794" s="1">
        <v>3.42</v>
      </c>
      <c r="Y794" s="1">
        <v>1114</v>
      </c>
      <c r="Z794" s="1">
        <v>552572.19999999995</v>
      </c>
      <c r="AA794" s="1">
        <v>19.37</v>
      </c>
      <c r="AB794" s="1">
        <v>4000</v>
      </c>
    </row>
    <row r="795" spans="1:28" x14ac:dyDescent="0.4">
      <c r="A795" s="1" t="s">
        <v>450</v>
      </c>
      <c r="B795" s="1">
        <v>4000</v>
      </c>
      <c r="C795" s="1">
        <v>0.4</v>
      </c>
      <c r="D795" s="1">
        <v>0.5</v>
      </c>
      <c r="E795" s="1">
        <v>2000</v>
      </c>
      <c r="F795" s="1">
        <v>3</v>
      </c>
      <c r="G795" s="1">
        <v>4</v>
      </c>
      <c r="H795" s="1" t="s">
        <v>595</v>
      </c>
      <c r="I795" s="1">
        <v>705555.1</v>
      </c>
      <c r="J795" s="1">
        <v>275391</v>
      </c>
      <c r="K795" s="1">
        <v>430164.1</v>
      </c>
      <c r="L795" s="1">
        <v>1200</v>
      </c>
      <c r="M795" s="1">
        <v>3.09</v>
      </c>
      <c r="N795" s="1">
        <v>201347.8</v>
      </c>
      <c r="O795" s="1">
        <v>320953.7</v>
      </c>
      <c r="P795" s="1">
        <v>522301.5</v>
      </c>
      <c r="Q795" s="1">
        <v>31594.3</v>
      </c>
      <c r="R795" s="1">
        <v>15513.7</v>
      </c>
      <c r="S795" s="1">
        <v>47108</v>
      </c>
      <c r="T795" s="1">
        <v>19.3</v>
      </c>
      <c r="U795" s="1">
        <v>0.52</v>
      </c>
      <c r="V795" s="1">
        <v>14638.7</v>
      </c>
      <c r="W795" s="1">
        <v>46233</v>
      </c>
      <c r="X795" s="1">
        <v>3.6</v>
      </c>
      <c r="Y795" s="1">
        <v>1116</v>
      </c>
      <c r="Z795" s="1">
        <v>568534.5</v>
      </c>
      <c r="AA795" s="1">
        <v>19.420000000000002</v>
      </c>
      <c r="AB795" s="1">
        <v>4000</v>
      </c>
    </row>
    <row r="796" spans="1:28" x14ac:dyDescent="0.4">
      <c r="A796" s="1" t="s">
        <v>451</v>
      </c>
      <c r="B796" s="1">
        <v>4000</v>
      </c>
      <c r="C796" s="1">
        <v>0.4</v>
      </c>
      <c r="D796" s="1">
        <v>0.5</v>
      </c>
      <c r="E796" s="1">
        <v>2000</v>
      </c>
      <c r="F796" s="1">
        <v>3</v>
      </c>
      <c r="G796" s="1">
        <v>5</v>
      </c>
      <c r="H796" s="1" t="s">
        <v>595</v>
      </c>
      <c r="I796" s="1">
        <v>690650.8</v>
      </c>
      <c r="J796" s="1">
        <v>277328.40000000002</v>
      </c>
      <c r="K796" s="1">
        <v>413322.4</v>
      </c>
      <c r="L796" s="1">
        <v>1200</v>
      </c>
      <c r="M796" s="1">
        <v>2.7</v>
      </c>
      <c r="N796" s="1">
        <v>202249.2</v>
      </c>
      <c r="O796" s="1">
        <v>306832.90000000002</v>
      </c>
      <c r="P796" s="1">
        <v>509082.1</v>
      </c>
      <c r="Q796" s="1">
        <v>31648.7</v>
      </c>
      <c r="R796" s="1">
        <v>15628.1</v>
      </c>
      <c r="S796" s="1">
        <v>47276.800000000003</v>
      </c>
      <c r="T796" s="1">
        <v>19.440000000000001</v>
      </c>
      <c r="U796" s="1">
        <v>0.55000000000000004</v>
      </c>
      <c r="V796" s="1">
        <v>14787</v>
      </c>
      <c r="W796" s="1">
        <v>46435.7</v>
      </c>
      <c r="X796" s="1">
        <v>3.24</v>
      </c>
      <c r="Y796" s="1">
        <v>1111</v>
      </c>
      <c r="Z796" s="1">
        <v>555517.80000000005</v>
      </c>
      <c r="AA796" s="1">
        <v>19.57</v>
      </c>
      <c r="AB796" s="1">
        <v>4000</v>
      </c>
    </row>
    <row r="797" spans="1:28" x14ac:dyDescent="0.4">
      <c r="A797" s="1" t="s">
        <v>452</v>
      </c>
      <c r="B797" s="1">
        <v>4000</v>
      </c>
      <c r="C797" s="1">
        <v>0.4</v>
      </c>
      <c r="D797" s="1">
        <v>0.5</v>
      </c>
      <c r="E797" s="1">
        <v>500</v>
      </c>
      <c r="F797" s="1">
        <v>1</v>
      </c>
      <c r="G797" s="1">
        <v>1</v>
      </c>
      <c r="H797" s="1" t="s">
        <v>595</v>
      </c>
      <c r="I797" s="1">
        <v>87661.1</v>
      </c>
      <c r="J797" s="1">
        <v>35162.800000000003</v>
      </c>
      <c r="K797" s="1">
        <v>52498.3</v>
      </c>
      <c r="L797" s="1">
        <v>1200</v>
      </c>
      <c r="M797" s="1">
        <v>0.98</v>
      </c>
      <c r="N797" s="1">
        <v>29982.3</v>
      </c>
      <c r="O797" s="1">
        <v>45331.7</v>
      </c>
      <c r="P797" s="1">
        <v>75314</v>
      </c>
      <c r="Q797" s="1">
        <v>5507</v>
      </c>
      <c r="R797" s="1">
        <v>2279.9</v>
      </c>
      <c r="S797" s="1">
        <v>7786.9</v>
      </c>
      <c r="T797" s="1">
        <v>5.2</v>
      </c>
      <c r="U797" s="1">
        <v>0</v>
      </c>
      <c r="V797" s="1">
        <v>2233.5</v>
      </c>
      <c r="W797" s="1">
        <v>7740.5</v>
      </c>
      <c r="X797" s="1">
        <v>0.99</v>
      </c>
      <c r="Y797" s="1">
        <v>165</v>
      </c>
      <c r="Z797" s="1">
        <v>83054.5</v>
      </c>
      <c r="AA797" s="1">
        <v>5.26</v>
      </c>
      <c r="AB797" s="1">
        <v>4000</v>
      </c>
    </row>
    <row r="798" spans="1:28" x14ac:dyDescent="0.4">
      <c r="A798" s="1" t="s">
        <v>453</v>
      </c>
      <c r="B798" s="1">
        <v>4000</v>
      </c>
      <c r="C798" s="1">
        <v>0.4</v>
      </c>
      <c r="D798" s="1">
        <v>0.5</v>
      </c>
      <c r="E798" s="1">
        <v>500</v>
      </c>
      <c r="F798" s="1">
        <v>1</v>
      </c>
      <c r="G798" s="1">
        <v>2</v>
      </c>
      <c r="H798" s="1" t="s">
        <v>595</v>
      </c>
      <c r="I798" s="1">
        <v>89703.4</v>
      </c>
      <c r="J798" s="1">
        <v>36386.6</v>
      </c>
      <c r="K798" s="1">
        <v>53316.800000000003</v>
      </c>
      <c r="L798" s="1">
        <v>1200</v>
      </c>
      <c r="M798" s="1">
        <v>0.98</v>
      </c>
      <c r="N798" s="1">
        <v>28321</v>
      </c>
      <c r="O798" s="1">
        <v>44132.2</v>
      </c>
      <c r="P798" s="1">
        <v>72453.2</v>
      </c>
      <c r="Q798" s="1">
        <v>8677.9</v>
      </c>
      <c r="R798" s="1">
        <v>3341.6</v>
      </c>
      <c r="S798" s="1">
        <v>12019.5</v>
      </c>
      <c r="T798" s="1">
        <v>5.83</v>
      </c>
      <c r="U798" s="1">
        <v>0.01</v>
      </c>
      <c r="V798" s="1">
        <v>3254.1</v>
      </c>
      <c r="W798" s="1">
        <v>11932</v>
      </c>
      <c r="X798" s="1">
        <v>0.99</v>
      </c>
      <c r="Y798" s="1">
        <v>281</v>
      </c>
      <c r="Z798" s="1">
        <v>84385.2</v>
      </c>
      <c r="AA798" s="1">
        <v>5.93</v>
      </c>
      <c r="AB798" s="1">
        <v>4000</v>
      </c>
    </row>
    <row r="799" spans="1:28" x14ac:dyDescent="0.4">
      <c r="A799" s="1" t="s">
        <v>454</v>
      </c>
      <c r="B799" s="1">
        <v>4000</v>
      </c>
      <c r="C799" s="1">
        <v>0.4</v>
      </c>
      <c r="D799" s="1">
        <v>0.5</v>
      </c>
      <c r="E799" s="1">
        <v>500</v>
      </c>
      <c r="F799" s="1">
        <v>1</v>
      </c>
      <c r="G799" s="1">
        <v>3</v>
      </c>
      <c r="H799" s="1" t="s">
        <v>595</v>
      </c>
      <c r="I799" s="1">
        <v>91355.9</v>
      </c>
      <c r="J799" s="1">
        <v>35827.599999999999</v>
      </c>
      <c r="K799" s="1">
        <v>55528.3</v>
      </c>
      <c r="L799" s="1">
        <v>1200</v>
      </c>
      <c r="M799" s="1">
        <v>1.03</v>
      </c>
      <c r="N799" s="1">
        <v>31309</v>
      </c>
      <c r="O799" s="1">
        <v>48719.1</v>
      </c>
      <c r="P799" s="1">
        <v>80028.100000000006</v>
      </c>
      <c r="Q799" s="1">
        <v>4545</v>
      </c>
      <c r="R799" s="1">
        <v>2054.3000000000002</v>
      </c>
      <c r="S799" s="1">
        <v>6599.3</v>
      </c>
      <c r="T799" s="1">
        <v>5.18</v>
      </c>
      <c r="U799" s="1">
        <v>0</v>
      </c>
      <c r="V799" s="1">
        <v>1984.9</v>
      </c>
      <c r="W799" s="1">
        <v>6529.9</v>
      </c>
      <c r="X799" s="1">
        <v>1.03</v>
      </c>
      <c r="Y799" s="1">
        <v>143</v>
      </c>
      <c r="Z799" s="1">
        <v>86558</v>
      </c>
      <c r="AA799" s="1">
        <v>5.25</v>
      </c>
      <c r="AB799" s="1">
        <v>4000</v>
      </c>
    </row>
    <row r="800" spans="1:28" x14ac:dyDescent="0.4">
      <c r="A800" s="1" t="s">
        <v>455</v>
      </c>
      <c r="B800" s="1">
        <v>4000</v>
      </c>
      <c r="C800" s="1">
        <v>0.4</v>
      </c>
      <c r="D800" s="1">
        <v>0.5</v>
      </c>
      <c r="E800" s="1">
        <v>500</v>
      </c>
      <c r="F800" s="1">
        <v>1</v>
      </c>
      <c r="G800" s="1">
        <v>4</v>
      </c>
      <c r="H800" s="1" t="s">
        <v>595</v>
      </c>
      <c r="I800" s="1">
        <v>87928.6</v>
      </c>
      <c r="J800" s="1">
        <v>35207.4</v>
      </c>
      <c r="K800" s="1">
        <v>52721.2</v>
      </c>
      <c r="L800" s="1">
        <v>1200</v>
      </c>
      <c r="M800" s="1">
        <v>1</v>
      </c>
      <c r="N800" s="1">
        <v>28271.9</v>
      </c>
      <c r="O800" s="1">
        <v>43899.1</v>
      </c>
      <c r="P800" s="1">
        <v>72171</v>
      </c>
      <c r="Q800" s="1">
        <v>7697.2</v>
      </c>
      <c r="R800" s="1">
        <v>3156.4</v>
      </c>
      <c r="S800" s="1">
        <v>10853.6</v>
      </c>
      <c r="T800" s="1">
        <v>5.58</v>
      </c>
      <c r="U800" s="1">
        <v>0.01</v>
      </c>
      <c r="V800" s="1">
        <v>3016.8</v>
      </c>
      <c r="W800" s="1">
        <v>10714</v>
      </c>
      <c r="X800" s="1">
        <v>1</v>
      </c>
      <c r="Y800" s="1">
        <v>228</v>
      </c>
      <c r="Z800" s="1">
        <v>82885</v>
      </c>
      <c r="AA800" s="1">
        <v>5.74</v>
      </c>
      <c r="AB800" s="1">
        <v>4000</v>
      </c>
    </row>
    <row r="801" spans="1:28" x14ac:dyDescent="0.4">
      <c r="A801" s="1" t="s">
        <v>456</v>
      </c>
      <c r="B801" s="1">
        <v>4000</v>
      </c>
      <c r="C801" s="1">
        <v>0.4</v>
      </c>
      <c r="D801" s="1">
        <v>0.5</v>
      </c>
      <c r="E801" s="1">
        <v>500</v>
      </c>
      <c r="F801" s="1">
        <v>1</v>
      </c>
      <c r="G801" s="1">
        <v>5</v>
      </c>
      <c r="H801" s="1" t="s">
        <v>595</v>
      </c>
      <c r="I801" s="1">
        <v>88814</v>
      </c>
      <c r="J801" s="1">
        <v>36737.1</v>
      </c>
      <c r="K801" s="1">
        <v>52076.9</v>
      </c>
      <c r="L801" s="1">
        <v>1200</v>
      </c>
      <c r="M801" s="1">
        <v>0.96</v>
      </c>
      <c r="N801" s="1">
        <v>30867.4</v>
      </c>
      <c r="O801" s="1">
        <v>44720.6</v>
      </c>
      <c r="P801" s="1">
        <v>75588</v>
      </c>
      <c r="Q801" s="1">
        <v>5834.1</v>
      </c>
      <c r="R801" s="1">
        <v>2448.8000000000002</v>
      </c>
      <c r="S801" s="1">
        <v>8282.9</v>
      </c>
      <c r="T801" s="1">
        <v>5.57</v>
      </c>
      <c r="U801" s="1">
        <v>0.01</v>
      </c>
      <c r="V801" s="1">
        <v>2405</v>
      </c>
      <c r="W801" s="1">
        <v>8239.1</v>
      </c>
      <c r="X801" s="1">
        <v>0.96</v>
      </c>
      <c r="Y801" s="1">
        <v>183</v>
      </c>
      <c r="Z801" s="1">
        <v>83827.100000000006</v>
      </c>
      <c r="AA801" s="1">
        <v>5.61</v>
      </c>
      <c r="AB801" s="1">
        <v>4000</v>
      </c>
    </row>
    <row r="802" spans="1:28" x14ac:dyDescent="0.4">
      <c r="A802" s="1" t="s">
        <v>457</v>
      </c>
      <c r="B802" s="1">
        <v>4000</v>
      </c>
      <c r="C802" s="1">
        <v>0.4</v>
      </c>
      <c r="D802" s="1">
        <v>0.5</v>
      </c>
      <c r="E802" s="1">
        <v>500</v>
      </c>
      <c r="F802" s="1">
        <v>2</v>
      </c>
      <c r="G802" s="1">
        <v>1</v>
      </c>
      <c r="H802" s="1" t="s">
        <v>595</v>
      </c>
      <c r="I802" s="1">
        <v>137052.1</v>
      </c>
      <c r="J802" s="1">
        <v>54121</v>
      </c>
      <c r="K802" s="1">
        <v>82931.100000000006</v>
      </c>
      <c r="L802" s="1">
        <v>1200</v>
      </c>
      <c r="M802" s="1">
        <v>1.0900000000000001</v>
      </c>
      <c r="N802" s="1">
        <v>42045</v>
      </c>
      <c r="O802" s="1">
        <v>65344.4</v>
      </c>
      <c r="P802" s="1">
        <v>107389.4</v>
      </c>
      <c r="Q802" s="1">
        <v>14384.2</v>
      </c>
      <c r="R802" s="1">
        <v>6411.5</v>
      </c>
      <c r="S802" s="1">
        <v>20795.7</v>
      </c>
      <c r="T802" s="1">
        <v>6.47</v>
      </c>
      <c r="U802" s="1">
        <v>0.05</v>
      </c>
      <c r="V802" s="1">
        <v>6008.7</v>
      </c>
      <c r="W802" s="1">
        <v>20392.900000000001</v>
      </c>
      <c r="X802" s="1">
        <v>1.1399999999999999</v>
      </c>
      <c r="Y802" s="1">
        <v>519</v>
      </c>
      <c r="Z802" s="1">
        <v>127782.3</v>
      </c>
      <c r="AA802" s="1">
        <v>6.76</v>
      </c>
      <c r="AB802" s="1">
        <v>4000</v>
      </c>
    </row>
    <row r="803" spans="1:28" x14ac:dyDescent="0.4">
      <c r="A803" s="1" t="s">
        <v>458</v>
      </c>
      <c r="B803" s="1">
        <v>4000</v>
      </c>
      <c r="C803" s="1">
        <v>0.4</v>
      </c>
      <c r="D803" s="1">
        <v>0.5</v>
      </c>
      <c r="E803" s="1">
        <v>500</v>
      </c>
      <c r="F803" s="1">
        <v>2</v>
      </c>
      <c r="G803" s="1">
        <v>2</v>
      </c>
      <c r="H803" s="1" t="s">
        <v>595</v>
      </c>
      <c r="I803" s="1">
        <v>137294.79999999999</v>
      </c>
      <c r="J803" s="1">
        <v>54229.3</v>
      </c>
      <c r="K803" s="1">
        <v>83065.5</v>
      </c>
      <c r="L803" s="1">
        <v>1200</v>
      </c>
      <c r="M803" s="1">
        <v>1.07</v>
      </c>
      <c r="N803" s="1">
        <v>44282.3</v>
      </c>
      <c r="O803" s="1">
        <v>70394.899999999994</v>
      </c>
      <c r="P803" s="1">
        <v>114677.2</v>
      </c>
      <c r="Q803" s="1">
        <v>9039.2999999999993</v>
      </c>
      <c r="R803" s="1">
        <v>4394.3</v>
      </c>
      <c r="S803" s="1">
        <v>13433.6</v>
      </c>
      <c r="T803" s="1">
        <v>6.69</v>
      </c>
      <c r="U803" s="1">
        <v>0.02</v>
      </c>
      <c r="V803" s="1">
        <v>4198.3</v>
      </c>
      <c r="W803" s="1">
        <v>13237.6</v>
      </c>
      <c r="X803" s="1">
        <v>1.0900000000000001</v>
      </c>
      <c r="Y803" s="1">
        <v>291</v>
      </c>
      <c r="Z803" s="1">
        <v>127914.8</v>
      </c>
      <c r="AA803" s="1">
        <v>6.83</v>
      </c>
      <c r="AB803" s="1">
        <v>4000</v>
      </c>
    </row>
    <row r="804" spans="1:28" x14ac:dyDescent="0.4">
      <c r="A804" s="1" t="s">
        <v>459</v>
      </c>
      <c r="B804" s="1">
        <v>4000</v>
      </c>
      <c r="C804" s="1">
        <v>0.4</v>
      </c>
      <c r="D804" s="1">
        <v>0.5</v>
      </c>
      <c r="E804" s="1">
        <v>500</v>
      </c>
      <c r="F804" s="1">
        <v>2</v>
      </c>
      <c r="G804" s="1">
        <v>3</v>
      </c>
      <c r="H804" s="1" t="s">
        <v>595</v>
      </c>
      <c r="I804" s="1">
        <v>135124.1</v>
      </c>
      <c r="J804" s="1">
        <v>51690.400000000001</v>
      </c>
      <c r="K804" s="1">
        <v>83433.7</v>
      </c>
      <c r="L804" s="1">
        <v>1200</v>
      </c>
      <c r="M804" s="1">
        <v>1.1599999999999999</v>
      </c>
      <c r="N804" s="1">
        <v>38876.300000000003</v>
      </c>
      <c r="O804" s="1">
        <v>64526.7</v>
      </c>
      <c r="P804" s="1">
        <v>103403</v>
      </c>
      <c r="Q804" s="1">
        <v>15362</v>
      </c>
      <c r="R804" s="1">
        <v>6643.3</v>
      </c>
      <c r="S804" s="1">
        <v>22005.3</v>
      </c>
      <c r="T804" s="1">
        <v>7.19</v>
      </c>
      <c r="U804" s="1">
        <v>0.05</v>
      </c>
      <c r="V804" s="1">
        <v>6308.6</v>
      </c>
      <c r="W804" s="1">
        <v>21670.6</v>
      </c>
      <c r="X804" s="1">
        <v>1.21</v>
      </c>
      <c r="Y804" s="1">
        <v>525</v>
      </c>
      <c r="Z804" s="1">
        <v>125073.60000000001</v>
      </c>
      <c r="AA804" s="1">
        <v>7.44</v>
      </c>
      <c r="AB804" s="1">
        <v>4000</v>
      </c>
    </row>
    <row r="805" spans="1:28" x14ac:dyDescent="0.4">
      <c r="A805" s="1" t="s">
        <v>460</v>
      </c>
      <c r="B805" s="1">
        <v>4000</v>
      </c>
      <c r="C805" s="1">
        <v>0.4</v>
      </c>
      <c r="D805" s="1">
        <v>0.5</v>
      </c>
      <c r="E805" s="1">
        <v>500</v>
      </c>
      <c r="F805" s="1">
        <v>2</v>
      </c>
      <c r="G805" s="1">
        <v>4</v>
      </c>
      <c r="H805" s="1" t="s">
        <v>595</v>
      </c>
      <c r="I805" s="1">
        <v>135231.9</v>
      </c>
      <c r="J805" s="1">
        <v>54366.2</v>
      </c>
      <c r="K805" s="1">
        <v>80865.7</v>
      </c>
      <c r="L805" s="1">
        <v>1200</v>
      </c>
      <c r="M805" s="1">
        <v>1.1499999999999999</v>
      </c>
      <c r="N805" s="1">
        <v>44738.400000000001</v>
      </c>
      <c r="O805" s="1">
        <v>67095.5</v>
      </c>
      <c r="P805" s="1">
        <v>111833.9</v>
      </c>
      <c r="Q805" s="1">
        <v>11742.3</v>
      </c>
      <c r="R805" s="1">
        <v>5072.8999999999996</v>
      </c>
      <c r="S805" s="1">
        <v>16815.2</v>
      </c>
      <c r="T805" s="1">
        <v>4.87</v>
      </c>
      <c r="U805" s="1">
        <v>0.03</v>
      </c>
      <c r="V805" s="1">
        <v>4857.3999999999996</v>
      </c>
      <c r="W805" s="1">
        <v>16599.7</v>
      </c>
      <c r="X805" s="1">
        <v>1.18</v>
      </c>
      <c r="Y805" s="1">
        <v>392</v>
      </c>
      <c r="Z805" s="1">
        <v>128433.60000000001</v>
      </c>
      <c r="AA805" s="1">
        <v>5.03</v>
      </c>
      <c r="AB805" s="1">
        <v>4000</v>
      </c>
    </row>
    <row r="806" spans="1:28" x14ac:dyDescent="0.4">
      <c r="A806" s="1" t="s">
        <v>461</v>
      </c>
      <c r="B806" s="1">
        <v>4000</v>
      </c>
      <c r="C806" s="1">
        <v>0.4</v>
      </c>
      <c r="D806" s="1">
        <v>0.5</v>
      </c>
      <c r="E806" s="1">
        <v>500</v>
      </c>
      <c r="F806" s="1">
        <v>2</v>
      </c>
      <c r="G806" s="1">
        <v>5</v>
      </c>
      <c r="H806" s="1" t="s">
        <v>595</v>
      </c>
      <c r="I806" s="1">
        <v>136797.6</v>
      </c>
      <c r="J806" s="1">
        <v>54167</v>
      </c>
      <c r="K806" s="1">
        <v>82630.600000000006</v>
      </c>
      <c r="L806" s="1">
        <v>1200</v>
      </c>
      <c r="M806" s="1">
        <v>1.18</v>
      </c>
      <c r="N806" s="1">
        <v>43205.599999999999</v>
      </c>
      <c r="O806" s="1">
        <v>67459.8</v>
      </c>
      <c r="P806" s="1">
        <v>110665.4</v>
      </c>
      <c r="Q806" s="1">
        <v>12188.3</v>
      </c>
      <c r="R806" s="1">
        <v>5469.4</v>
      </c>
      <c r="S806" s="1">
        <v>17657.7</v>
      </c>
      <c r="T806" s="1">
        <v>6.19</v>
      </c>
      <c r="U806" s="1">
        <v>0.03</v>
      </c>
      <c r="V806" s="1">
        <v>5218.3999999999996</v>
      </c>
      <c r="W806" s="1">
        <v>17406.7</v>
      </c>
      <c r="X806" s="1">
        <v>1.21</v>
      </c>
      <c r="Y806" s="1">
        <v>402</v>
      </c>
      <c r="Z806" s="1">
        <v>128072.1</v>
      </c>
      <c r="AA806" s="1">
        <v>6.38</v>
      </c>
      <c r="AB806" s="1">
        <v>4000</v>
      </c>
    </row>
    <row r="807" spans="1:28" x14ac:dyDescent="0.4">
      <c r="A807" s="1" t="s">
        <v>462</v>
      </c>
      <c r="B807" s="1">
        <v>4000</v>
      </c>
      <c r="C807" s="1">
        <v>0.4</v>
      </c>
      <c r="D807" s="1">
        <v>0.5</v>
      </c>
      <c r="E807" s="1">
        <v>500</v>
      </c>
      <c r="F807" s="1">
        <v>3</v>
      </c>
      <c r="G807" s="1">
        <v>1</v>
      </c>
      <c r="H807" s="1" t="s">
        <v>595</v>
      </c>
      <c r="I807" s="1">
        <v>171391.1</v>
      </c>
      <c r="J807" s="1">
        <v>67717.2</v>
      </c>
      <c r="K807" s="1">
        <v>103673.9</v>
      </c>
      <c r="L807" s="1">
        <v>1200</v>
      </c>
      <c r="M807" s="1">
        <v>1.24</v>
      </c>
      <c r="N807" s="1">
        <v>52827.7</v>
      </c>
      <c r="O807" s="1">
        <v>82273.7</v>
      </c>
      <c r="P807" s="1">
        <v>135101.4</v>
      </c>
      <c r="Q807" s="1">
        <v>16670.400000000001</v>
      </c>
      <c r="R807" s="1">
        <v>8154</v>
      </c>
      <c r="S807" s="1">
        <v>24824.400000000001</v>
      </c>
      <c r="T807" s="1">
        <v>6.69</v>
      </c>
      <c r="U807" s="1">
        <v>0.12</v>
      </c>
      <c r="V807" s="1">
        <v>7743.5</v>
      </c>
      <c r="W807" s="1">
        <v>24413.9</v>
      </c>
      <c r="X807" s="1">
        <v>1.36</v>
      </c>
      <c r="Y807" s="1">
        <v>564</v>
      </c>
      <c r="Z807" s="1">
        <v>159515.29999999999</v>
      </c>
      <c r="AA807" s="1">
        <v>6.93</v>
      </c>
      <c r="AB807" s="1">
        <v>4000</v>
      </c>
    </row>
    <row r="808" spans="1:28" x14ac:dyDescent="0.4">
      <c r="A808" s="1" t="s">
        <v>463</v>
      </c>
      <c r="B808" s="1">
        <v>4000</v>
      </c>
      <c r="C808" s="1">
        <v>0.4</v>
      </c>
      <c r="D808" s="1">
        <v>0.5</v>
      </c>
      <c r="E808" s="1">
        <v>500</v>
      </c>
      <c r="F808" s="1">
        <v>3</v>
      </c>
      <c r="G808" s="1">
        <v>2</v>
      </c>
      <c r="H808" s="1" t="s">
        <v>595</v>
      </c>
      <c r="I808" s="1">
        <v>182732.3</v>
      </c>
      <c r="J808" s="1">
        <v>70909.8</v>
      </c>
      <c r="K808" s="1">
        <v>111822.5</v>
      </c>
      <c r="L808" s="1">
        <v>1200</v>
      </c>
      <c r="M808" s="1">
        <v>1.26</v>
      </c>
      <c r="N808" s="1">
        <v>54204.3</v>
      </c>
      <c r="O808" s="1">
        <v>86159.8</v>
      </c>
      <c r="P808" s="1">
        <v>140364.1</v>
      </c>
      <c r="Q808" s="1">
        <v>19652.2</v>
      </c>
      <c r="R808" s="1">
        <v>9260.4</v>
      </c>
      <c r="S808" s="1">
        <v>28912.6</v>
      </c>
      <c r="T808" s="1">
        <v>7.36</v>
      </c>
      <c r="U808" s="1">
        <v>0.17</v>
      </c>
      <c r="V808" s="1">
        <v>8634.9</v>
      </c>
      <c r="W808" s="1">
        <v>28287.1</v>
      </c>
      <c r="X808" s="1">
        <v>1.44</v>
      </c>
      <c r="Y808" s="1">
        <v>694</v>
      </c>
      <c r="Z808" s="1">
        <v>168651.2</v>
      </c>
      <c r="AA808" s="1">
        <v>7.71</v>
      </c>
      <c r="AB808" s="1">
        <v>4000</v>
      </c>
    </row>
    <row r="809" spans="1:28" x14ac:dyDescent="0.4">
      <c r="A809" s="1" t="s">
        <v>464</v>
      </c>
      <c r="B809" s="1">
        <v>4000</v>
      </c>
      <c r="C809" s="1">
        <v>0.4</v>
      </c>
      <c r="D809" s="1">
        <v>0.5</v>
      </c>
      <c r="E809" s="1">
        <v>500</v>
      </c>
      <c r="F809" s="1">
        <v>3</v>
      </c>
      <c r="G809" s="1">
        <v>3</v>
      </c>
      <c r="H809" s="1" t="s">
        <v>595</v>
      </c>
      <c r="I809" s="1">
        <v>170968.9</v>
      </c>
      <c r="J809" s="1">
        <v>66311</v>
      </c>
      <c r="K809" s="1">
        <v>104657.9</v>
      </c>
      <c r="L809" s="1">
        <v>1200</v>
      </c>
      <c r="M809" s="1">
        <v>1.25</v>
      </c>
      <c r="N809" s="1">
        <v>54073.9</v>
      </c>
      <c r="O809" s="1">
        <v>87379.7</v>
      </c>
      <c r="P809" s="1">
        <v>141453.6</v>
      </c>
      <c r="Q809" s="1">
        <v>12288.8</v>
      </c>
      <c r="R809" s="1">
        <v>5545.1</v>
      </c>
      <c r="S809" s="1">
        <v>17833.900000000001</v>
      </c>
      <c r="T809" s="1">
        <v>6.83</v>
      </c>
      <c r="U809" s="1">
        <v>0.04</v>
      </c>
      <c r="V809" s="1">
        <v>5251.2</v>
      </c>
      <c r="W809" s="1">
        <v>17540</v>
      </c>
      <c r="X809" s="1">
        <v>1.29</v>
      </c>
      <c r="Y809" s="1">
        <v>407</v>
      </c>
      <c r="Z809" s="1">
        <v>158993.60000000001</v>
      </c>
      <c r="AA809" s="1">
        <v>7</v>
      </c>
      <c r="AB809" s="1">
        <v>4000</v>
      </c>
    </row>
    <row r="810" spans="1:28" x14ac:dyDescent="0.4">
      <c r="A810" s="1" t="s">
        <v>465</v>
      </c>
      <c r="B810" s="1">
        <v>4000</v>
      </c>
      <c r="C810" s="1">
        <v>0.4</v>
      </c>
      <c r="D810" s="1">
        <v>0.5</v>
      </c>
      <c r="E810" s="1">
        <v>500</v>
      </c>
      <c r="F810" s="1">
        <v>3</v>
      </c>
      <c r="G810" s="1">
        <v>4</v>
      </c>
      <c r="H810" s="1" t="s">
        <v>595</v>
      </c>
      <c r="I810" s="1">
        <v>176088</v>
      </c>
      <c r="J810" s="1">
        <v>67017.2</v>
      </c>
      <c r="K810" s="1">
        <v>109070.8</v>
      </c>
      <c r="L810" s="1">
        <v>1200</v>
      </c>
      <c r="M810" s="1">
        <v>1.2</v>
      </c>
      <c r="N810" s="1">
        <v>51147.5</v>
      </c>
      <c r="O810" s="1">
        <v>86627.4</v>
      </c>
      <c r="P810" s="1">
        <v>137774.9</v>
      </c>
      <c r="Q810" s="1">
        <v>18153.8</v>
      </c>
      <c r="R810" s="1">
        <v>8731</v>
      </c>
      <c r="S810" s="1">
        <v>26884.799999999999</v>
      </c>
      <c r="T810" s="1">
        <v>6.49</v>
      </c>
      <c r="U810" s="1">
        <v>0.14000000000000001</v>
      </c>
      <c r="V810" s="1">
        <v>8116.2</v>
      </c>
      <c r="W810" s="1">
        <v>26270</v>
      </c>
      <c r="X810" s="1">
        <v>1.33</v>
      </c>
      <c r="Y810" s="1">
        <v>631</v>
      </c>
      <c r="Z810" s="1">
        <v>164044.9</v>
      </c>
      <c r="AA810" s="1">
        <v>6.84</v>
      </c>
      <c r="AB810" s="1">
        <v>4000</v>
      </c>
    </row>
    <row r="811" spans="1:28" x14ac:dyDescent="0.4">
      <c r="A811" s="1" t="s">
        <v>466</v>
      </c>
      <c r="B811" s="1">
        <v>4000</v>
      </c>
      <c r="C811" s="1">
        <v>0.4</v>
      </c>
      <c r="D811" s="1">
        <v>0.5</v>
      </c>
      <c r="E811" s="1">
        <v>500</v>
      </c>
      <c r="F811" s="1">
        <v>3</v>
      </c>
      <c r="G811" s="1">
        <v>5</v>
      </c>
      <c r="H811" s="1" t="s">
        <v>595</v>
      </c>
      <c r="I811" s="1">
        <v>180565.1</v>
      </c>
      <c r="J811" s="1">
        <v>70104.7</v>
      </c>
      <c r="K811" s="1">
        <v>110460.4</v>
      </c>
      <c r="L811" s="1">
        <v>1200</v>
      </c>
      <c r="M811" s="1">
        <v>1.1100000000000001</v>
      </c>
      <c r="N811" s="1">
        <v>52198.5</v>
      </c>
      <c r="O811" s="1">
        <v>82795.100000000006</v>
      </c>
      <c r="P811" s="1">
        <v>134993.60000000001</v>
      </c>
      <c r="Q811" s="1">
        <v>22410.6</v>
      </c>
      <c r="R811" s="1">
        <v>9968.1</v>
      </c>
      <c r="S811" s="1">
        <v>32378.7</v>
      </c>
      <c r="T811" s="1">
        <v>7.31</v>
      </c>
      <c r="U811" s="1">
        <v>0.15</v>
      </c>
      <c r="V811" s="1">
        <v>9326.6</v>
      </c>
      <c r="W811" s="1">
        <v>31737.200000000001</v>
      </c>
      <c r="X811" s="1">
        <v>1.26</v>
      </c>
      <c r="Y811" s="1">
        <v>748</v>
      </c>
      <c r="Z811" s="1">
        <v>166730.79999999999</v>
      </c>
      <c r="AA811" s="1">
        <v>7.66</v>
      </c>
      <c r="AB811" s="1">
        <v>4000</v>
      </c>
    </row>
    <row r="812" spans="1:28" x14ac:dyDescent="0.4">
      <c r="A812" s="1" t="s">
        <v>152</v>
      </c>
      <c r="B812" s="1">
        <v>800</v>
      </c>
      <c r="C812" s="1">
        <v>0.2</v>
      </c>
      <c r="D812" s="1">
        <v>0.5</v>
      </c>
      <c r="E812" s="1">
        <v>1000</v>
      </c>
      <c r="F812" s="1">
        <v>1</v>
      </c>
      <c r="G812" s="1">
        <v>1</v>
      </c>
      <c r="H812" s="1" t="s">
        <v>595</v>
      </c>
      <c r="I812" s="1">
        <v>87087.3</v>
      </c>
      <c r="J812" s="1">
        <v>36452.6</v>
      </c>
      <c r="K812" s="1">
        <v>50634.7</v>
      </c>
      <c r="L812" s="1">
        <v>240</v>
      </c>
      <c r="M812" s="1">
        <v>0.1</v>
      </c>
      <c r="N812" s="1">
        <v>29490.3</v>
      </c>
      <c r="O812" s="1">
        <v>44258.9</v>
      </c>
      <c r="P812" s="1">
        <v>73749.2</v>
      </c>
      <c r="Q812" s="1">
        <v>3202.3</v>
      </c>
      <c r="R812" s="1">
        <v>940</v>
      </c>
      <c r="S812" s="1">
        <v>4142.3</v>
      </c>
      <c r="T812" s="1">
        <v>10.56</v>
      </c>
      <c r="U812" s="1">
        <v>0.01</v>
      </c>
      <c r="V812" s="1">
        <v>819</v>
      </c>
      <c r="W812" s="1">
        <v>4021.3</v>
      </c>
      <c r="X812" s="1">
        <v>0.1</v>
      </c>
      <c r="Y812" s="1">
        <v>227</v>
      </c>
      <c r="Z812" s="1">
        <v>77770.5</v>
      </c>
      <c r="AA812" s="1">
        <v>10.7</v>
      </c>
      <c r="AB812" s="1">
        <v>800</v>
      </c>
    </row>
    <row r="813" spans="1:28" x14ac:dyDescent="0.4">
      <c r="A813" s="1" t="s">
        <v>153</v>
      </c>
      <c r="B813" s="1">
        <v>800</v>
      </c>
      <c r="C813" s="1">
        <v>0.2</v>
      </c>
      <c r="D813" s="1">
        <v>0.5</v>
      </c>
      <c r="E813" s="1">
        <v>1000</v>
      </c>
      <c r="F813" s="1">
        <v>1</v>
      </c>
      <c r="G813" s="1">
        <v>2</v>
      </c>
      <c r="H813" s="1" t="s">
        <v>595</v>
      </c>
      <c r="I813" s="1">
        <v>85252.3</v>
      </c>
      <c r="J813" s="1">
        <v>35206.400000000001</v>
      </c>
      <c r="K813" s="1">
        <v>50045.9</v>
      </c>
      <c r="L813" s="1">
        <v>240</v>
      </c>
      <c r="M813" s="1">
        <v>0.09</v>
      </c>
      <c r="N813" s="1">
        <v>29149.7</v>
      </c>
      <c r="O813" s="1">
        <v>44163.7</v>
      </c>
      <c r="P813" s="1">
        <v>73313.399999999994</v>
      </c>
      <c r="Q813" s="1">
        <v>2988</v>
      </c>
      <c r="R813" s="1">
        <v>880.4</v>
      </c>
      <c r="S813" s="1">
        <v>3868.4</v>
      </c>
      <c r="T813" s="1">
        <v>9.4700000000000006</v>
      </c>
      <c r="U813" s="1">
        <v>0.01</v>
      </c>
      <c r="V813" s="1">
        <v>817.1</v>
      </c>
      <c r="W813" s="1">
        <v>3805.1</v>
      </c>
      <c r="X813" s="1">
        <v>0.1</v>
      </c>
      <c r="Y813" s="1">
        <v>212</v>
      </c>
      <c r="Z813" s="1">
        <v>77118.5</v>
      </c>
      <c r="AA813" s="1">
        <v>9.5399999999999991</v>
      </c>
      <c r="AB813" s="1">
        <v>800</v>
      </c>
    </row>
    <row r="814" spans="1:28" x14ac:dyDescent="0.4">
      <c r="A814" s="1" t="s">
        <v>154</v>
      </c>
      <c r="B814" s="1">
        <v>800</v>
      </c>
      <c r="C814" s="1">
        <v>0.2</v>
      </c>
      <c r="D814" s="1">
        <v>0.5</v>
      </c>
      <c r="E814" s="1">
        <v>1000</v>
      </c>
      <c r="F814" s="1">
        <v>1</v>
      </c>
      <c r="G814" s="1">
        <v>3</v>
      </c>
      <c r="H814" s="1" t="s">
        <v>595</v>
      </c>
      <c r="I814" s="1">
        <v>83157.600000000006</v>
      </c>
      <c r="J814" s="1">
        <v>33716.1</v>
      </c>
      <c r="K814" s="1">
        <v>49441.5</v>
      </c>
      <c r="L814" s="1">
        <v>240</v>
      </c>
      <c r="M814" s="1">
        <v>0.08</v>
      </c>
      <c r="N814" s="1">
        <v>27883.1</v>
      </c>
      <c r="O814" s="1">
        <v>42959.1</v>
      </c>
      <c r="P814" s="1">
        <v>70842.2</v>
      </c>
      <c r="Q814" s="1">
        <v>3236.3</v>
      </c>
      <c r="R814" s="1">
        <v>842.7</v>
      </c>
      <c r="S814" s="1">
        <v>4079</v>
      </c>
      <c r="T814" s="1">
        <v>9.9</v>
      </c>
      <c r="U814" s="1">
        <v>0.01</v>
      </c>
      <c r="V814" s="1">
        <v>793.3</v>
      </c>
      <c r="W814" s="1">
        <v>4029.6</v>
      </c>
      <c r="X814" s="1">
        <v>0.08</v>
      </c>
      <c r="Y814" s="1">
        <v>235</v>
      </c>
      <c r="Z814" s="1">
        <v>74871.8</v>
      </c>
      <c r="AA814" s="1">
        <v>9.9600000000000009</v>
      </c>
      <c r="AB814" s="1">
        <v>800</v>
      </c>
    </row>
    <row r="815" spans="1:28" x14ac:dyDescent="0.4">
      <c r="A815" s="1" t="s">
        <v>155</v>
      </c>
      <c r="B815" s="1">
        <v>800</v>
      </c>
      <c r="C815" s="1">
        <v>0.2</v>
      </c>
      <c r="D815" s="1">
        <v>0.5</v>
      </c>
      <c r="E815" s="1">
        <v>1000</v>
      </c>
      <c r="F815" s="1">
        <v>1</v>
      </c>
      <c r="G815" s="1">
        <v>4</v>
      </c>
      <c r="H815" s="1" t="s">
        <v>595</v>
      </c>
      <c r="I815" s="1">
        <v>84371.6</v>
      </c>
      <c r="J815" s="1">
        <v>35098.199999999997</v>
      </c>
      <c r="K815" s="1">
        <v>49273.4</v>
      </c>
      <c r="L815" s="1">
        <v>240</v>
      </c>
      <c r="M815" s="1">
        <v>0.11</v>
      </c>
      <c r="N815" s="1">
        <v>29543.3</v>
      </c>
      <c r="O815" s="1">
        <v>43778.3</v>
      </c>
      <c r="P815" s="1">
        <v>73321.600000000006</v>
      </c>
      <c r="Q815" s="1">
        <v>2562.4</v>
      </c>
      <c r="R815" s="1">
        <v>766.8</v>
      </c>
      <c r="S815" s="1">
        <v>3329.2</v>
      </c>
      <c r="T815" s="1">
        <v>9.15</v>
      </c>
      <c r="U815" s="1">
        <v>0.01</v>
      </c>
      <c r="V815" s="1">
        <v>705.6</v>
      </c>
      <c r="W815" s="1">
        <v>3268</v>
      </c>
      <c r="X815" s="1">
        <v>0.11</v>
      </c>
      <c r="Y815" s="1">
        <v>189</v>
      </c>
      <c r="Z815" s="1">
        <v>76589.600000000006</v>
      </c>
      <c r="AA815" s="1">
        <v>9.2200000000000006</v>
      </c>
      <c r="AB815" s="1">
        <v>800</v>
      </c>
    </row>
    <row r="816" spans="1:28" x14ac:dyDescent="0.4">
      <c r="A816" s="1" t="s">
        <v>156</v>
      </c>
      <c r="B816" s="1">
        <v>800</v>
      </c>
      <c r="C816" s="1">
        <v>0.2</v>
      </c>
      <c r="D816" s="1">
        <v>0.5</v>
      </c>
      <c r="E816" s="1">
        <v>1000</v>
      </c>
      <c r="F816" s="1">
        <v>1</v>
      </c>
      <c r="G816" s="1">
        <v>5</v>
      </c>
      <c r="H816" s="1" t="s">
        <v>595</v>
      </c>
      <c r="I816" s="1">
        <v>86498.4</v>
      </c>
      <c r="J816" s="1">
        <v>34835</v>
      </c>
      <c r="K816" s="1">
        <v>51663.4</v>
      </c>
      <c r="L816" s="1">
        <v>240</v>
      </c>
      <c r="M816" s="1">
        <v>0.1</v>
      </c>
      <c r="N816" s="1">
        <v>28883</v>
      </c>
      <c r="O816" s="1">
        <v>45017.1</v>
      </c>
      <c r="P816" s="1">
        <v>73900.100000000006</v>
      </c>
      <c r="Q816" s="1">
        <v>2992.4</v>
      </c>
      <c r="R816" s="1">
        <v>772</v>
      </c>
      <c r="S816" s="1">
        <v>3764.4</v>
      </c>
      <c r="T816" s="1">
        <v>10.210000000000001</v>
      </c>
      <c r="U816" s="1">
        <v>0.01</v>
      </c>
      <c r="V816" s="1">
        <v>692.2</v>
      </c>
      <c r="W816" s="1">
        <v>3684.6</v>
      </c>
      <c r="X816" s="1">
        <v>0.1</v>
      </c>
      <c r="Y816" s="1">
        <v>214</v>
      </c>
      <c r="Z816" s="1">
        <v>77584.7</v>
      </c>
      <c r="AA816" s="1">
        <v>10.31</v>
      </c>
      <c r="AB816" s="1">
        <v>800</v>
      </c>
    </row>
    <row r="817" spans="1:28" x14ac:dyDescent="0.4">
      <c r="A817" s="1" t="s">
        <v>157</v>
      </c>
      <c r="B817" s="1">
        <v>800</v>
      </c>
      <c r="C817" s="1">
        <v>0.2</v>
      </c>
      <c r="D817" s="1">
        <v>0.5</v>
      </c>
      <c r="E817" s="1">
        <v>1000</v>
      </c>
      <c r="F817" s="1">
        <v>2</v>
      </c>
      <c r="G817" s="1">
        <v>1</v>
      </c>
      <c r="H817" s="1" t="s">
        <v>595</v>
      </c>
      <c r="I817" s="1">
        <v>124979.2</v>
      </c>
      <c r="J817" s="1">
        <v>52678.5</v>
      </c>
      <c r="K817" s="1">
        <v>72300.7</v>
      </c>
      <c r="L817" s="1">
        <v>240</v>
      </c>
      <c r="M817" s="1">
        <v>0.16</v>
      </c>
      <c r="N817" s="1">
        <v>45443</v>
      </c>
      <c r="O817" s="1">
        <v>64860.800000000003</v>
      </c>
      <c r="P817" s="1">
        <v>110303.8</v>
      </c>
      <c r="Q817" s="1">
        <v>2896.2</v>
      </c>
      <c r="R817" s="1">
        <v>879.6</v>
      </c>
      <c r="S817" s="1">
        <v>3775.8</v>
      </c>
      <c r="T817" s="1">
        <v>8.7200000000000006</v>
      </c>
      <c r="U817" s="1">
        <v>0.02</v>
      </c>
      <c r="V817" s="1">
        <v>808.8</v>
      </c>
      <c r="W817" s="1">
        <v>3705</v>
      </c>
      <c r="X817" s="1">
        <v>0.18</v>
      </c>
      <c r="Y817" s="1">
        <v>208</v>
      </c>
      <c r="Z817" s="1">
        <v>114008.8</v>
      </c>
      <c r="AA817" s="1">
        <v>8.7799999999999994</v>
      </c>
      <c r="AB817" s="1">
        <v>800</v>
      </c>
    </row>
    <row r="818" spans="1:28" x14ac:dyDescent="0.4">
      <c r="A818" s="1" t="s">
        <v>158</v>
      </c>
      <c r="B818" s="1">
        <v>800</v>
      </c>
      <c r="C818" s="1">
        <v>0.2</v>
      </c>
      <c r="D818" s="1">
        <v>0.5</v>
      </c>
      <c r="E818" s="1">
        <v>1000</v>
      </c>
      <c r="F818" s="1">
        <v>2</v>
      </c>
      <c r="G818" s="1">
        <v>2</v>
      </c>
      <c r="H818" s="1" t="s">
        <v>595</v>
      </c>
      <c r="I818" s="1">
        <v>123878</v>
      </c>
      <c r="J818" s="1">
        <v>49806.9</v>
      </c>
      <c r="K818" s="1">
        <v>74071.100000000006</v>
      </c>
      <c r="L818" s="1">
        <v>240</v>
      </c>
      <c r="M818" s="1">
        <v>0.19</v>
      </c>
      <c r="N818" s="1">
        <v>42959.5</v>
      </c>
      <c r="O818" s="1">
        <v>67257.3</v>
      </c>
      <c r="P818" s="1">
        <v>110216.8</v>
      </c>
      <c r="Q818" s="1">
        <v>2963.6</v>
      </c>
      <c r="R818" s="1">
        <v>879.9</v>
      </c>
      <c r="S818" s="1">
        <v>3843.5</v>
      </c>
      <c r="T818" s="1">
        <v>7.93</v>
      </c>
      <c r="U818" s="1">
        <v>0.02</v>
      </c>
      <c r="V818" s="1">
        <v>820.4</v>
      </c>
      <c r="W818" s="1">
        <v>3784</v>
      </c>
      <c r="X818" s="1">
        <v>0.21</v>
      </c>
      <c r="Y818" s="1">
        <v>217</v>
      </c>
      <c r="Z818" s="1">
        <v>114000.8</v>
      </c>
      <c r="AA818" s="1">
        <v>7.97</v>
      </c>
      <c r="AB818" s="1">
        <v>800</v>
      </c>
    </row>
    <row r="819" spans="1:28" x14ac:dyDescent="0.4">
      <c r="A819" s="1" t="s">
        <v>159</v>
      </c>
      <c r="B819" s="1">
        <v>800</v>
      </c>
      <c r="C819" s="1">
        <v>0.2</v>
      </c>
      <c r="D819" s="1">
        <v>0.5</v>
      </c>
      <c r="E819" s="1">
        <v>1000</v>
      </c>
      <c r="F819" s="1">
        <v>2</v>
      </c>
      <c r="G819" s="1">
        <v>3</v>
      </c>
      <c r="H819" s="1" t="s">
        <v>595</v>
      </c>
      <c r="I819" s="1">
        <v>122027.6</v>
      </c>
      <c r="J819" s="1">
        <v>48486.3</v>
      </c>
      <c r="K819" s="1">
        <v>73541.3</v>
      </c>
      <c r="L819" s="1">
        <v>240</v>
      </c>
      <c r="M819" s="1">
        <v>0.16</v>
      </c>
      <c r="N819" s="1">
        <v>42322.8</v>
      </c>
      <c r="O819" s="1">
        <v>66189.5</v>
      </c>
      <c r="P819" s="1">
        <v>108512.3</v>
      </c>
      <c r="Q819" s="1">
        <v>2865.4</v>
      </c>
      <c r="R819" s="1">
        <v>858.2</v>
      </c>
      <c r="S819" s="1">
        <v>3723.6</v>
      </c>
      <c r="T819" s="1">
        <v>8.02</v>
      </c>
      <c r="U819" s="1">
        <v>0.02</v>
      </c>
      <c r="V819" s="1">
        <v>759.3</v>
      </c>
      <c r="W819" s="1">
        <v>3624.7</v>
      </c>
      <c r="X819" s="1">
        <v>0.18</v>
      </c>
      <c r="Y819" s="1">
        <v>213</v>
      </c>
      <c r="Z819" s="1">
        <v>112137</v>
      </c>
      <c r="AA819" s="1">
        <v>8.11</v>
      </c>
      <c r="AB819" s="1">
        <v>800</v>
      </c>
    </row>
    <row r="820" spans="1:28" x14ac:dyDescent="0.4">
      <c r="A820" s="1" t="s">
        <v>160</v>
      </c>
      <c r="B820" s="1">
        <v>800</v>
      </c>
      <c r="C820" s="1">
        <v>0.2</v>
      </c>
      <c r="D820" s="1">
        <v>0.5</v>
      </c>
      <c r="E820" s="1">
        <v>1000</v>
      </c>
      <c r="F820" s="1">
        <v>2</v>
      </c>
      <c r="G820" s="1">
        <v>4</v>
      </c>
      <c r="H820" s="1" t="s">
        <v>595</v>
      </c>
      <c r="I820" s="1">
        <v>125666.4</v>
      </c>
      <c r="J820" s="1">
        <v>50755.1</v>
      </c>
      <c r="K820" s="1">
        <v>74911.3</v>
      </c>
      <c r="L820" s="1">
        <v>240</v>
      </c>
      <c r="M820" s="1">
        <v>0.16</v>
      </c>
      <c r="N820" s="1">
        <v>43616.4</v>
      </c>
      <c r="O820" s="1">
        <v>66612.899999999994</v>
      </c>
      <c r="P820" s="1">
        <v>110229.3</v>
      </c>
      <c r="Q820" s="1">
        <v>2924.9</v>
      </c>
      <c r="R820" s="1">
        <v>898.8</v>
      </c>
      <c r="S820" s="1">
        <v>3823.7</v>
      </c>
      <c r="T820" s="1">
        <v>9.24</v>
      </c>
      <c r="U820" s="1">
        <v>0.01</v>
      </c>
      <c r="V820" s="1">
        <v>800.5</v>
      </c>
      <c r="W820" s="1">
        <v>3725.4</v>
      </c>
      <c r="X820" s="1">
        <v>0.17</v>
      </c>
      <c r="Y820" s="1">
        <v>213</v>
      </c>
      <c r="Z820" s="1">
        <v>113954.7</v>
      </c>
      <c r="AA820" s="1">
        <v>9.32</v>
      </c>
      <c r="AB820" s="1">
        <v>800</v>
      </c>
    </row>
    <row r="821" spans="1:28" x14ac:dyDescent="0.4">
      <c r="A821" s="1" t="s">
        <v>161</v>
      </c>
      <c r="B821" s="1">
        <v>800</v>
      </c>
      <c r="C821" s="1">
        <v>0.2</v>
      </c>
      <c r="D821" s="1">
        <v>0.5</v>
      </c>
      <c r="E821" s="1">
        <v>1000</v>
      </c>
      <c r="F821" s="1">
        <v>2</v>
      </c>
      <c r="G821" s="1">
        <v>5</v>
      </c>
      <c r="H821" s="1" t="s">
        <v>595</v>
      </c>
      <c r="I821" s="1">
        <v>123503.4</v>
      </c>
      <c r="J821" s="1">
        <v>49154.400000000001</v>
      </c>
      <c r="K821" s="1">
        <v>74349</v>
      </c>
      <c r="L821" s="1">
        <v>240</v>
      </c>
      <c r="M821" s="1">
        <v>0.16</v>
      </c>
      <c r="N821" s="1">
        <v>42660.9</v>
      </c>
      <c r="O821" s="1">
        <v>66223.7</v>
      </c>
      <c r="P821" s="1">
        <v>108884.6</v>
      </c>
      <c r="Q821" s="1">
        <v>3009.5</v>
      </c>
      <c r="R821" s="1">
        <v>933</v>
      </c>
      <c r="S821" s="1">
        <v>3942.5</v>
      </c>
      <c r="T821" s="1">
        <v>8.64</v>
      </c>
      <c r="U821" s="1">
        <v>0.01</v>
      </c>
      <c r="V821" s="1">
        <v>796</v>
      </c>
      <c r="W821" s="1">
        <v>3805.5</v>
      </c>
      <c r="X821" s="1">
        <v>0.17</v>
      </c>
      <c r="Y821" s="1">
        <v>215</v>
      </c>
      <c r="Z821" s="1">
        <v>112690.1</v>
      </c>
      <c r="AA821" s="1">
        <v>8.76</v>
      </c>
      <c r="AB821" s="1">
        <v>800</v>
      </c>
    </row>
    <row r="822" spans="1:28" x14ac:dyDescent="0.4">
      <c r="A822" s="1" t="s">
        <v>162</v>
      </c>
      <c r="B822" s="1">
        <v>800</v>
      </c>
      <c r="C822" s="1">
        <v>0.2</v>
      </c>
      <c r="D822" s="1">
        <v>0.5</v>
      </c>
      <c r="E822" s="1">
        <v>1000</v>
      </c>
      <c r="F822" s="1">
        <v>3</v>
      </c>
      <c r="G822" s="1">
        <v>1</v>
      </c>
      <c r="H822" s="1" t="s">
        <v>595</v>
      </c>
      <c r="I822" s="1">
        <v>148479.1</v>
      </c>
      <c r="J822" s="1">
        <v>59976.5</v>
      </c>
      <c r="K822" s="1">
        <v>88502.6</v>
      </c>
      <c r="L822" s="1">
        <v>240</v>
      </c>
      <c r="M822" s="1">
        <v>0.22</v>
      </c>
      <c r="N822" s="1">
        <v>53088.9</v>
      </c>
      <c r="O822" s="1">
        <v>80957.8</v>
      </c>
      <c r="P822" s="1">
        <v>134046.70000000001</v>
      </c>
      <c r="Q822" s="1">
        <v>2983.1</v>
      </c>
      <c r="R822" s="1">
        <v>864</v>
      </c>
      <c r="S822" s="1">
        <v>3847.1</v>
      </c>
      <c r="T822" s="1">
        <v>7.13</v>
      </c>
      <c r="U822" s="1">
        <v>0.01</v>
      </c>
      <c r="V822" s="1">
        <v>774.9</v>
      </c>
      <c r="W822" s="1">
        <v>3758</v>
      </c>
      <c r="X822" s="1">
        <v>0.23</v>
      </c>
      <c r="Y822" s="1">
        <v>220</v>
      </c>
      <c r="Z822" s="1">
        <v>137804.70000000001</v>
      </c>
      <c r="AA822" s="1">
        <v>7.19</v>
      </c>
      <c r="AB822" s="1">
        <v>800</v>
      </c>
    </row>
    <row r="823" spans="1:28" x14ac:dyDescent="0.4">
      <c r="A823" s="1" t="s">
        <v>163</v>
      </c>
      <c r="B823" s="1">
        <v>800</v>
      </c>
      <c r="C823" s="1">
        <v>0.2</v>
      </c>
      <c r="D823" s="1">
        <v>0.5</v>
      </c>
      <c r="E823" s="1">
        <v>1000</v>
      </c>
      <c r="F823" s="1">
        <v>3</v>
      </c>
      <c r="G823" s="1">
        <v>2</v>
      </c>
      <c r="H823" s="1" t="s">
        <v>595</v>
      </c>
      <c r="I823" s="1">
        <v>154768.20000000001</v>
      </c>
      <c r="J823" s="1">
        <v>63488.1</v>
      </c>
      <c r="K823" s="1">
        <v>91280.1</v>
      </c>
      <c r="L823" s="1">
        <v>240</v>
      </c>
      <c r="M823" s="1">
        <v>0.28999999999999998</v>
      </c>
      <c r="N823" s="1">
        <v>55807.1</v>
      </c>
      <c r="O823" s="1">
        <v>82316.3</v>
      </c>
      <c r="P823" s="1">
        <v>138123.4</v>
      </c>
      <c r="Q823" s="1">
        <v>2901.2</v>
      </c>
      <c r="R823" s="1">
        <v>990.1</v>
      </c>
      <c r="S823" s="1">
        <v>3891.3</v>
      </c>
      <c r="T823" s="1">
        <v>8.24</v>
      </c>
      <c r="U823" s="1">
        <v>0.01</v>
      </c>
      <c r="V823" s="1">
        <v>886.7</v>
      </c>
      <c r="W823" s="1">
        <v>3787.9</v>
      </c>
      <c r="X823" s="1">
        <v>0.3</v>
      </c>
      <c r="Y823" s="1">
        <v>206</v>
      </c>
      <c r="Z823" s="1">
        <v>141911.29999999999</v>
      </c>
      <c r="AA823" s="1">
        <v>8.31</v>
      </c>
      <c r="AB823" s="1">
        <v>800</v>
      </c>
    </row>
    <row r="824" spans="1:28" x14ac:dyDescent="0.4">
      <c r="A824" s="1" t="s">
        <v>164</v>
      </c>
      <c r="B824" s="1">
        <v>800</v>
      </c>
      <c r="C824" s="1">
        <v>0.2</v>
      </c>
      <c r="D824" s="1">
        <v>0.5</v>
      </c>
      <c r="E824" s="1">
        <v>1000</v>
      </c>
      <c r="F824" s="1">
        <v>3</v>
      </c>
      <c r="G824" s="1">
        <v>3</v>
      </c>
      <c r="H824" s="1" t="s">
        <v>595</v>
      </c>
      <c r="I824" s="1">
        <v>154773.79999999999</v>
      </c>
      <c r="J824" s="1">
        <v>62475.5</v>
      </c>
      <c r="K824" s="1">
        <v>92298.3</v>
      </c>
      <c r="L824" s="1">
        <v>240</v>
      </c>
      <c r="M824" s="1">
        <v>0.25</v>
      </c>
      <c r="N824" s="1">
        <v>53921</v>
      </c>
      <c r="O824" s="1">
        <v>82617.399999999994</v>
      </c>
      <c r="P824" s="1">
        <v>136538.4</v>
      </c>
      <c r="Q824" s="1">
        <v>2935.7</v>
      </c>
      <c r="R824" s="1">
        <v>923.2</v>
      </c>
      <c r="S824" s="1">
        <v>3858.9</v>
      </c>
      <c r="T824" s="1">
        <v>9.2899999999999991</v>
      </c>
      <c r="U824" s="1">
        <v>0.01</v>
      </c>
      <c r="V824" s="1">
        <v>861.4</v>
      </c>
      <c r="W824" s="1">
        <v>3797.1</v>
      </c>
      <c r="X824" s="1">
        <v>0.26</v>
      </c>
      <c r="Y824" s="1">
        <v>205</v>
      </c>
      <c r="Z824" s="1">
        <v>140335.5</v>
      </c>
      <c r="AA824" s="1">
        <v>9.33</v>
      </c>
      <c r="AB824" s="1">
        <v>800</v>
      </c>
    </row>
    <row r="825" spans="1:28" x14ac:dyDescent="0.4">
      <c r="A825" s="1" t="s">
        <v>165</v>
      </c>
      <c r="B825" s="1">
        <v>800</v>
      </c>
      <c r="C825" s="1">
        <v>0.2</v>
      </c>
      <c r="D825" s="1">
        <v>0.5</v>
      </c>
      <c r="E825" s="1">
        <v>1000</v>
      </c>
      <c r="F825" s="1">
        <v>3</v>
      </c>
      <c r="G825" s="1">
        <v>4</v>
      </c>
      <c r="H825" s="1" t="s">
        <v>595</v>
      </c>
      <c r="I825" s="1">
        <v>156995.70000000001</v>
      </c>
      <c r="J825" s="1">
        <v>65727.199999999997</v>
      </c>
      <c r="K825" s="1">
        <v>91268.5</v>
      </c>
      <c r="L825" s="1">
        <v>240</v>
      </c>
      <c r="M825" s="1">
        <v>0.26</v>
      </c>
      <c r="N825" s="1">
        <v>56076.1</v>
      </c>
      <c r="O825" s="1">
        <v>81463.600000000006</v>
      </c>
      <c r="P825" s="1">
        <v>137539.70000000001</v>
      </c>
      <c r="Q825" s="1">
        <v>2981.3</v>
      </c>
      <c r="R825" s="1">
        <v>931.2</v>
      </c>
      <c r="S825" s="1">
        <v>3912.5</v>
      </c>
      <c r="T825" s="1">
        <v>9.9</v>
      </c>
      <c r="U825" s="1">
        <v>0.01</v>
      </c>
      <c r="V825" s="1">
        <v>815.3</v>
      </c>
      <c r="W825" s="1">
        <v>3796.6</v>
      </c>
      <c r="X825" s="1">
        <v>0.27</v>
      </c>
      <c r="Y825" s="1">
        <v>220</v>
      </c>
      <c r="Z825" s="1">
        <v>141336.29999999999</v>
      </c>
      <c r="AA825" s="1">
        <v>9.9700000000000006</v>
      </c>
      <c r="AB825" s="1">
        <v>800</v>
      </c>
    </row>
    <row r="826" spans="1:28" x14ac:dyDescent="0.4">
      <c r="A826" s="1" t="s">
        <v>166</v>
      </c>
      <c r="B826" s="1">
        <v>800</v>
      </c>
      <c r="C826" s="1">
        <v>0.2</v>
      </c>
      <c r="D826" s="1">
        <v>0.5</v>
      </c>
      <c r="E826" s="1">
        <v>1000</v>
      </c>
      <c r="F826" s="1">
        <v>3</v>
      </c>
      <c r="G826" s="1">
        <v>5</v>
      </c>
      <c r="H826" s="1" t="s">
        <v>595</v>
      </c>
      <c r="I826" s="1">
        <v>153496.9</v>
      </c>
      <c r="J826" s="1">
        <v>61169.2</v>
      </c>
      <c r="K826" s="1">
        <v>92327.7</v>
      </c>
      <c r="L826" s="1">
        <v>240</v>
      </c>
      <c r="M826" s="1">
        <v>0.23</v>
      </c>
      <c r="N826" s="1">
        <v>53249.599999999999</v>
      </c>
      <c r="O826" s="1">
        <v>83472.600000000006</v>
      </c>
      <c r="P826" s="1">
        <v>136722.20000000001</v>
      </c>
      <c r="Q826" s="1">
        <v>2947.6</v>
      </c>
      <c r="R826" s="1">
        <v>903.8</v>
      </c>
      <c r="S826" s="1">
        <v>3851.4</v>
      </c>
      <c r="T826" s="1">
        <v>8.42</v>
      </c>
      <c r="U826" s="1">
        <v>0.01</v>
      </c>
      <c r="V826" s="1">
        <v>845.8</v>
      </c>
      <c r="W826" s="1">
        <v>3793.4</v>
      </c>
      <c r="X826" s="1">
        <v>0.24</v>
      </c>
      <c r="Y826" s="1">
        <v>207</v>
      </c>
      <c r="Z826" s="1">
        <v>140515.6</v>
      </c>
      <c r="AA826" s="1">
        <v>8.4600000000000009</v>
      </c>
      <c r="AB826" s="1">
        <v>800</v>
      </c>
    </row>
    <row r="827" spans="1:28" x14ac:dyDescent="0.4">
      <c r="A827" s="1" t="s">
        <v>167</v>
      </c>
      <c r="B827" s="1">
        <v>800</v>
      </c>
      <c r="C827" s="1">
        <v>0.2</v>
      </c>
      <c r="D827" s="1">
        <v>0.5</v>
      </c>
      <c r="E827" s="1">
        <v>2000</v>
      </c>
      <c r="F827" s="1">
        <v>1</v>
      </c>
      <c r="G827" s="1">
        <v>1</v>
      </c>
      <c r="H827" s="1" t="s">
        <v>595</v>
      </c>
      <c r="I827" s="1">
        <v>170586.4</v>
      </c>
      <c r="J827" s="1">
        <v>68832.399999999994</v>
      </c>
      <c r="K827" s="1">
        <v>101754</v>
      </c>
      <c r="L827" s="1">
        <v>240</v>
      </c>
      <c r="M827" s="1">
        <v>0.13</v>
      </c>
      <c r="N827" s="1">
        <v>58659.6</v>
      </c>
      <c r="O827" s="1">
        <v>90884</v>
      </c>
      <c r="P827" s="1">
        <v>149543.6</v>
      </c>
      <c r="Q827" s="1">
        <v>2960.1</v>
      </c>
      <c r="R827" s="1">
        <v>900.3</v>
      </c>
      <c r="S827" s="1">
        <v>3860.4</v>
      </c>
      <c r="T827" s="1">
        <v>10.07</v>
      </c>
      <c r="U827" s="1">
        <v>0.01</v>
      </c>
      <c r="V827" s="1">
        <v>843.8</v>
      </c>
      <c r="W827" s="1">
        <v>3803.9</v>
      </c>
      <c r="X827" s="1">
        <v>0.14000000000000001</v>
      </c>
      <c r="Y827" s="1">
        <v>202</v>
      </c>
      <c r="Z827" s="1">
        <v>153347.5</v>
      </c>
      <c r="AA827" s="1">
        <v>10.11</v>
      </c>
      <c r="AB827" s="1">
        <v>800</v>
      </c>
    </row>
    <row r="828" spans="1:28" x14ac:dyDescent="0.4">
      <c r="A828" s="1" t="s">
        <v>168</v>
      </c>
      <c r="B828" s="1">
        <v>800</v>
      </c>
      <c r="C828" s="1">
        <v>0.2</v>
      </c>
      <c r="D828" s="1">
        <v>0.5</v>
      </c>
      <c r="E828" s="1">
        <v>2000</v>
      </c>
      <c r="F828" s="1">
        <v>1</v>
      </c>
      <c r="G828" s="1">
        <v>2</v>
      </c>
      <c r="H828" s="1" t="s">
        <v>595</v>
      </c>
      <c r="I828" s="1">
        <v>165460</v>
      </c>
      <c r="J828" s="1">
        <v>69625.7</v>
      </c>
      <c r="K828" s="1">
        <v>95834.3</v>
      </c>
      <c r="L828" s="1">
        <v>240</v>
      </c>
      <c r="M828" s="1">
        <v>0.15</v>
      </c>
      <c r="N828" s="1">
        <v>60284</v>
      </c>
      <c r="O828" s="1">
        <v>86401.1</v>
      </c>
      <c r="P828" s="1">
        <v>146685.1</v>
      </c>
      <c r="Q828" s="1">
        <v>2991.8</v>
      </c>
      <c r="R828" s="1">
        <v>835.7</v>
      </c>
      <c r="S828" s="1">
        <v>3827.5</v>
      </c>
      <c r="T828" s="1">
        <v>9.0299999999999994</v>
      </c>
      <c r="U828" s="1">
        <v>0.01</v>
      </c>
      <c r="V828" s="1">
        <v>699.2</v>
      </c>
      <c r="W828" s="1">
        <v>3691</v>
      </c>
      <c r="X828" s="1">
        <v>0.16</v>
      </c>
      <c r="Y828" s="1">
        <v>230</v>
      </c>
      <c r="Z828" s="1">
        <v>150376.1</v>
      </c>
      <c r="AA828" s="1">
        <v>9.1199999999999992</v>
      </c>
      <c r="AB828" s="1">
        <v>800</v>
      </c>
    </row>
    <row r="829" spans="1:28" x14ac:dyDescent="0.4">
      <c r="A829" s="1" t="s">
        <v>169</v>
      </c>
      <c r="B829" s="1">
        <v>800</v>
      </c>
      <c r="C829" s="1">
        <v>0.2</v>
      </c>
      <c r="D829" s="1">
        <v>0.5</v>
      </c>
      <c r="E829" s="1">
        <v>2000</v>
      </c>
      <c r="F829" s="1">
        <v>1</v>
      </c>
      <c r="G829" s="1">
        <v>3</v>
      </c>
      <c r="H829" s="1" t="s">
        <v>595</v>
      </c>
      <c r="I829" s="1">
        <v>168221.5</v>
      </c>
      <c r="J829" s="1">
        <v>70384.5</v>
      </c>
      <c r="K829" s="1">
        <v>97837</v>
      </c>
      <c r="L829" s="1">
        <v>240</v>
      </c>
      <c r="M829" s="1">
        <v>0.15</v>
      </c>
      <c r="N829" s="1">
        <v>59223.4</v>
      </c>
      <c r="O829" s="1">
        <v>86660.9</v>
      </c>
      <c r="P829" s="1">
        <v>145884.29999999999</v>
      </c>
      <c r="Q829" s="1">
        <v>3182.4</v>
      </c>
      <c r="R829" s="1">
        <v>924</v>
      </c>
      <c r="S829" s="1">
        <v>4106.3999999999996</v>
      </c>
      <c r="T829" s="1">
        <v>10.84</v>
      </c>
      <c r="U829" s="1">
        <v>0.01</v>
      </c>
      <c r="V829" s="1">
        <v>822.2</v>
      </c>
      <c r="W829" s="1">
        <v>4004.6</v>
      </c>
      <c r="X829" s="1">
        <v>0.16</v>
      </c>
      <c r="Y829" s="1">
        <v>232</v>
      </c>
      <c r="Z829" s="1">
        <v>149888.9</v>
      </c>
      <c r="AA829" s="1">
        <v>10.9</v>
      </c>
      <c r="AB829" s="1">
        <v>800</v>
      </c>
    </row>
    <row r="830" spans="1:28" x14ac:dyDescent="0.4">
      <c r="A830" s="1" t="s">
        <v>170</v>
      </c>
      <c r="B830" s="1">
        <v>800</v>
      </c>
      <c r="C830" s="1">
        <v>0.2</v>
      </c>
      <c r="D830" s="1">
        <v>0.5</v>
      </c>
      <c r="E830" s="1">
        <v>2000</v>
      </c>
      <c r="F830" s="1">
        <v>1</v>
      </c>
      <c r="G830" s="1">
        <v>4</v>
      </c>
      <c r="H830" s="1" t="s">
        <v>595</v>
      </c>
      <c r="I830" s="1">
        <v>168917.2</v>
      </c>
      <c r="J830" s="1">
        <v>69517.8</v>
      </c>
      <c r="K830" s="1">
        <v>99399.4</v>
      </c>
      <c r="L830" s="1">
        <v>240</v>
      </c>
      <c r="M830" s="1">
        <v>0.14000000000000001</v>
      </c>
      <c r="N830" s="1">
        <v>58682.7</v>
      </c>
      <c r="O830" s="1">
        <v>88987.8</v>
      </c>
      <c r="P830" s="1">
        <v>147670.5</v>
      </c>
      <c r="Q830" s="1">
        <v>3063.6</v>
      </c>
      <c r="R830" s="1">
        <v>910.5</v>
      </c>
      <c r="S830" s="1">
        <v>3974.1</v>
      </c>
      <c r="T830" s="1">
        <v>10.23</v>
      </c>
      <c r="U830" s="1">
        <v>0.01</v>
      </c>
      <c r="V830" s="1">
        <v>807.7</v>
      </c>
      <c r="W830" s="1">
        <v>3871.3</v>
      </c>
      <c r="X830" s="1">
        <v>0.15</v>
      </c>
      <c r="Y830" s="1">
        <v>218</v>
      </c>
      <c r="Z830" s="1">
        <v>151541.79999999999</v>
      </c>
      <c r="AA830" s="1">
        <v>10.29</v>
      </c>
      <c r="AB830" s="1">
        <v>800</v>
      </c>
    </row>
    <row r="831" spans="1:28" x14ac:dyDescent="0.4">
      <c r="A831" s="1" t="s">
        <v>171</v>
      </c>
      <c r="B831" s="1">
        <v>800</v>
      </c>
      <c r="C831" s="1">
        <v>0.2</v>
      </c>
      <c r="D831" s="1">
        <v>0.5</v>
      </c>
      <c r="E831" s="1">
        <v>2000</v>
      </c>
      <c r="F831" s="1">
        <v>1</v>
      </c>
      <c r="G831" s="1">
        <v>5</v>
      </c>
      <c r="H831" s="1" t="s">
        <v>595</v>
      </c>
      <c r="I831" s="1">
        <v>168479.3</v>
      </c>
      <c r="J831" s="1">
        <v>68009.100000000006</v>
      </c>
      <c r="K831" s="1">
        <v>100470.2</v>
      </c>
      <c r="L831" s="1">
        <v>240</v>
      </c>
      <c r="M831" s="1">
        <v>0.17</v>
      </c>
      <c r="N831" s="1">
        <v>56545.7</v>
      </c>
      <c r="O831" s="1">
        <v>87103.3</v>
      </c>
      <c r="P831" s="1">
        <v>143649</v>
      </c>
      <c r="Q831" s="1">
        <v>2470.3000000000002</v>
      </c>
      <c r="R831" s="1">
        <v>860.3</v>
      </c>
      <c r="S831" s="1">
        <v>3330.6</v>
      </c>
      <c r="T831" s="1">
        <v>12.76</v>
      </c>
      <c r="U831" s="1">
        <v>0.01</v>
      </c>
      <c r="V831" s="1">
        <v>789.3</v>
      </c>
      <c r="W831" s="1">
        <v>3259.6</v>
      </c>
      <c r="X831" s="1">
        <v>0.17</v>
      </c>
      <c r="Y831" s="1">
        <v>177</v>
      </c>
      <c r="Z831" s="1">
        <v>146908.6</v>
      </c>
      <c r="AA831" s="1">
        <v>12.8</v>
      </c>
      <c r="AB831" s="1">
        <v>800</v>
      </c>
    </row>
    <row r="832" spans="1:28" x14ac:dyDescent="0.4">
      <c r="A832" s="1" t="s">
        <v>172</v>
      </c>
      <c r="B832" s="1">
        <v>800</v>
      </c>
      <c r="C832" s="1">
        <v>0.2</v>
      </c>
      <c r="D832" s="1">
        <v>0.5</v>
      </c>
      <c r="E832" s="1">
        <v>2000</v>
      </c>
      <c r="F832" s="1">
        <v>2</v>
      </c>
      <c r="G832" s="1">
        <v>1</v>
      </c>
      <c r="H832" s="1" t="s">
        <v>595</v>
      </c>
      <c r="I832" s="1">
        <v>245290.8</v>
      </c>
      <c r="J832" s="1">
        <v>101416.6</v>
      </c>
      <c r="K832" s="1">
        <v>143874.20000000001</v>
      </c>
      <c r="L832" s="1">
        <v>240</v>
      </c>
      <c r="M832" s="1">
        <v>0.4</v>
      </c>
      <c r="N832" s="1">
        <v>87297.7</v>
      </c>
      <c r="O832" s="1">
        <v>130522.3</v>
      </c>
      <c r="P832" s="1">
        <v>217820</v>
      </c>
      <c r="Q832" s="1">
        <v>3162.9</v>
      </c>
      <c r="R832" s="1">
        <v>967.8</v>
      </c>
      <c r="S832" s="1">
        <v>4130.7</v>
      </c>
      <c r="T832" s="1">
        <v>9.52</v>
      </c>
      <c r="U832" s="1">
        <v>0.01</v>
      </c>
      <c r="V832" s="1">
        <v>803.1</v>
      </c>
      <c r="W832" s="1">
        <v>3966</v>
      </c>
      <c r="X832" s="1">
        <v>0.41</v>
      </c>
      <c r="Y832" s="1">
        <v>217</v>
      </c>
      <c r="Z832" s="1">
        <v>221786</v>
      </c>
      <c r="AA832" s="1">
        <v>9.58</v>
      </c>
      <c r="AB832" s="1">
        <v>800</v>
      </c>
    </row>
    <row r="833" spans="1:28" x14ac:dyDescent="0.4">
      <c r="A833" s="1" t="s">
        <v>173</v>
      </c>
      <c r="B833" s="1">
        <v>800</v>
      </c>
      <c r="C833" s="1">
        <v>0.2</v>
      </c>
      <c r="D833" s="1">
        <v>0.5</v>
      </c>
      <c r="E833" s="1">
        <v>2000</v>
      </c>
      <c r="F833" s="1">
        <v>2</v>
      </c>
      <c r="G833" s="1">
        <v>2</v>
      </c>
      <c r="H833" s="1" t="s">
        <v>595</v>
      </c>
      <c r="I833" s="1">
        <v>244984.3</v>
      </c>
      <c r="J833" s="1">
        <v>99494.9</v>
      </c>
      <c r="K833" s="1">
        <v>145489.4</v>
      </c>
      <c r="L833" s="1">
        <v>240</v>
      </c>
      <c r="M833" s="1">
        <v>0.41</v>
      </c>
      <c r="N833" s="1">
        <v>87819.8</v>
      </c>
      <c r="O833" s="1">
        <v>131978.1</v>
      </c>
      <c r="P833" s="1">
        <v>219797.9</v>
      </c>
      <c r="Q833" s="1">
        <v>3094.6</v>
      </c>
      <c r="R833" s="1">
        <v>951.5</v>
      </c>
      <c r="S833" s="1">
        <v>4046.1</v>
      </c>
      <c r="T833" s="1">
        <v>8.6300000000000008</v>
      </c>
      <c r="U833" s="1">
        <v>0.01</v>
      </c>
      <c r="V833" s="1">
        <v>848.1</v>
      </c>
      <c r="W833" s="1">
        <v>3942.7</v>
      </c>
      <c r="X833" s="1">
        <v>0.42</v>
      </c>
      <c r="Y833" s="1">
        <v>220</v>
      </c>
      <c r="Z833" s="1">
        <v>223740.6</v>
      </c>
      <c r="AA833" s="1">
        <v>8.67</v>
      </c>
      <c r="AB833" s="1">
        <v>800</v>
      </c>
    </row>
    <row r="834" spans="1:28" x14ac:dyDescent="0.4">
      <c r="A834" s="1" t="s">
        <v>174</v>
      </c>
      <c r="B834" s="1">
        <v>800</v>
      </c>
      <c r="C834" s="1">
        <v>0.2</v>
      </c>
      <c r="D834" s="1">
        <v>0.5</v>
      </c>
      <c r="E834" s="1">
        <v>2000</v>
      </c>
      <c r="F834" s="1">
        <v>2</v>
      </c>
      <c r="G834" s="1">
        <v>3</v>
      </c>
      <c r="H834" s="1" t="s">
        <v>595</v>
      </c>
      <c r="I834" s="1">
        <v>246364.79999999999</v>
      </c>
      <c r="J834" s="1">
        <v>99776.2</v>
      </c>
      <c r="K834" s="1">
        <v>146588.6</v>
      </c>
      <c r="L834" s="1">
        <v>240</v>
      </c>
      <c r="M834" s="1">
        <v>0.41</v>
      </c>
      <c r="N834" s="1">
        <v>88071.2</v>
      </c>
      <c r="O834" s="1">
        <v>132113.79999999999</v>
      </c>
      <c r="P834" s="1">
        <v>220185</v>
      </c>
      <c r="Q834" s="1">
        <v>2784.2</v>
      </c>
      <c r="R834" s="1">
        <v>988.1</v>
      </c>
      <c r="S834" s="1">
        <v>3772.3</v>
      </c>
      <c r="T834" s="1">
        <v>9.1</v>
      </c>
      <c r="U834" s="1">
        <v>0.01</v>
      </c>
      <c r="V834" s="1">
        <v>811.1</v>
      </c>
      <c r="W834" s="1">
        <v>3595.3</v>
      </c>
      <c r="X834" s="1">
        <v>0.42</v>
      </c>
      <c r="Y834" s="1">
        <v>204</v>
      </c>
      <c r="Z834" s="1">
        <v>223780.3</v>
      </c>
      <c r="AA834" s="1">
        <v>9.17</v>
      </c>
      <c r="AB834" s="1">
        <v>800</v>
      </c>
    </row>
    <row r="835" spans="1:28" x14ac:dyDescent="0.4">
      <c r="A835" s="1" t="s">
        <v>175</v>
      </c>
      <c r="B835" s="1">
        <v>800</v>
      </c>
      <c r="C835" s="1">
        <v>0.2</v>
      </c>
      <c r="D835" s="1">
        <v>0.5</v>
      </c>
      <c r="E835" s="1">
        <v>2000</v>
      </c>
      <c r="F835" s="1">
        <v>2</v>
      </c>
      <c r="G835" s="1">
        <v>4</v>
      </c>
      <c r="H835" s="1" t="s">
        <v>595</v>
      </c>
      <c r="I835" s="1">
        <v>242464.7</v>
      </c>
      <c r="J835" s="1">
        <v>99473.1</v>
      </c>
      <c r="K835" s="1">
        <v>142991.6</v>
      </c>
      <c r="L835" s="1">
        <v>240</v>
      </c>
      <c r="M835" s="1">
        <v>0.36</v>
      </c>
      <c r="N835" s="1">
        <v>87947.9</v>
      </c>
      <c r="O835" s="1">
        <v>129279.8</v>
      </c>
      <c r="P835" s="1">
        <v>217227.7</v>
      </c>
      <c r="Q835" s="1">
        <v>2708.7</v>
      </c>
      <c r="R835" s="1">
        <v>893.8</v>
      </c>
      <c r="S835" s="1">
        <v>3602.5</v>
      </c>
      <c r="T835" s="1">
        <v>8.92</v>
      </c>
      <c r="U835" s="1">
        <v>0.01</v>
      </c>
      <c r="V835" s="1">
        <v>764.1</v>
      </c>
      <c r="W835" s="1">
        <v>3472.8</v>
      </c>
      <c r="X835" s="1">
        <v>0.37</v>
      </c>
      <c r="Y835" s="1">
        <v>203</v>
      </c>
      <c r="Z835" s="1">
        <v>220700.5</v>
      </c>
      <c r="AA835" s="1">
        <v>8.98</v>
      </c>
      <c r="AB835" s="1">
        <v>800</v>
      </c>
    </row>
    <row r="836" spans="1:28" x14ac:dyDescent="0.4">
      <c r="A836" s="1" t="s">
        <v>176</v>
      </c>
      <c r="B836" s="1">
        <v>800</v>
      </c>
      <c r="C836" s="1">
        <v>0.2</v>
      </c>
      <c r="D836" s="1">
        <v>0.5</v>
      </c>
      <c r="E836" s="1">
        <v>2000</v>
      </c>
      <c r="F836" s="1">
        <v>2</v>
      </c>
      <c r="G836" s="1">
        <v>5</v>
      </c>
      <c r="H836" s="1" t="s">
        <v>595</v>
      </c>
      <c r="I836" s="1">
        <v>247997.4</v>
      </c>
      <c r="J836" s="1">
        <v>101583.4</v>
      </c>
      <c r="K836" s="1">
        <v>146414</v>
      </c>
      <c r="L836" s="1">
        <v>240</v>
      </c>
      <c r="M836" s="1">
        <v>0.36</v>
      </c>
      <c r="N836" s="1">
        <v>86934.3</v>
      </c>
      <c r="O836" s="1">
        <v>130275.9</v>
      </c>
      <c r="P836" s="1">
        <v>217210.2</v>
      </c>
      <c r="Q836" s="1">
        <v>3191</v>
      </c>
      <c r="R836" s="1">
        <v>942.5</v>
      </c>
      <c r="S836" s="1">
        <v>4133.5</v>
      </c>
      <c r="T836" s="1">
        <v>10.75</v>
      </c>
      <c r="U836" s="1">
        <v>0.01</v>
      </c>
      <c r="V836" s="1">
        <v>830.4</v>
      </c>
      <c r="W836" s="1">
        <v>4021.4</v>
      </c>
      <c r="X836" s="1">
        <v>0.38</v>
      </c>
      <c r="Y836" s="1">
        <v>222</v>
      </c>
      <c r="Z836" s="1">
        <v>221231.6</v>
      </c>
      <c r="AA836" s="1">
        <v>10.79</v>
      </c>
      <c r="AB836" s="1">
        <v>800</v>
      </c>
    </row>
    <row r="837" spans="1:28" x14ac:dyDescent="0.4">
      <c r="A837" s="1" t="s">
        <v>177</v>
      </c>
      <c r="B837" s="1">
        <v>800</v>
      </c>
      <c r="C837" s="1">
        <v>0.2</v>
      </c>
      <c r="D837" s="1">
        <v>0.5</v>
      </c>
      <c r="E837" s="1">
        <v>2000</v>
      </c>
      <c r="F837" s="1">
        <v>3</v>
      </c>
      <c r="G837" s="1">
        <v>1</v>
      </c>
      <c r="H837" s="1" t="s">
        <v>595</v>
      </c>
      <c r="I837" s="1">
        <v>299881.40000000002</v>
      </c>
      <c r="J837" s="1">
        <v>120588.9</v>
      </c>
      <c r="K837" s="1">
        <v>179292.5</v>
      </c>
      <c r="L837" s="1">
        <v>240</v>
      </c>
      <c r="M837" s="1">
        <v>0.56000000000000005</v>
      </c>
      <c r="N837" s="1">
        <v>108147.7</v>
      </c>
      <c r="O837" s="1">
        <v>165334.20000000001</v>
      </c>
      <c r="P837" s="1">
        <v>273481.90000000002</v>
      </c>
      <c r="Q837" s="1">
        <v>2464.4</v>
      </c>
      <c r="R837" s="1">
        <v>934.3</v>
      </c>
      <c r="S837" s="1">
        <v>3398.7</v>
      </c>
      <c r="T837" s="1">
        <v>7.67</v>
      </c>
      <c r="U837" s="1">
        <v>0.01</v>
      </c>
      <c r="V837" s="1">
        <v>830.2</v>
      </c>
      <c r="W837" s="1">
        <v>3294.6</v>
      </c>
      <c r="X837" s="1">
        <v>0.56000000000000005</v>
      </c>
      <c r="Y837" s="1">
        <v>174</v>
      </c>
      <c r="Z837" s="1">
        <v>276776.5</v>
      </c>
      <c r="AA837" s="1">
        <v>7.7</v>
      </c>
      <c r="AB837" s="1">
        <v>800</v>
      </c>
    </row>
    <row r="838" spans="1:28" x14ac:dyDescent="0.4">
      <c r="A838" s="1" t="s">
        <v>178</v>
      </c>
      <c r="B838" s="1">
        <v>800</v>
      </c>
      <c r="C838" s="1">
        <v>0.2</v>
      </c>
      <c r="D838" s="1">
        <v>0.5</v>
      </c>
      <c r="E838" s="1">
        <v>2000</v>
      </c>
      <c r="F838" s="1">
        <v>3</v>
      </c>
      <c r="G838" s="1">
        <v>2</v>
      </c>
      <c r="H838" s="1" t="s">
        <v>595</v>
      </c>
      <c r="I838" s="1">
        <v>313359.5</v>
      </c>
      <c r="J838" s="1">
        <v>131053.2</v>
      </c>
      <c r="K838" s="1">
        <v>182306.3</v>
      </c>
      <c r="L838" s="1">
        <v>240</v>
      </c>
      <c r="M838" s="1">
        <v>0.22</v>
      </c>
      <c r="N838" s="1">
        <v>115842.1</v>
      </c>
      <c r="O838" s="1">
        <v>167404.6</v>
      </c>
      <c r="P838" s="1">
        <v>283246.7</v>
      </c>
      <c r="Q838" s="1">
        <v>3327.2</v>
      </c>
      <c r="R838" s="1">
        <v>832.2</v>
      </c>
      <c r="S838" s="1">
        <v>4159.3999999999996</v>
      </c>
      <c r="T838" s="1">
        <v>8.2799999999999994</v>
      </c>
      <c r="U838" s="1">
        <v>0.01</v>
      </c>
      <c r="V838" s="1">
        <v>810.2</v>
      </c>
      <c r="W838" s="1">
        <v>4137.3999999999996</v>
      </c>
      <c r="X838" s="1">
        <v>0.24</v>
      </c>
      <c r="Y838" s="1">
        <v>240</v>
      </c>
      <c r="Z838" s="1">
        <v>287384.09999999998</v>
      </c>
      <c r="AA838" s="1">
        <v>8.2899999999999991</v>
      </c>
      <c r="AB838" s="1">
        <v>800</v>
      </c>
    </row>
    <row r="839" spans="1:28" x14ac:dyDescent="0.4">
      <c r="A839" s="1" t="s">
        <v>179</v>
      </c>
      <c r="B839" s="1">
        <v>800</v>
      </c>
      <c r="C839" s="1">
        <v>0.2</v>
      </c>
      <c r="D839" s="1">
        <v>0.5</v>
      </c>
      <c r="E839" s="1">
        <v>2000</v>
      </c>
      <c r="F839" s="1">
        <v>3</v>
      </c>
      <c r="G839" s="1">
        <v>3</v>
      </c>
      <c r="H839" s="1" t="s">
        <v>595</v>
      </c>
      <c r="I839" s="1">
        <v>312901.7</v>
      </c>
      <c r="J839" s="1">
        <v>123616.3</v>
      </c>
      <c r="K839" s="1">
        <v>189285.4</v>
      </c>
      <c r="L839" s="1">
        <v>240</v>
      </c>
      <c r="M839" s="1">
        <v>0.41</v>
      </c>
      <c r="N839" s="1">
        <v>108157.1</v>
      </c>
      <c r="O839" s="1">
        <v>172357.3</v>
      </c>
      <c r="P839" s="1">
        <v>280514.40000000002</v>
      </c>
      <c r="Q839" s="1">
        <v>2956.2</v>
      </c>
      <c r="R839" s="1">
        <v>992</v>
      </c>
      <c r="S839" s="1">
        <v>3948.2</v>
      </c>
      <c r="T839" s="1">
        <v>9.09</v>
      </c>
      <c r="U839" s="1">
        <v>0.01</v>
      </c>
      <c r="V839" s="1">
        <v>886.8</v>
      </c>
      <c r="W839" s="1">
        <v>3843</v>
      </c>
      <c r="X839" s="1">
        <v>0.42</v>
      </c>
      <c r="Y839" s="1">
        <v>208</v>
      </c>
      <c r="Z839" s="1">
        <v>284357.40000000002</v>
      </c>
      <c r="AA839" s="1">
        <v>9.1199999999999992</v>
      </c>
      <c r="AB839" s="1">
        <v>800</v>
      </c>
    </row>
    <row r="840" spans="1:28" x14ac:dyDescent="0.4">
      <c r="A840" s="1" t="s">
        <v>180</v>
      </c>
      <c r="B840" s="1">
        <v>800</v>
      </c>
      <c r="C840" s="1">
        <v>0.2</v>
      </c>
      <c r="D840" s="1">
        <v>0.5</v>
      </c>
      <c r="E840" s="1">
        <v>2000</v>
      </c>
      <c r="F840" s="1">
        <v>3</v>
      </c>
      <c r="G840" s="1">
        <v>4</v>
      </c>
      <c r="H840" s="1" t="s">
        <v>595</v>
      </c>
      <c r="I840" s="1">
        <v>315103.40000000002</v>
      </c>
      <c r="J840" s="1">
        <v>126781</v>
      </c>
      <c r="K840" s="1">
        <v>188322.4</v>
      </c>
      <c r="L840" s="1">
        <v>240</v>
      </c>
      <c r="M840" s="1">
        <v>0.57999999999999996</v>
      </c>
      <c r="N840" s="1">
        <v>110383.8</v>
      </c>
      <c r="O840" s="1">
        <v>169615.2</v>
      </c>
      <c r="P840" s="1">
        <v>279999</v>
      </c>
      <c r="Q840" s="1">
        <v>3100.6</v>
      </c>
      <c r="R840" s="1">
        <v>954.2</v>
      </c>
      <c r="S840" s="1">
        <v>4054.8</v>
      </c>
      <c r="T840" s="1">
        <v>9.85</v>
      </c>
      <c r="U840" s="1">
        <v>0.01</v>
      </c>
      <c r="V840" s="1">
        <v>832.6</v>
      </c>
      <c r="W840" s="1">
        <v>3933.2</v>
      </c>
      <c r="X840" s="1">
        <v>0.59</v>
      </c>
      <c r="Y840" s="1">
        <v>217</v>
      </c>
      <c r="Z840" s="1">
        <v>283932.2</v>
      </c>
      <c r="AA840" s="1">
        <v>9.89</v>
      </c>
      <c r="AB840" s="1">
        <v>800</v>
      </c>
    </row>
    <row r="841" spans="1:28" x14ac:dyDescent="0.4">
      <c r="A841" s="1" t="s">
        <v>181</v>
      </c>
      <c r="B841" s="1">
        <v>800</v>
      </c>
      <c r="C841" s="1">
        <v>0.2</v>
      </c>
      <c r="D841" s="1">
        <v>0.5</v>
      </c>
      <c r="E841" s="1">
        <v>2000</v>
      </c>
      <c r="F841" s="1">
        <v>3</v>
      </c>
      <c r="G841" s="1">
        <v>5</v>
      </c>
      <c r="H841" s="1" t="s">
        <v>595</v>
      </c>
      <c r="I841" s="1">
        <v>306717</v>
      </c>
      <c r="J841" s="1">
        <v>125797.8</v>
      </c>
      <c r="K841" s="1">
        <v>180919.2</v>
      </c>
      <c r="L841" s="1">
        <v>240</v>
      </c>
      <c r="M841" s="1">
        <v>0.52</v>
      </c>
      <c r="N841" s="1">
        <v>110779.5</v>
      </c>
      <c r="O841" s="1">
        <v>166352.4</v>
      </c>
      <c r="P841" s="1">
        <v>277131.90000000002</v>
      </c>
      <c r="Q841" s="1">
        <v>2902.7</v>
      </c>
      <c r="R841" s="1">
        <v>956.5</v>
      </c>
      <c r="S841" s="1">
        <v>3859.2</v>
      </c>
      <c r="T841" s="1">
        <v>8.39</v>
      </c>
      <c r="U841" s="1">
        <v>0.01</v>
      </c>
      <c r="V841" s="1">
        <v>866.5</v>
      </c>
      <c r="W841" s="1">
        <v>3769.2</v>
      </c>
      <c r="X841" s="1">
        <v>0.53</v>
      </c>
      <c r="Y841" s="1">
        <v>215</v>
      </c>
      <c r="Z841" s="1">
        <v>280901.09999999998</v>
      </c>
      <c r="AA841" s="1">
        <v>8.42</v>
      </c>
      <c r="AB841" s="1">
        <v>800</v>
      </c>
    </row>
    <row r="842" spans="1:28" x14ac:dyDescent="0.4">
      <c r="A842" s="1" t="s">
        <v>182</v>
      </c>
      <c r="B842" s="1">
        <v>800</v>
      </c>
      <c r="C842" s="1">
        <v>0.2</v>
      </c>
      <c r="D842" s="1">
        <v>0.5</v>
      </c>
      <c r="E842" s="1">
        <v>500</v>
      </c>
      <c r="F842" s="1">
        <v>1</v>
      </c>
      <c r="G842" s="1">
        <v>1</v>
      </c>
      <c r="H842" s="1" t="s">
        <v>595</v>
      </c>
      <c r="I842" s="1">
        <v>42456</v>
      </c>
      <c r="J842" s="1">
        <v>17710.900000000001</v>
      </c>
      <c r="K842" s="1">
        <v>24745.1</v>
      </c>
      <c r="L842" s="1">
        <v>240</v>
      </c>
      <c r="M842" s="1">
        <v>0.28000000000000003</v>
      </c>
      <c r="N842" s="1">
        <v>15179.1</v>
      </c>
      <c r="O842" s="1">
        <v>21469.4</v>
      </c>
      <c r="P842" s="1">
        <v>36648.5</v>
      </c>
      <c r="Q842" s="1">
        <v>2358.8000000000002</v>
      </c>
      <c r="R842" s="1">
        <v>559.70000000000005</v>
      </c>
      <c r="S842" s="1">
        <v>2918.5</v>
      </c>
      <c r="T842" s="1">
        <v>6.8</v>
      </c>
      <c r="U842" s="1">
        <v>0.1</v>
      </c>
      <c r="V842" s="1">
        <v>521.1</v>
      </c>
      <c r="W842" s="1">
        <v>2879.9</v>
      </c>
      <c r="X842" s="1">
        <v>0.38</v>
      </c>
      <c r="Y842" s="1">
        <v>169</v>
      </c>
      <c r="Z842" s="1">
        <v>39528.400000000001</v>
      </c>
      <c r="AA842" s="1">
        <v>6.9</v>
      </c>
      <c r="AB842" s="1">
        <v>800</v>
      </c>
    </row>
    <row r="843" spans="1:28" x14ac:dyDescent="0.4">
      <c r="A843" s="1" t="s">
        <v>183</v>
      </c>
      <c r="B843" s="1">
        <v>800</v>
      </c>
      <c r="C843" s="1">
        <v>0.2</v>
      </c>
      <c r="D843" s="1">
        <v>0.5</v>
      </c>
      <c r="E843" s="1">
        <v>500</v>
      </c>
      <c r="F843" s="1">
        <v>1</v>
      </c>
      <c r="G843" s="1">
        <v>2</v>
      </c>
      <c r="H843" s="1" t="s">
        <v>595</v>
      </c>
      <c r="I843" s="1">
        <v>39729.800000000003</v>
      </c>
      <c r="J843" s="1">
        <v>15669.4</v>
      </c>
      <c r="K843" s="1">
        <v>24060.400000000001</v>
      </c>
      <c r="L843" s="1">
        <v>240</v>
      </c>
      <c r="M843" s="1">
        <v>0.26</v>
      </c>
      <c r="N843" s="1">
        <v>12742</v>
      </c>
      <c r="O843" s="1">
        <v>20606.3</v>
      </c>
      <c r="P843" s="1">
        <v>33348.300000000003</v>
      </c>
      <c r="Q843" s="1">
        <v>2618.8000000000002</v>
      </c>
      <c r="R843" s="1">
        <v>699.8</v>
      </c>
      <c r="S843" s="1">
        <v>3318.6</v>
      </c>
      <c r="T843" s="1">
        <v>7.71</v>
      </c>
      <c r="U843" s="1">
        <v>0.12</v>
      </c>
      <c r="V843" s="1">
        <v>657.3</v>
      </c>
      <c r="W843" s="1">
        <v>3276.1</v>
      </c>
      <c r="X843" s="1">
        <v>0.38</v>
      </c>
      <c r="Y843" s="1">
        <v>203</v>
      </c>
      <c r="Z843" s="1">
        <v>36624.400000000001</v>
      </c>
      <c r="AA843" s="1">
        <v>7.82</v>
      </c>
      <c r="AB843" s="1">
        <v>800</v>
      </c>
    </row>
    <row r="844" spans="1:28" x14ac:dyDescent="0.4">
      <c r="A844" s="1" t="s">
        <v>184</v>
      </c>
      <c r="B844" s="1">
        <v>800</v>
      </c>
      <c r="C844" s="1">
        <v>0.2</v>
      </c>
      <c r="D844" s="1">
        <v>0.5</v>
      </c>
      <c r="E844" s="1">
        <v>500</v>
      </c>
      <c r="F844" s="1">
        <v>1</v>
      </c>
      <c r="G844" s="1">
        <v>3</v>
      </c>
      <c r="H844" s="1" t="s">
        <v>595</v>
      </c>
      <c r="I844" s="1">
        <v>41512.699999999997</v>
      </c>
      <c r="J844" s="1">
        <v>16714</v>
      </c>
      <c r="K844" s="1">
        <v>24798.7</v>
      </c>
      <c r="L844" s="1">
        <v>240</v>
      </c>
      <c r="M844" s="1">
        <v>0.26</v>
      </c>
      <c r="N844" s="1">
        <v>13946.1</v>
      </c>
      <c r="O844" s="1">
        <v>21298.7</v>
      </c>
      <c r="P844" s="1">
        <v>35244.800000000003</v>
      </c>
      <c r="Q844" s="1">
        <v>2503.6999999999998</v>
      </c>
      <c r="R844" s="1">
        <v>684</v>
      </c>
      <c r="S844" s="1">
        <v>3187.7</v>
      </c>
      <c r="T844" s="1">
        <v>7.42</v>
      </c>
      <c r="U844" s="1">
        <v>0.11</v>
      </c>
      <c r="V844" s="1">
        <v>615.6</v>
      </c>
      <c r="W844" s="1">
        <v>3119.3</v>
      </c>
      <c r="X844" s="1">
        <v>0.38</v>
      </c>
      <c r="Y844" s="1">
        <v>183</v>
      </c>
      <c r="Z844" s="1">
        <v>38364.1</v>
      </c>
      <c r="AA844" s="1">
        <v>7.58</v>
      </c>
      <c r="AB844" s="1">
        <v>800</v>
      </c>
    </row>
    <row r="845" spans="1:28" x14ac:dyDescent="0.4">
      <c r="A845" s="1" t="s">
        <v>185</v>
      </c>
      <c r="B845" s="1">
        <v>800</v>
      </c>
      <c r="C845" s="1">
        <v>0.2</v>
      </c>
      <c r="D845" s="1">
        <v>0.5</v>
      </c>
      <c r="E845" s="1">
        <v>500</v>
      </c>
      <c r="F845" s="1">
        <v>1</v>
      </c>
      <c r="G845" s="1">
        <v>4</v>
      </c>
      <c r="H845" s="1" t="s">
        <v>595</v>
      </c>
      <c r="I845" s="1">
        <v>44381.599999999999</v>
      </c>
      <c r="J845" s="1">
        <v>18877.900000000001</v>
      </c>
      <c r="K845" s="1">
        <v>25503.7</v>
      </c>
      <c r="L845" s="1">
        <v>240</v>
      </c>
      <c r="M845" s="1">
        <v>0.27</v>
      </c>
      <c r="N845" s="1">
        <v>15629.8</v>
      </c>
      <c r="O845" s="1">
        <v>22552.1</v>
      </c>
      <c r="P845" s="1">
        <v>38181.9</v>
      </c>
      <c r="Q845" s="1">
        <v>3044.4</v>
      </c>
      <c r="R845" s="1">
        <v>797.8</v>
      </c>
      <c r="S845" s="1">
        <v>3842.2</v>
      </c>
      <c r="T845" s="1">
        <v>5.31</v>
      </c>
      <c r="U845" s="1">
        <v>0.12</v>
      </c>
      <c r="V845" s="1">
        <v>672.4</v>
      </c>
      <c r="W845" s="1">
        <v>3716.8</v>
      </c>
      <c r="X845" s="1">
        <v>0.39</v>
      </c>
      <c r="Y845" s="1">
        <v>224</v>
      </c>
      <c r="Z845" s="1">
        <v>41898.699999999997</v>
      </c>
      <c r="AA845" s="1">
        <v>5.59</v>
      </c>
      <c r="AB845" s="1">
        <v>800</v>
      </c>
    </row>
    <row r="846" spans="1:28" x14ac:dyDescent="0.4">
      <c r="A846" s="1" t="s">
        <v>186</v>
      </c>
      <c r="B846" s="1">
        <v>800</v>
      </c>
      <c r="C846" s="1">
        <v>0.2</v>
      </c>
      <c r="D846" s="1">
        <v>0.5</v>
      </c>
      <c r="E846" s="1">
        <v>500</v>
      </c>
      <c r="F846" s="1">
        <v>1</v>
      </c>
      <c r="G846" s="1">
        <v>5</v>
      </c>
      <c r="H846" s="1" t="s">
        <v>595</v>
      </c>
      <c r="I846" s="1">
        <v>42373.3</v>
      </c>
      <c r="J846" s="1">
        <v>16880</v>
      </c>
      <c r="K846" s="1">
        <v>25493.3</v>
      </c>
      <c r="L846" s="1">
        <v>240</v>
      </c>
      <c r="M846" s="1">
        <v>0.27</v>
      </c>
      <c r="N846" s="1">
        <v>14045.2</v>
      </c>
      <c r="O846" s="1">
        <v>21591.200000000001</v>
      </c>
      <c r="P846" s="1">
        <v>35636.400000000001</v>
      </c>
      <c r="Q846" s="1">
        <v>2541.5</v>
      </c>
      <c r="R846" s="1">
        <v>620.9</v>
      </c>
      <c r="S846" s="1">
        <v>3162.4</v>
      </c>
      <c r="T846" s="1">
        <v>8.44</v>
      </c>
      <c r="U846" s="1">
        <v>0.11</v>
      </c>
      <c r="V846" s="1">
        <v>565.70000000000005</v>
      </c>
      <c r="W846" s="1">
        <v>3107.2</v>
      </c>
      <c r="X846" s="1">
        <v>0.38</v>
      </c>
      <c r="Y846" s="1">
        <v>182</v>
      </c>
      <c r="Z846" s="1">
        <v>38743.599999999999</v>
      </c>
      <c r="AA846" s="1">
        <v>8.57</v>
      </c>
      <c r="AB846" s="1">
        <v>800</v>
      </c>
    </row>
    <row r="847" spans="1:28" x14ac:dyDescent="0.4">
      <c r="A847" s="1" t="s">
        <v>187</v>
      </c>
      <c r="B847" s="1">
        <v>800</v>
      </c>
      <c r="C847" s="1">
        <v>0.2</v>
      </c>
      <c r="D847" s="1">
        <v>0.5</v>
      </c>
      <c r="E847" s="1">
        <v>500</v>
      </c>
      <c r="F847" s="1">
        <v>2</v>
      </c>
      <c r="G847" s="1">
        <v>1</v>
      </c>
      <c r="H847" s="1" t="s">
        <v>595</v>
      </c>
      <c r="I847" s="1">
        <v>58760.1</v>
      </c>
      <c r="J847" s="1">
        <v>23869.599999999999</v>
      </c>
      <c r="K847" s="1">
        <v>34890.5</v>
      </c>
      <c r="L847" s="1">
        <v>240</v>
      </c>
      <c r="M847" s="1">
        <v>0.28999999999999998</v>
      </c>
      <c r="N847" s="1">
        <v>21029.1</v>
      </c>
      <c r="O847" s="1">
        <v>31039.5</v>
      </c>
      <c r="P847" s="1">
        <v>52068.6</v>
      </c>
      <c r="Q847" s="1">
        <v>2520</v>
      </c>
      <c r="R847" s="1">
        <v>664.2</v>
      </c>
      <c r="S847" s="1">
        <v>3184.2</v>
      </c>
      <c r="T847" s="1">
        <v>5.97</v>
      </c>
      <c r="U847" s="1">
        <v>0.09</v>
      </c>
      <c r="V847" s="1">
        <v>598.20000000000005</v>
      </c>
      <c r="W847" s="1">
        <v>3118.2</v>
      </c>
      <c r="X847" s="1">
        <v>0.38</v>
      </c>
      <c r="Y847" s="1">
        <v>182</v>
      </c>
      <c r="Z847" s="1">
        <v>55186.8</v>
      </c>
      <c r="AA847" s="1">
        <v>6.08</v>
      </c>
      <c r="AB847" s="1">
        <v>800</v>
      </c>
    </row>
    <row r="848" spans="1:28" x14ac:dyDescent="0.4">
      <c r="A848" s="1" t="s">
        <v>188</v>
      </c>
      <c r="B848" s="1">
        <v>800</v>
      </c>
      <c r="C848" s="1">
        <v>0.2</v>
      </c>
      <c r="D848" s="1">
        <v>0.5</v>
      </c>
      <c r="E848" s="1">
        <v>500</v>
      </c>
      <c r="F848" s="1">
        <v>2</v>
      </c>
      <c r="G848" s="1">
        <v>2</v>
      </c>
      <c r="H848" s="1" t="s">
        <v>595</v>
      </c>
      <c r="I848" s="1">
        <v>61570.7</v>
      </c>
      <c r="J848" s="1">
        <v>26005.7</v>
      </c>
      <c r="K848" s="1">
        <v>35565</v>
      </c>
      <c r="L848" s="1">
        <v>240</v>
      </c>
      <c r="M848" s="1">
        <v>0.28999999999999998</v>
      </c>
      <c r="N848" s="1">
        <v>22573</v>
      </c>
      <c r="O848" s="1">
        <v>31857.200000000001</v>
      </c>
      <c r="P848" s="1">
        <v>54430.2</v>
      </c>
      <c r="Q848" s="1">
        <v>2608</v>
      </c>
      <c r="R848" s="1">
        <v>752.2</v>
      </c>
      <c r="S848" s="1">
        <v>3360.2</v>
      </c>
      <c r="T848" s="1">
        <v>6.14</v>
      </c>
      <c r="U848" s="1">
        <v>0.1</v>
      </c>
      <c r="V848" s="1">
        <v>623.29999999999995</v>
      </c>
      <c r="W848" s="1">
        <v>3231.3</v>
      </c>
      <c r="X848" s="1">
        <v>0.38</v>
      </c>
      <c r="Y848" s="1">
        <v>182</v>
      </c>
      <c r="Z848" s="1">
        <v>57661.5</v>
      </c>
      <c r="AA848" s="1">
        <v>6.35</v>
      </c>
      <c r="AB848" s="1">
        <v>800</v>
      </c>
    </row>
    <row r="849" spans="1:28" x14ac:dyDescent="0.4">
      <c r="A849" s="1" t="s">
        <v>189</v>
      </c>
      <c r="B849" s="1">
        <v>800</v>
      </c>
      <c r="C849" s="1">
        <v>0.2</v>
      </c>
      <c r="D849" s="1">
        <v>0.5</v>
      </c>
      <c r="E849" s="1">
        <v>500</v>
      </c>
      <c r="F849" s="1">
        <v>2</v>
      </c>
      <c r="G849" s="1">
        <v>3</v>
      </c>
      <c r="H849" s="1" t="s">
        <v>595</v>
      </c>
      <c r="I849" s="1">
        <v>63072.5</v>
      </c>
      <c r="J849" s="1">
        <v>23232.1</v>
      </c>
      <c r="K849" s="1">
        <v>39840.400000000001</v>
      </c>
      <c r="L849" s="1">
        <v>240</v>
      </c>
      <c r="M849" s="1">
        <v>0.28999999999999998</v>
      </c>
      <c r="N849" s="1">
        <v>20344.400000000001</v>
      </c>
      <c r="O849" s="1">
        <v>34919</v>
      </c>
      <c r="P849" s="1">
        <v>55263.4</v>
      </c>
      <c r="Q849" s="1">
        <v>3109.5</v>
      </c>
      <c r="R849" s="1">
        <v>794.9</v>
      </c>
      <c r="S849" s="1">
        <v>3904.4</v>
      </c>
      <c r="T849" s="1">
        <v>6.19</v>
      </c>
      <c r="U849" s="1">
        <v>0.1</v>
      </c>
      <c r="V849" s="1">
        <v>735.4</v>
      </c>
      <c r="W849" s="1">
        <v>3844.9</v>
      </c>
      <c r="X849" s="1">
        <v>0.38</v>
      </c>
      <c r="Y849" s="1">
        <v>222</v>
      </c>
      <c r="Z849" s="1">
        <v>59108.3</v>
      </c>
      <c r="AA849" s="1">
        <v>6.29</v>
      </c>
      <c r="AB849" s="1">
        <v>800</v>
      </c>
    </row>
    <row r="850" spans="1:28" x14ac:dyDescent="0.4">
      <c r="A850" s="1" t="s">
        <v>190</v>
      </c>
      <c r="B850" s="1">
        <v>800</v>
      </c>
      <c r="C850" s="1">
        <v>0.2</v>
      </c>
      <c r="D850" s="1">
        <v>0.5</v>
      </c>
      <c r="E850" s="1">
        <v>500</v>
      </c>
      <c r="F850" s="1">
        <v>2</v>
      </c>
      <c r="G850" s="1">
        <v>4</v>
      </c>
      <c r="H850" s="1" t="s">
        <v>595</v>
      </c>
      <c r="I850" s="1">
        <v>62339.8</v>
      </c>
      <c r="J850" s="1">
        <v>25439</v>
      </c>
      <c r="K850" s="1">
        <v>36900.800000000003</v>
      </c>
      <c r="L850" s="1">
        <v>240</v>
      </c>
      <c r="M850" s="1">
        <v>0.28999999999999998</v>
      </c>
      <c r="N850" s="1">
        <v>22477.5</v>
      </c>
      <c r="O850" s="1">
        <v>33479.9</v>
      </c>
      <c r="P850" s="1">
        <v>55957.4</v>
      </c>
      <c r="Q850" s="1">
        <v>2106.6999999999998</v>
      </c>
      <c r="R850" s="1">
        <v>686</v>
      </c>
      <c r="S850" s="1">
        <v>2792.7</v>
      </c>
      <c r="T850" s="1">
        <v>5.76</v>
      </c>
      <c r="U850" s="1">
        <v>0.08</v>
      </c>
      <c r="V850" s="1">
        <v>629.29999999999995</v>
      </c>
      <c r="W850" s="1">
        <v>2736</v>
      </c>
      <c r="X850" s="1">
        <v>0.37</v>
      </c>
      <c r="Y850" s="1">
        <v>146</v>
      </c>
      <c r="Z850" s="1">
        <v>58693.4</v>
      </c>
      <c r="AA850" s="1">
        <v>5.85</v>
      </c>
      <c r="AB850" s="1">
        <v>800</v>
      </c>
    </row>
    <row r="851" spans="1:28" x14ac:dyDescent="0.4">
      <c r="A851" s="1" t="s">
        <v>191</v>
      </c>
      <c r="B851" s="1">
        <v>800</v>
      </c>
      <c r="C851" s="1">
        <v>0.2</v>
      </c>
      <c r="D851" s="1">
        <v>0.5</v>
      </c>
      <c r="E851" s="1">
        <v>500</v>
      </c>
      <c r="F851" s="1">
        <v>2</v>
      </c>
      <c r="G851" s="1">
        <v>5</v>
      </c>
      <c r="H851" s="1" t="s">
        <v>595</v>
      </c>
      <c r="I851" s="1">
        <v>64404.800000000003</v>
      </c>
      <c r="J851" s="1">
        <v>25541.1</v>
      </c>
      <c r="K851" s="1">
        <v>38863.699999999997</v>
      </c>
      <c r="L851" s="1">
        <v>240</v>
      </c>
      <c r="M851" s="1">
        <v>0.28999999999999998</v>
      </c>
      <c r="N851" s="1">
        <v>22069.5</v>
      </c>
      <c r="O851" s="1">
        <v>34879.800000000003</v>
      </c>
      <c r="P851" s="1">
        <v>56949.3</v>
      </c>
      <c r="Q851" s="1">
        <v>1961.2</v>
      </c>
      <c r="R851" s="1">
        <v>791</v>
      </c>
      <c r="S851" s="1">
        <v>2752.2</v>
      </c>
      <c r="T851" s="1">
        <v>7.3</v>
      </c>
      <c r="U851" s="1">
        <v>0.1</v>
      </c>
      <c r="V851" s="1">
        <v>682.1</v>
      </c>
      <c r="W851" s="1">
        <v>2643.3</v>
      </c>
      <c r="X851" s="1">
        <v>0.38</v>
      </c>
      <c r="Y851" s="1">
        <v>141</v>
      </c>
      <c r="Z851" s="1">
        <v>59592.6</v>
      </c>
      <c r="AA851" s="1">
        <v>7.47</v>
      </c>
      <c r="AB851" s="1">
        <v>800</v>
      </c>
    </row>
    <row r="852" spans="1:28" x14ac:dyDescent="0.4">
      <c r="A852" s="1" t="s">
        <v>192</v>
      </c>
      <c r="B852" s="1">
        <v>800</v>
      </c>
      <c r="C852" s="1">
        <v>0.2</v>
      </c>
      <c r="D852" s="1">
        <v>0.5</v>
      </c>
      <c r="E852" s="1">
        <v>500</v>
      </c>
      <c r="F852" s="1">
        <v>3</v>
      </c>
      <c r="G852" s="1">
        <v>1</v>
      </c>
      <c r="H852" s="1" t="s">
        <v>595</v>
      </c>
      <c r="I852" s="1">
        <v>79313.899999999994</v>
      </c>
      <c r="J852" s="1">
        <v>31214.7</v>
      </c>
      <c r="K852" s="1">
        <v>48099.199999999997</v>
      </c>
      <c r="L852" s="1">
        <v>240</v>
      </c>
      <c r="M852" s="1">
        <v>0.15</v>
      </c>
      <c r="N852" s="1">
        <v>26827.5</v>
      </c>
      <c r="O852" s="1">
        <v>43221.4</v>
      </c>
      <c r="P852" s="1">
        <v>70048.899999999994</v>
      </c>
      <c r="Q852" s="1">
        <v>2701.4</v>
      </c>
      <c r="R852" s="1">
        <v>859.8</v>
      </c>
      <c r="S852" s="1">
        <v>3561.2</v>
      </c>
      <c r="T852" s="1">
        <v>7.19</v>
      </c>
      <c r="U852" s="1">
        <v>0.01</v>
      </c>
      <c r="V852" s="1">
        <v>839</v>
      </c>
      <c r="W852" s="1">
        <v>3540.4</v>
      </c>
      <c r="X852" s="1">
        <v>0.16</v>
      </c>
      <c r="Y852" s="1">
        <v>190</v>
      </c>
      <c r="Z852" s="1">
        <v>73589.3</v>
      </c>
      <c r="AA852" s="1">
        <v>7.22</v>
      </c>
      <c r="AB852" s="1">
        <v>800</v>
      </c>
    </row>
    <row r="853" spans="1:28" x14ac:dyDescent="0.4">
      <c r="A853" s="1" t="s">
        <v>193</v>
      </c>
      <c r="B853" s="1">
        <v>800</v>
      </c>
      <c r="C853" s="1">
        <v>0.2</v>
      </c>
      <c r="D853" s="1">
        <v>0.5</v>
      </c>
      <c r="E853" s="1">
        <v>500</v>
      </c>
      <c r="F853" s="1">
        <v>3</v>
      </c>
      <c r="G853" s="1">
        <v>2</v>
      </c>
      <c r="H853" s="1" t="s">
        <v>595</v>
      </c>
      <c r="I853" s="1">
        <v>79561.8</v>
      </c>
      <c r="J853" s="1">
        <v>30927.7</v>
      </c>
      <c r="K853" s="1">
        <v>48634.1</v>
      </c>
      <c r="L853" s="1">
        <v>240</v>
      </c>
      <c r="M853" s="1">
        <v>0.18</v>
      </c>
      <c r="N853" s="1">
        <v>26759.5</v>
      </c>
      <c r="O853" s="1">
        <v>43504</v>
      </c>
      <c r="P853" s="1">
        <v>70263.5</v>
      </c>
      <c r="Q853" s="1">
        <v>3101.9</v>
      </c>
      <c r="R853" s="1">
        <v>948.8</v>
      </c>
      <c r="S853" s="1">
        <v>4050.7</v>
      </c>
      <c r="T853" s="1">
        <v>6.6</v>
      </c>
      <c r="U853" s="1">
        <v>0.01</v>
      </c>
      <c r="V853" s="1">
        <v>835.9</v>
      </c>
      <c r="W853" s="1">
        <v>3937.8</v>
      </c>
      <c r="X853" s="1">
        <v>0.19</v>
      </c>
      <c r="Y853" s="1">
        <v>217</v>
      </c>
      <c r="Z853" s="1">
        <v>74201.3</v>
      </c>
      <c r="AA853" s="1">
        <v>6.74</v>
      </c>
      <c r="AB853" s="1">
        <v>800</v>
      </c>
    </row>
    <row r="854" spans="1:28" x14ac:dyDescent="0.4">
      <c r="A854" s="1" t="s">
        <v>194</v>
      </c>
      <c r="B854" s="1">
        <v>800</v>
      </c>
      <c r="C854" s="1">
        <v>0.2</v>
      </c>
      <c r="D854" s="1">
        <v>0.5</v>
      </c>
      <c r="E854" s="1">
        <v>500</v>
      </c>
      <c r="F854" s="1">
        <v>3</v>
      </c>
      <c r="G854" s="1">
        <v>3</v>
      </c>
      <c r="H854" s="1" t="s">
        <v>595</v>
      </c>
      <c r="I854" s="1">
        <v>73403.7</v>
      </c>
      <c r="J854" s="1">
        <v>31356.799999999999</v>
      </c>
      <c r="K854" s="1">
        <v>42046.9</v>
      </c>
      <c r="L854" s="1">
        <v>240</v>
      </c>
      <c r="M854" s="1">
        <v>0.15</v>
      </c>
      <c r="N854" s="1">
        <v>26733.9</v>
      </c>
      <c r="O854" s="1">
        <v>37171.4</v>
      </c>
      <c r="P854" s="1">
        <v>63905.3</v>
      </c>
      <c r="Q854" s="1">
        <v>2909.5</v>
      </c>
      <c r="R854" s="1">
        <v>850.4</v>
      </c>
      <c r="S854" s="1">
        <v>3759.9</v>
      </c>
      <c r="T854" s="1">
        <v>7.82</v>
      </c>
      <c r="U854" s="1">
        <v>0.01</v>
      </c>
      <c r="V854" s="1">
        <v>740.5</v>
      </c>
      <c r="W854" s="1">
        <v>3650</v>
      </c>
      <c r="X854" s="1">
        <v>0.16</v>
      </c>
      <c r="Y854" s="1">
        <v>209</v>
      </c>
      <c r="Z854" s="1">
        <v>67555.3</v>
      </c>
      <c r="AA854" s="1">
        <v>7.97</v>
      </c>
      <c r="AB854" s="1">
        <v>800</v>
      </c>
    </row>
    <row r="855" spans="1:28" x14ac:dyDescent="0.4">
      <c r="A855" s="1" t="s">
        <v>195</v>
      </c>
      <c r="B855" s="1">
        <v>800</v>
      </c>
      <c r="C855" s="1">
        <v>0.2</v>
      </c>
      <c r="D855" s="1">
        <v>0.5</v>
      </c>
      <c r="E855" s="1">
        <v>500</v>
      </c>
      <c r="F855" s="1">
        <v>3</v>
      </c>
      <c r="G855" s="1">
        <v>4</v>
      </c>
      <c r="H855" s="1" t="s">
        <v>595</v>
      </c>
      <c r="I855" s="1">
        <v>79997</v>
      </c>
      <c r="J855" s="1">
        <v>32625.7</v>
      </c>
      <c r="K855" s="1">
        <v>47371.3</v>
      </c>
      <c r="L855" s="1">
        <v>240</v>
      </c>
      <c r="M855" s="1">
        <v>0.17</v>
      </c>
      <c r="N855" s="1">
        <v>28022.400000000001</v>
      </c>
      <c r="O855" s="1">
        <v>40921.4</v>
      </c>
      <c r="P855" s="1">
        <v>68943.8</v>
      </c>
      <c r="Q855" s="1">
        <v>3051.6</v>
      </c>
      <c r="R855" s="1">
        <v>900.4</v>
      </c>
      <c r="S855" s="1">
        <v>3952</v>
      </c>
      <c r="T855" s="1">
        <v>8.8800000000000008</v>
      </c>
      <c r="U855" s="1">
        <v>0.01</v>
      </c>
      <c r="V855" s="1">
        <v>784.2</v>
      </c>
      <c r="W855" s="1">
        <v>3835.8</v>
      </c>
      <c r="X855" s="1">
        <v>0.17</v>
      </c>
      <c r="Y855" s="1">
        <v>218</v>
      </c>
      <c r="Z855" s="1">
        <v>72779.600000000006</v>
      </c>
      <c r="AA855" s="1">
        <v>9.02</v>
      </c>
      <c r="AB855" s="1">
        <v>800</v>
      </c>
    </row>
    <row r="856" spans="1:28" x14ac:dyDescent="0.4">
      <c r="A856" s="1" t="s">
        <v>196</v>
      </c>
      <c r="B856" s="1">
        <v>800</v>
      </c>
      <c r="C856" s="1">
        <v>0.2</v>
      </c>
      <c r="D856" s="1">
        <v>0.5</v>
      </c>
      <c r="E856" s="1">
        <v>500</v>
      </c>
      <c r="F856" s="1">
        <v>3</v>
      </c>
      <c r="G856" s="1">
        <v>5</v>
      </c>
      <c r="H856" s="1" t="s">
        <v>595</v>
      </c>
      <c r="I856" s="1">
        <v>79466.7</v>
      </c>
      <c r="J856" s="1">
        <v>34632.300000000003</v>
      </c>
      <c r="K856" s="1">
        <v>44834.400000000001</v>
      </c>
      <c r="L856" s="1">
        <v>240</v>
      </c>
      <c r="M856" s="1">
        <v>0.14000000000000001</v>
      </c>
      <c r="N856" s="1">
        <v>30174.7</v>
      </c>
      <c r="O856" s="1">
        <v>40307.199999999997</v>
      </c>
      <c r="P856" s="1">
        <v>70481.899999999994</v>
      </c>
      <c r="Q856" s="1">
        <v>2791.1</v>
      </c>
      <c r="R856" s="1">
        <v>871</v>
      </c>
      <c r="S856" s="1">
        <v>3662.1</v>
      </c>
      <c r="T856" s="1">
        <v>6.7</v>
      </c>
      <c r="U856" s="1">
        <v>0.01</v>
      </c>
      <c r="V856" s="1">
        <v>758.8</v>
      </c>
      <c r="W856" s="1">
        <v>3549.9</v>
      </c>
      <c r="X856" s="1">
        <v>0.15</v>
      </c>
      <c r="Y856" s="1">
        <v>206</v>
      </c>
      <c r="Z856" s="1">
        <v>74031.8</v>
      </c>
      <c r="AA856" s="1">
        <v>6.84</v>
      </c>
      <c r="AB856" s="1">
        <v>800</v>
      </c>
    </row>
    <row r="857" spans="1:28" x14ac:dyDescent="0.4">
      <c r="A857" s="1" t="s">
        <v>197</v>
      </c>
      <c r="B857" s="1">
        <v>800</v>
      </c>
      <c r="C857" s="1">
        <v>0.3</v>
      </c>
      <c r="D857" s="1">
        <v>0.5</v>
      </c>
      <c r="E857" s="1">
        <v>1000</v>
      </c>
      <c r="F857" s="1">
        <v>1</v>
      </c>
      <c r="G857" s="1">
        <v>1</v>
      </c>
      <c r="H857" s="1" t="s">
        <v>595</v>
      </c>
      <c r="I857" s="1">
        <v>84653.3</v>
      </c>
      <c r="J857" s="1">
        <v>35326.1</v>
      </c>
      <c r="K857" s="1">
        <v>49327.199999999997</v>
      </c>
      <c r="L857" s="1">
        <v>240</v>
      </c>
      <c r="M857" s="1">
        <v>0.06</v>
      </c>
      <c r="N857" s="1">
        <v>27869.8</v>
      </c>
      <c r="O857" s="1">
        <v>41028</v>
      </c>
      <c r="P857" s="1">
        <v>68897.8</v>
      </c>
      <c r="Q857" s="1">
        <v>3385</v>
      </c>
      <c r="R857" s="1">
        <v>1244.0999999999999</v>
      </c>
      <c r="S857" s="1">
        <v>4629.1000000000004</v>
      </c>
      <c r="T857" s="1">
        <v>13.14</v>
      </c>
      <c r="U857" s="1">
        <v>0.02</v>
      </c>
      <c r="V857" s="1">
        <v>1122.7</v>
      </c>
      <c r="W857" s="1">
        <v>4507.7</v>
      </c>
      <c r="X857" s="1">
        <v>0.08</v>
      </c>
      <c r="Y857" s="1">
        <v>234</v>
      </c>
      <c r="Z857" s="1">
        <v>73405.5</v>
      </c>
      <c r="AA857" s="1">
        <v>13.29</v>
      </c>
      <c r="AB857" s="1">
        <v>800</v>
      </c>
    </row>
    <row r="858" spans="1:28" x14ac:dyDescent="0.4">
      <c r="A858" s="1" t="s">
        <v>198</v>
      </c>
      <c r="B858" s="1">
        <v>800</v>
      </c>
      <c r="C858" s="1">
        <v>0.3</v>
      </c>
      <c r="D858" s="1">
        <v>0.5</v>
      </c>
      <c r="E858" s="1">
        <v>1000</v>
      </c>
      <c r="F858" s="1">
        <v>1</v>
      </c>
      <c r="G858" s="1">
        <v>2</v>
      </c>
      <c r="H858" s="1" t="s">
        <v>595</v>
      </c>
      <c r="I858" s="1">
        <v>82666.2</v>
      </c>
      <c r="J858" s="1">
        <v>34357</v>
      </c>
      <c r="K858" s="1">
        <v>48309.2</v>
      </c>
      <c r="L858" s="1">
        <v>240</v>
      </c>
      <c r="M858" s="1">
        <v>7.0000000000000007E-2</v>
      </c>
      <c r="N858" s="1">
        <v>26444.5</v>
      </c>
      <c r="O858" s="1">
        <v>40032</v>
      </c>
      <c r="P858" s="1">
        <v>66476.5</v>
      </c>
      <c r="Q858" s="1">
        <v>3281.6</v>
      </c>
      <c r="R858" s="1">
        <v>1099</v>
      </c>
      <c r="S858" s="1">
        <v>4380.6000000000004</v>
      </c>
      <c r="T858" s="1">
        <v>14.29</v>
      </c>
      <c r="U858" s="1">
        <v>0.01</v>
      </c>
      <c r="V858" s="1">
        <v>1037</v>
      </c>
      <c r="W858" s="1">
        <v>4318.6000000000004</v>
      </c>
      <c r="X858" s="1">
        <v>0.08</v>
      </c>
      <c r="Y858" s="1">
        <v>240</v>
      </c>
      <c r="Z858" s="1">
        <v>70795.100000000006</v>
      </c>
      <c r="AA858" s="1">
        <v>14.36</v>
      </c>
      <c r="AB858" s="1">
        <v>800</v>
      </c>
    </row>
    <row r="859" spans="1:28" x14ac:dyDescent="0.4">
      <c r="A859" s="1" t="s">
        <v>199</v>
      </c>
      <c r="B859" s="1">
        <v>800</v>
      </c>
      <c r="C859" s="1">
        <v>0.3</v>
      </c>
      <c r="D859" s="1">
        <v>0.5</v>
      </c>
      <c r="E859" s="1">
        <v>1000</v>
      </c>
      <c r="F859" s="1">
        <v>1</v>
      </c>
      <c r="G859" s="1">
        <v>3</v>
      </c>
      <c r="H859" s="1" t="s">
        <v>595</v>
      </c>
      <c r="I859" s="1">
        <v>85677.4</v>
      </c>
      <c r="J859" s="1">
        <v>34507</v>
      </c>
      <c r="K859" s="1">
        <v>51170.400000000001</v>
      </c>
      <c r="L859" s="1">
        <v>240</v>
      </c>
      <c r="M859" s="1">
        <v>0.08</v>
      </c>
      <c r="N859" s="1">
        <v>26920.9</v>
      </c>
      <c r="O859" s="1">
        <v>41908.5</v>
      </c>
      <c r="P859" s="1">
        <v>68829.399999999994</v>
      </c>
      <c r="Q859" s="1">
        <v>3104.9</v>
      </c>
      <c r="R859" s="1">
        <v>1169</v>
      </c>
      <c r="S859" s="1">
        <v>4273.8999999999996</v>
      </c>
      <c r="T859" s="1">
        <v>14.68</v>
      </c>
      <c r="U859" s="1">
        <v>0.01</v>
      </c>
      <c r="V859" s="1">
        <v>1023.3</v>
      </c>
      <c r="W859" s="1">
        <v>4128.2</v>
      </c>
      <c r="X859" s="1">
        <v>0.09</v>
      </c>
      <c r="Y859" s="1">
        <v>229</v>
      </c>
      <c r="Z859" s="1">
        <v>72957.600000000006</v>
      </c>
      <c r="AA859" s="1">
        <v>14.85</v>
      </c>
      <c r="AB859" s="1">
        <v>800</v>
      </c>
    </row>
    <row r="860" spans="1:28" x14ac:dyDescent="0.4">
      <c r="A860" s="1" t="s">
        <v>200</v>
      </c>
      <c r="B860" s="1">
        <v>800</v>
      </c>
      <c r="C860" s="1">
        <v>0.3</v>
      </c>
      <c r="D860" s="1">
        <v>0.5</v>
      </c>
      <c r="E860" s="1">
        <v>1000</v>
      </c>
      <c r="F860" s="1">
        <v>1</v>
      </c>
      <c r="G860" s="1">
        <v>4</v>
      </c>
      <c r="H860" s="1" t="s">
        <v>595</v>
      </c>
      <c r="I860" s="1">
        <v>83697.600000000006</v>
      </c>
      <c r="J860" s="1">
        <v>35227.4</v>
      </c>
      <c r="K860" s="1">
        <v>48470.2</v>
      </c>
      <c r="L860" s="1">
        <v>240</v>
      </c>
      <c r="M860" s="1">
        <v>7.0000000000000007E-2</v>
      </c>
      <c r="N860" s="1">
        <v>27912.3</v>
      </c>
      <c r="O860" s="1">
        <v>40651</v>
      </c>
      <c r="P860" s="1">
        <v>68563.3</v>
      </c>
      <c r="Q860" s="1">
        <v>2931.6</v>
      </c>
      <c r="R860" s="1">
        <v>1213.9000000000001</v>
      </c>
      <c r="S860" s="1">
        <v>4145.5</v>
      </c>
      <c r="T860" s="1">
        <v>13.13</v>
      </c>
      <c r="U860" s="1">
        <v>0.01</v>
      </c>
      <c r="V860" s="1">
        <v>1101.7</v>
      </c>
      <c r="W860" s="1">
        <v>4033.3</v>
      </c>
      <c r="X860" s="1">
        <v>0.08</v>
      </c>
      <c r="Y860" s="1">
        <v>207</v>
      </c>
      <c r="Z860" s="1">
        <v>72596.600000000006</v>
      </c>
      <c r="AA860" s="1">
        <v>13.26</v>
      </c>
      <c r="AB860" s="1">
        <v>800</v>
      </c>
    </row>
    <row r="861" spans="1:28" x14ac:dyDescent="0.4">
      <c r="A861" s="1" t="s">
        <v>201</v>
      </c>
      <c r="B861" s="1">
        <v>800</v>
      </c>
      <c r="C861" s="1">
        <v>0.3</v>
      </c>
      <c r="D861" s="1">
        <v>0.5</v>
      </c>
      <c r="E861" s="1">
        <v>1000</v>
      </c>
      <c r="F861" s="1">
        <v>1</v>
      </c>
      <c r="G861" s="1">
        <v>5</v>
      </c>
      <c r="H861" s="1" t="s">
        <v>595</v>
      </c>
      <c r="I861" s="1">
        <v>84517.4</v>
      </c>
      <c r="J861" s="1">
        <v>33762.1</v>
      </c>
      <c r="K861" s="1">
        <v>50755.3</v>
      </c>
      <c r="L861" s="1">
        <v>240</v>
      </c>
      <c r="M861" s="1">
        <v>0.08</v>
      </c>
      <c r="N861" s="1">
        <v>27189.200000000001</v>
      </c>
      <c r="O861" s="1">
        <v>42498.8</v>
      </c>
      <c r="P861" s="1">
        <v>69688</v>
      </c>
      <c r="Q861" s="1">
        <v>3044.1</v>
      </c>
      <c r="R861" s="1">
        <v>1191.3</v>
      </c>
      <c r="S861" s="1">
        <v>4235.3999999999996</v>
      </c>
      <c r="T861" s="1">
        <v>12.53</v>
      </c>
      <c r="U861" s="1">
        <v>0.01</v>
      </c>
      <c r="V861" s="1">
        <v>1070.7</v>
      </c>
      <c r="W861" s="1">
        <v>4114.8</v>
      </c>
      <c r="X861" s="1">
        <v>0.09</v>
      </c>
      <c r="Y861" s="1">
        <v>217</v>
      </c>
      <c r="Z861" s="1">
        <v>73802.8</v>
      </c>
      <c r="AA861" s="1">
        <v>12.68</v>
      </c>
      <c r="AB861" s="1">
        <v>800</v>
      </c>
    </row>
    <row r="862" spans="1:28" x14ac:dyDescent="0.4">
      <c r="A862" s="1" t="s">
        <v>202</v>
      </c>
      <c r="B862" s="1">
        <v>800</v>
      </c>
      <c r="C862" s="1">
        <v>0.3</v>
      </c>
      <c r="D862" s="1">
        <v>0.5</v>
      </c>
      <c r="E862" s="1">
        <v>1000</v>
      </c>
      <c r="F862" s="1">
        <v>2</v>
      </c>
      <c r="G862" s="1">
        <v>1</v>
      </c>
      <c r="H862" s="1" t="s">
        <v>595</v>
      </c>
      <c r="I862" s="1">
        <v>123870.9</v>
      </c>
      <c r="J862" s="1">
        <v>51589.4</v>
      </c>
      <c r="K862" s="1">
        <v>72281.5</v>
      </c>
      <c r="L862" s="1">
        <v>240</v>
      </c>
      <c r="M862" s="1">
        <v>0.14000000000000001</v>
      </c>
      <c r="N862" s="1">
        <v>41538.199999999997</v>
      </c>
      <c r="O862" s="1">
        <v>61850.3</v>
      </c>
      <c r="P862" s="1">
        <v>103388.5</v>
      </c>
      <c r="Q862" s="1">
        <v>3108.9</v>
      </c>
      <c r="R862" s="1">
        <v>1257.4000000000001</v>
      </c>
      <c r="S862" s="1">
        <v>4366.3</v>
      </c>
      <c r="T862" s="1">
        <v>13.01</v>
      </c>
      <c r="U862" s="1">
        <v>0.02</v>
      </c>
      <c r="V862" s="1">
        <v>1126.8</v>
      </c>
      <c r="W862" s="1">
        <v>4235.7</v>
      </c>
      <c r="X862" s="1">
        <v>0.16</v>
      </c>
      <c r="Y862" s="1">
        <v>223</v>
      </c>
      <c r="Z862" s="1">
        <v>107624.2</v>
      </c>
      <c r="AA862" s="1">
        <v>13.12</v>
      </c>
      <c r="AB862" s="1">
        <v>800</v>
      </c>
    </row>
    <row r="863" spans="1:28" x14ac:dyDescent="0.4">
      <c r="A863" s="1" t="s">
        <v>203</v>
      </c>
      <c r="B863" s="1">
        <v>800</v>
      </c>
      <c r="C863" s="1">
        <v>0.3</v>
      </c>
      <c r="D863" s="1">
        <v>0.5</v>
      </c>
      <c r="E863" s="1">
        <v>1000</v>
      </c>
      <c r="F863" s="1">
        <v>2</v>
      </c>
      <c r="G863" s="1">
        <v>2</v>
      </c>
      <c r="H863" s="1" t="s">
        <v>595</v>
      </c>
      <c r="I863" s="1">
        <v>123697.2</v>
      </c>
      <c r="J863" s="1">
        <v>50663.4</v>
      </c>
      <c r="K863" s="1">
        <v>73033.8</v>
      </c>
      <c r="L863" s="1">
        <v>240</v>
      </c>
      <c r="M863" s="1">
        <v>0.14000000000000001</v>
      </c>
      <c r="N863" s="1">
        <v>42013.3</v>
      </c>
      <c r="O863" s="1">
        <v>62334.1</v>
      </c>
      <c r="P863" s="1">
        <v>104347.4</v>
      </c>
      <c r="Q863" s="1">
        <v>3092</v>
      </c>
      <c r="R863" s="1">
        <v>1209.5</v>
      </c>
      <c r="S863" s="1">
        <v>4301.5</v>
      </c>
      <c r="T863" s="1">
        <v>12.17</v>
      </c>
      <c r="U863" s="1">
        <v>0.02</v>
      </c>
      <c r="V863" s="1">
        <v>1106.4000000000001</v>
      </c>
      <c r="W863" s="1">
        <v>4198.3999999999996</v>
      </c>
      <c r="X863" s="1">
        <v>0.15</v>
      </c>
      <c r="Y863" s="1">
        <v>226</v>
      </c>
      <c r="Z863" s="1">
        <v>108545.8</v>
      </c>
      <c r="AA863" s="1">
        <v>12.25</v>
      </c>
      <c r="AB863" s="1">
        <v>800</v>
      </c>
    </row>
    <row r="864" spans="1:28" x14ac:dyDescent="0.4">
      <c r="A864" s="1" t="s">
        <v>204</v>
      </c>
      <c r="B864" s="1">
        <v>800</v>
      </c>
      <c r="C864" s="1">
        <v>0.3</v>
      </c>
      <c r="D864" s="1">
        <v>0.5</v>
      </c>
      <c r="E864" s="1">
        <v>1000</v>
      </c>
      <c r="F864" s="1">
        <v>2</v>
      </c>
      <c r="G864" s="1">
        <v>3</v>
      </c>
      <c r="H864" s="1" t="s">
        <v>595</v>
      </c>
      <c r="I864" s="1">
        <v>126029.9</v>
      </c>
      <c r="J864" s="1">
        <v>50118.3</v>
      </c>
      <c r="K864" s="1">
        <v>75911.600000000006</v>
      </c>
      <c r="L864" s="1">
        <v>240</v>
      </c>
      <c r="M864" s="1">
        <v>0.13</v>
      </c>
      <c r="N864" s="1">
        <v>41013.1</v>
      </c>
      <c r="O864" s="1">
        <v>65067.8</v>
      </c>
      <c r="P864" s="1">
        <v>106080.9</v>
      </c>
      <c r="Q864" s="1">
        <v>3294.8</v>
      </c>
      <c r="R864" s="1">
        <v>1220.7</v>
      </c>
      <c r="S864" s="1">
        <v>4515.5</v>
      </c>
      <c r="T864" s="1">
        <v>12.25</v>
      </c>
      <c r="U864" s="1">
        <v>0.02</v>
      </c>
      <c r="V864" s="1">
        <v>1166.7</v>
      </c>
      <c r="W864" s="1">
        <v>4461.5</v>
      </c>
      <c r="X864" s="1">
        <v>0.15</v>
      </c>
      <c r="Y864" s="1">
        <v>231</v>
      </c>
      <c r="Z864" s="1">
        <v>110542.39999999999</v>
      </c>
      <c r="AA864" s="1">
        <v>12.29</v>
      </c>
      <c r="AB864" s="1">
        <v>800</v>
      </c>
    </row>
    <row r="865" spans="1:28" x14ac:dyDescent="0.4">
      <c r="A865" s="1" t="s">
        <v>205</v>
      </c>
      <c r="B865" s="1">
        <v>800</v>
      </c>
      <c r="C865" s="1">
        <v>0.3</v>
      </c>
      <c r="D865" s="1">
        <v>0.5</v>
      </c>
      <c r="E865" s="1">
        <v>1000</v>
      </c>
      <c r="F865" s="1">
        <v>2</v>
      </c>
      <c r="G865" s="1">
        <v>4</v>
      </c>
      <c r="H865" s="1" t="s">
        <v>595</v>
      </c>
      <c r="I865" s="1">
        <v>124838.2</v>
      </c>
      <c r="J865" s="1">
        <v>49077.599999999999</v>
      </c>
      <c r="K865" s="1">
        <v>75760.600000000006</v>
      </c>
      <c r="L865" s="1">
        <v>240</v>
      </c>
      <c r="M865" s="1">
        <v>0.15</v>
      </c>
      <c r="N865" s="1">
        <v>38582.6</v>
      </c>
      <c r="O865" s="1">
        <v>64839.1</v>
      </c>
      <c r="P865" s="1">
        <v>103421.7</v>
      </c>
      <c r="Q865" s="1">
        <v>3230.1</v>
      </c>
      <c r="R865" s="1">
        <v>1297.2</v>
      </c>
      <c r="S865" s="1">
        <v>4527.3</v>
      </c>
      <c r="T865" s="1">
        <v>13.53</v>
      </c>
      <c r="U865" s="1">
        <v>0.02</v>
      </c>
      <c r="V865" s="1">
        <v>1185</v>
      </c>
      <c r="W865" s="1">
        <v>4415.1000000000004</v>
      </c>
      <c r="X865" s="1">
        <v>0.16</v>
      </c>
      <c r="Y865" s="1">
        <v>225</v>
      </c>
      <c r="Z865" s="1">
        <v>107836.8</v>
      </c>
      <c r="AA865" s="1">
        <v>13.62</v>
      </c>
      <c r="AB865" s="1">
        <v>800</v>
      </c>
    </row>
    <row r="866" spans="1:28" x14ac:dyDescent="0.4">
      <c r="A866" s="1" t="s">
        <v>206</v>
      </c>
      <c r="B866" s="1">
        <v>800</v>
      </c>
      <c r="C866" s="1">
        <v>0.3</v>
      </c>
      <c r="D866" s="1">
        <v>0.5</v>
      </c>
      <c r="E866" s="1">
        <v>1000</v>
      </c>
      <c r="F866" s="1">
        <v>2</v>
      </c>
      <c r="G866" s="1">
        <v>5</v>
      </c>
      <c r="H866" s="1" t="s">
        <v>595</v>
      </c>
      <c r="I866" s="1">
        <v>130583.5</v>
      </c>
      <c r="J866" s="1">
        <v>53589.9</v>
      </c>
      <c r="K866" s="1">
        <v>76993.600000000006</v>
      </c>
      <c r="L866" s="1">
        <v>240</v>
      </c>
      <c r="M866" s="1">
        <v>0.15</v>
      </c>
      <c r="N866" s="1">
        <v>43432.3</v>
      </c>
      <c r="O866" s="1">
        <v>65981.8</v>
      </c>
      <c r="P866" s="1">
        <v>109414.1</v>
      </c>
      <c r="Q866" s="1">
        <v>3220.1</v>
      </c>
      <c r="R866" s="1">
        <v>1234.7</v>
      </c>
      <c r="S866" s="1">
        <v>4454.8</v>
      </c>
      <c r="T866" s="1">
        <v>12.8</v>
      </c>
      <c r="U866" s="1">
        <v>0.02</v>
      </c>
      <c r="V866" s="1">
        <v>1091.5999999999999</v>
      </c>
      <c r="W866" s="1">
        <v>4311.7</v>
      </c>
      <c r="X866" s="1">
        <v>0.17</v>
      </c>
      <c r="Y866" s="1">
        <v>222</v>
      </c>
      <c r="Z866" s="1">
        <v>113725.8</v>
      </c>
      <c r="AA866" s="1">
        <v>12.91</v>
      </c>
      <c r="AB866" s="1">
        <v>800</v>
      </c>
    </row>
    <row r="867" spans="1:28" x14ac:dyDescent="0.4">
      <c r="A867" s="1" t="s">
        <v>207</v>
      </c>
      <c r="B867" s="1">
        <v>800</v>
      </c>
      <c r="C867" s="1">
        <v>0.3</v>
      </c>
      <c r="D867" s="1">
        <v>0.5</v>
      </c>
      <c r="E867" s="1">
        <v>1000</v>
      </c>
      <c r="F867" s="1">
        <v>3</v>
      </c>
      <c r="G867" s="1">
        <v>1</v>
      </c>
      <c r="H867" s="1" t="s">
        <v>595</v>
      </c>
      <c r="I867" s="1">
        <v>165838</v>
      </c>
      <c r="J867" s="1">
        <v>67188.399999999994</v>
      </c>
      <c r="K867" s="1">
        <v>98649.600000000006</v>
      </c>
      <c r="L867" s="1">
        <v>240</v>
      </c>
      <c r="M867" s="1">
        <v>0.3</v>
      </c>
      <c r="N867" s="1">
        <v>56877.1</v>
      </c>
      <c r="O867" s="1">
        <v>85575.1</v>
      </c>
      <c r="P867" s="1">
        <v>142452.20000000001</v>
      </c>
      <c r="Q867" s="1">
        <v>3273.1</v>
      </c>
      <c r="R867" s="1">
        <v>1222.4000000000001</v>
      </c>
      <c r="S867" s="1">
        <v>4495.5</v>
      </c>
      <c r="T867" s="1">
        <v>11.39</v>
      </c>
      <c r="U867" s="1">
        <v>0.02</v>
      </c>
      <c r="V867" s="1">
        <v>1169.9000000000001</v>
      </c>
      <c r="W867" s="1">
        <v>4443</v>
      </c>
      <c r="X867" s="1">
        <v>0.32</v>
      </c>
      <c r="Y867" s="1">
        <v>223</v>
      </c>
      <c r="Z867" s="1">
        <v>146895.20000000001</v>
      </c>
      <c r="AA867" s="1">
        <v>11.42</v>
      </c>
      <c r="AB867" s="1">
        <v>800</v>
      </c>
    </row>
    <row r="868" spans="1:28" x14ac:dyDescent="0.4">
      <c r="A868" s="1" t="s">
        <v>208</v>
      </c>
      <c r="B868" s="1">
        <v>800</v>
      </c>
      <c r="C868" s="1">
        <v>0.3</v>
      </c>
      <c r="D868" s="1">
        <v>0.5</v>
      </c>
      <c r="E868" s="1">
        <v>1000</v>
      </c>
      <c r="F868" s="1">
        <v>3</v>
      </c>
      <c r="G868" s="1">
        <v>2</v>
      </c>
      <c r="H868" s="1" t="s">
        <v>595</v>
      </c>
      <c r="I868" s="1">
        <v>157725.29999999999</v>
      </c>
      <c r="J868" s="1">
        <v>62671.7</v>
      </c>
      <c r="K868" s="1">
        <v>95053.6</v>
      </c>
      <c r="L868" s="1">
        <v>240</v>
      </c>
      <c r="M868" s="1">
        <v>0.23</v>
      </c>
      <c r="N868" s="1">
        <v>52445</v>
      </c>
      <c r="O868" s="1">
        <v>81614.899999999994</v>
      </c>
      <c r="P868" s="1">
        <v>134059.9</v>
      </c>
      <c r="Q868" s="1">
        <v>3089</v>
      </c>
      <c r="R868" s="1">
        <v>1305.4000000000001</v>
      </c>
      <c r="S868" s="1">
        <v>4394.3999999999996</v>
      </c>
      <c r="T868" s="1">
        <v>12.22</v>
      </c>
      <c r="U868" s="1">
        <v>0.02</v>
      </c>
      <c r="V868" s="1">
        <v>1259.7</v>
      </c>
      <c r="W868" s="1">
        <v>4348.7</v>
      </c>
      <c r="X868" s="1">
        <v>0.25</v>
      </c>
      <c r="Y868" s="1">
        <v>234</v>
      </c>
      <c r="Z868" s="1">
        <v>138408.6</v>
      </c>
      <c r="AA868" s="1">
        <v>12.25</v>
      </c>
      <c r="AB868" s="1">
        <v>800</v>
      </c>
    </row>
    <row r="869" spans="1:28" x14ac:dyDescent="0.4">
      <c r="A869" s="1" t="s">
        <v>209</v>
      </c>
      <c r="B869" s="1">
        <v>800</v>
      </c>
      <c r="C869" s="1">
        <v>0.3</v>
      </c>
      <c r="D869" s="1">
        <v>0.5</v>
      </c>
      <c r="E869" s="1">
        <v>1000</v>
      </c>
      <c r="F869" s="1">
        <v>3</v>
      </c>
      <c r="G869" s="1">
        <v>3</v>
      </c>
      <c r="H869" s="1" t="s">
        <v>595</v>
      </c>
      <c r="I869" s="1">
        <v>158113.60000000001</v>
      </c>
      <c r="J869" s="1">
        <v>62217.4</v>
      </c>
      <c r="K869" s="1">
        <v>95896.2</v>
      </c>
      <c r="L869" s="1">
        <v>240</v>
      </c>
      <c r="M869" s="1">
        <v>0.21</v>
      </c>
      <c r="N869" s="1">
        <v>51718.3</v>
      </c>
      <c r="O869" s="1">
        <v>81530.899999999994</v>
      </c>
      <c r="P869" s="1">
        <v>133249.20000000001</v>
      </c>
      <c r="Q869" s="1">
        <v>2905.5</v>
      </c>
      <c r="R869" s="1">
        <v>1251.0999999999999</v>
      </c>
      <c r="S869" s="1">
        <v>4156.6000000000004</v>
      </c>
      <c r="T869" s="1">
        <v>13.1</v>
      </c>
      <c r="U869" s="1">
        <v>0.02</v>
      </c>
      <c r="V869" s="1">
        <v>1137.2</v>
      </c>
      <c r="W869" s="1">
        <v>4042.7</v>
      </c>
      <c r="X869" s="1">
        <v>0.23</v>
      </c>
      <c r="Y869" s="1">
        <v>203</v>
      </c>
      <c r="Z869" s="1">
        <v>137291.9</v>
      </c>
      <c r="AA869" s="1">
        <v>13.17</v>
      </c>
      <c r="AB869" s="1">
        <v>800</v>
      </c>
    </row>
    <row r="870" spans="1:28" x14ac:dyDescent="0.4">
      <c r="A870" s="1" t="s">
        <v>210</v>
      </c>
      <c r="B870" s="1">
        <v>800</v>
      </c>
      <c r="C870" s="1">
        <v>0.3</v>
      </c>
      <c r="D870" s="1">
        <v>0.5</v>
      </c>
      <c r="E870" s="1">
        <v>1000</v>
      </c>
      <c r="F870" s="1">
        <v>3</v>
      </c>
      <c r="G870" s="1">
        <v>4</v>
      </c>
      <c r="H870" s="1" t="s">
        <v>595</v>
      </c>
      <c r="I870" s="1">
        <v>152442.79999999999</v>
      </c>
      <c r="J870" s="1">
        <v>62484.3</v>
      </c>
      <c r="K870" s="1">
        <v>89958.5</v>
      </c>
      <c r="L870" s="1">
        <v>240</v>
      </c>
      <c r="M870" s="1">
        <v>0.18</v>
      </c>
      <c r="N870" s="1">
        <v>51023.6</v>
      </c>
      <c r="O870" s="1">
        <v>76081.8</v>
      </c>
      <c r="P870" s="1">
        <v>127105.4</v>
      </c>
      <c r="Q870" s="1">
        <v>3165.9</v>
      </c>
      <c r="R870" s="1">
        <v>1287.5999999999999</v>
      </c>
      <c r="S870" s="1">
        <v>4453.5</v>
      </c>
      <c r="T870" s="1">
        <v>13.7</v>
      </c>
      <c r="U870" s="1">
        <v>0.02</v>
      </c>
      <c r="V870" s="1">
        <v>1248.2</v>
      </c>
      <c r="W870" s="1">
        <v>4414.1000000000004</v>
      </c>
      <c r="X870" s="1">
        <v>0.2</v>
      </c>
      <c r="Y870" s="1">
        <v>224</v>
      </c>
      <c r="Z870" s="1">
        <v>131519.5</v>
      </c>
      <c r="AA870" s="1">
        <v>13.73</v>
      </c>
      <c r="AB870" s="1">
        <v>800</v>
      </c>
    </row>
    <row r="871" spans="1:28" x14ac:dyDescent="0.4">
      <c r="A871" s="1" t="s">
        <v>211</v>
      </c>
      <c r="B871" s="1">
        <v>800</v>
      </c>
      <c r="C871" s="1">
        <v>0.3</v>
      </c>
      <c r="D871" s="1">
        <v>0.5</v>
      </c>
      <c r="E871" s="1">
        <v>1000</v>
      </c>
      <c r="F871" s="1">
        <v>3</v>
      </c>
      <c r="G871" s="1">
        <v>5</v>
      </c>
      <c r="H871" s="1" t="s">
        <v>595</v>
      </c>
      <c r="I871" s="1">
        <v>155852.5</v>
      </c>
      <c r="J871" s="1">
        <v>62377.7</v>
      </c>
      <c r="K871" s="1">
        <v>93474.8</v>
      </c>
      <c r="L871" s="1">
        <v>240</v>
      </c>
      <c r="M871" s="1">
        <v>0.25</v>
      </c>
      <c r="N871" s="1">
        <v>51831.7</v>
      </c>
      <c r="O871" s="1">
        <v>80072.899999999994</v>
      </c>
      <c r="P871" s="1">
        <v>131904.6</v>
      </c>
      <c r="Q871" s="1">
        <v>2659.4</v>
      </c>
      <c r="R871" s="1">
        <v>1243.7</v>
      </c>
      <c r="S871" s="1">
        <v>3903.1</v>
      </c>
      <c r="T871" s="1">
        <v>12.86</v>
      </c>
      <c r="U871" s="1">
        <v>0.02</v>
      </c>
      <c r="V871" s="1">
        <v>1132.7</v>
      </c>
      <c r="W871" s="1">
        <v>3792.1</v>
      </c>
      <c r="X871" s="1">
        <v>0.26</v>
      </c>
      <c r="Y871" s="1">
        <v>191</v>
      </c>
      <c r="Z871" s="1">
        <v>135696.70000000001</v>
      </c>
      <c r="AA871" s="1">
        <v>12.93</v>
      </c>
      <c r="AB871" s="1">
        <v>800</v>
      </c>
    </row>
    <row r="872" spans="1:28" x14ac:dyDescent="0.4">
      <c r="A872" s="1" t="s">
        <v>212</v>
      </c>
      <c r="B872" s="1">
        <v>800</v>
      </c>
      <c r="C872" s="1">
        <v>0.3</v>
      </c>
      <c r="D872" s="1">
        <v>0.5</v>
      </c>
      <c r="E872" s="1">
        <v>2000</v>
      </c>
      <c r="F872" s="1">
        <v>1</v>
      </c>
      <c r="G872" s="1">
        <v>1</v>
      </c>
      <c r="H872" s="1" t="s">
        <v>595</v>
      </c>
      <c r="I872" s="1">
        <v>171006.7</v>
      </c>
      <c r="J872" s="1">
        <v>71207.600000000006</v>
      </c>
      <c r="K872" s="1">
        <v>99799.1</v>
      </c>
      <c r="L872" s="1">
        <v>240</v>
      </c>
      <c r="M872" s="1">
        <v>0.11</v>
      </c>
      <c r="N872" s="1">
        <v>56173</v>
      </c>
      <c r="O872" s="1">
        <v>83193.399999999994</v>
      </c>
      <c r="P872" s="1">
        <v>139366.39999999999</v>
      </c>
      <c r="Q872" s="1">
        <v>2885.9</v>
      </c>
      <c r="R872" s="1">
        <v>1265.0999999999999</v>
      </c>
      <c r="S872" s="1">
        <v>4151</v>
      </c>
      <c r="T872" s="1">
        <v>16.07</v>
      </c>
      <c r="U872" s="1">
        <v>0.01</v>
      </c>
      <c r="V872" s="1">
        <v>1183.9000000000001</v>
      </c>
      <c r="W872" s="1">
        <v>4069.8</v>
      </c>
      <c r="X872" s="1">
        <v>0.13</v>
      </c>
      <c r="Y872" s="1">
        <v>201</v>
      </c>
      <c r="Z872" s="1">
        <v>143436.20000000001</v>
      </c>
      <c r="AA872" s="1">
        <v>16.12</v>
      </c>
      <c r="AB872" s="1">
        <v>800</v>
      </c>
    </row>
    <row r="873" spans="1:28" x14ac:dyDescent="0.4">
      <c r="A873" s="1" t="s">
        <v>213</v>
      </c>
      <c r="B873" s="1">
        <v>800</v>
      </c>
      <c r="C873" s="1">
        <v>0.3</v>
      </c>
      <c r="D873" s="1">
        <v>0.5</v>
      </c>
      <c r="E873" s="1">
        <v>2000</v>
      </c>
      <c r="F873" s="1">
        <v>1</v>
      </c>
      <c r="G873" s="1">
        <v>2</v>
      </c>
      <c r="H873" s="1" t="s">
        <v>595</v>
      </c>
      <c r="I873" s="1">
        <v>172500.6</v>
      </c>
      <c r="J873" s="1">
        <v>71637.7</v>
      </c>
      <c r="K873" s="1">
        <v>100862.9</v>
      </c>
      <c r="L873" s="1">
        <v>240</v>
      </c>
      <c r="M873" s="1">
        <v>0.13</v>
      </c>
      <c r="N873" s="1">
        <v>57413.1</v>
      </c>
      <c r="O873" s="1">
        <v>85115.1</v>
      </c>
      <c r="P873" s="1">
        <v>142528.20000000001</v>
      </c>
      <c r="Q873" s="1">
        <v>3183</v>
      </c>
      <c r="R873" s="1">
        <v>1284.3</v>
      </c>
      <c r="S873" s="1">
        <v>4467.3</v>
      </c>
      <c r="T873" s="1">
        <v>14.79</v>
      </c>
      <c r="U873" s="1">
        <v>0.02</v>
      </c>
      <c r="V873" s="1">
        <v>1181.7</v>
      </c>
      <c r="W873" s="1">
        <v>4364.7</v>
      </c>
      <c r="X873" s="1">
        <v>0.15</v>
      </c>
      <c r="Y873" s="1">
        <v>230</v>
      </c>
      <c r="Z873" s="1">
        <v>146892.9</v>
      </c>
      <c r="AA873" s="1">
        <v>14.84</v>
      </c>
      <c r="AB873" s="1">
        <v>800</v>
      </c>
    </row>
    <row r="874" spans="1:28" x14ac:dyDescent="0.4">
      <c r="A874" s="1" t="s">
        <v>214</v>
      </c>
      <c r="B874" s="1">
        <v>800</v>
      </c>
      <c r="C874" s="1">
        <v>0.3</v>
      </c>
      <c r="D874" s="1">
        <v>0.5</v>
      </c>
      <c r="E874" s="1">
        <v>2000</v>
      </c>
      <c r="F874" s="1">
        <v>1</v>
      </c>
      <c r="G874" s="1">
        <v>3</v>
      </c>
      <c r="H874" s="1" t="s">
        <v>595</v>
      </c>
      <c r="I874" s="1">
        <v>168558.4</v>
      </c>
      <c r="J874" s="1">
        <v>67244.600000000006</v>
      </c>
      <c r="K874" s="1">
        <v>101313.8</v>
      </c>
      <c r="L874" s="1">
        <v>240</v>
      </c>
      <c r="M874" s="1">
        <v>0.13</v>
      </c>
      <c r="N874" s="1">
        <v>53857.1</v>
      </c>
      <c r="O874" s="1">
        <v>85497.8</v>
      </c>
      <c r="P874" s="1">
        <v>139354.9</v>
      </c>
      <c r="Q874" s="1">
        <v>3202.3</v>
      </c>
      <c r="R874" s="1">
        <v>1342.6</v>
      </c>
      <c r="S874" s="1">
        <v>4544.8999999999996</v>
      </c>
      <c r="T874" s="1">
        <v>14.63</v>
      </c>
      <c r="U874" s="1">
        <v>0.02</v>
      </c>
      <c r="V874" s="1">
        <v>1217.0999999999999</v>
      </c>
      <c r="W874" s="1">
        <v>4419.3999999999996</v>
      </c>
      <c r="X874" s="1">
        <v>0.15</v>
      </c>
      <c r="Y874" s="1">
        <v>224</v>
      </c>
      <c r="Z874" s="1">
        <v>143774.29999999999</v>
      </c>
      <c r="AA874" s="1">
        <v>14.7</v>
      </c>
      <c r="AB874" s="1">
        <v>800</v>
      </c>
    </row>
    <row r="875" spans="1:28" x14ac:dyDescent="0.4">
      <c r="A875" s="1" t="s">
        <v>215</v>
      </c>
      <c r="B875" s="1">
        <v>800</v>
      </c>
      <c r="C875" s="1">
        <v>0.3</v>
      </c>
      <c r="D875" s="1">
        <v>0.5</v>
      </c>
      <c r="E875" s="1">
        <v>2000</v>
      </c>
      <c r="F875" s="1">
        <v>1</v>
      </c>
      <c r="G875" s="1">
        <v>4</v>
      </c>
      <c r="H875" s="1" t="s">
        <v>595</v>
      </c>
      <c r="I875" s="1">
        <v>176111.9</v>
      </c>
      <c r="J875" s="1">
        <v>72025.8</v>
      </c>
      <c r="K875" s="1">
        <v>104086.1</v>
      </c>
      <c r="L875" s="1">
        <v>240</v>
      </c>
      <c r="M875" s="1">
        <v>0.14000000000000001</v>
      </c>
      <c r="N875" s="1">
        <v>57057.5</v>
      </c>
      <c r="O875" s="1">
        <v>86729.7</v>
      </c>
      <c r="P875" s="1">
        <v>143787.20000000001</v>
      </c>
      <c r="Q875" s="1">
        <v>3181.3</v>
      </c>
      <c r="R875" s="1">
        <v>1322.2</v>
      </c>
      <c r="S875" s="1">
        <v>4503.5</v>
      </c>
      <c r="T875" s="1">
        <v>15.8</v>
      </c>
      <c r="U875" s="1">
        <v>0.02</v>
      </c>
      <c r="V875" s="1">
        <v>1219.7</v>
      </c>
      <c r="W875" s="1">
        <v>4401</v>
      </c>
      <c r="X875" s="1">
        <v>0.16</v>
      </c>
      <c r="Y875" s="1">
        <v>221</v>
      </c>
      <c r="Z875" s="1">
        <v>148188.20000000001</v>
      </c>
      <c r="AA875" s="1">
        <v>15.86</v>
      </c>
      <c r="AB875" s="1">
        <v>800</v>
      </c>
    </row>
    <row r="876" spans="1:28" x14ac:dyDescent="0.4">
      <c r="A876" s="1" t="s">
        <v>216</v>
      </c>
      <c r="B876" s="1">
        <v>800</v>
      </c>
      <c r="C876" s="1">
        <v>0.3</v>
      </c>
      <c r="D876" s="1">
        <v>0.5</v>
      </c>
      <c r="E876" s="1">
        <v>2000</v>
      </c>
      <c r="F876" s="1">
        <v>1</v>
      </c>
      <c r="G876" s="1">
        <v>5</v>
      </c>
      <c r="H876" s="1" t="s">
        <v>595</v>
      </c>
      <c r="I876" s="1">
        <v>169328.4</v>
      </c>
      <c r="J876" s="1">
        <v>68708.100000000006</v>
      </c>
      <c r="K876" s="1">
        <v>100620.3</v>
      </c>
      <c r="L876" s="1">
        <v>240</v>
      </c>
      <c r="M876" s="1">
        <v>0.12</v>
      </c>
      <c r="N876" s="1">
        <v>55491.3</v>
      </c>
      <c r="O876" s="1">
        <v>86147.8</v>
      </c>
      <c r="P876" s="1">
        <v>141639.1</v>
      </c>
      <c r="Q876" s="1">
        <v>2864.7</v>
      </c>
      <c r="R876" s="1">
        <v>1265.4000000000001</v>
      </c>
      <c r="S876" s="1">
        <v>4130.1000000000004</v>
      </c>
      <c r="T876" s="1">
        <v>13.91</v>
      </c>
      <c r="U876" s="1">
        <v>0.02</v>
      </c>
      <c r="V876" s="1">
        <v>1167.4000000000001</v>
      </c>
      <c r="W876" s="1">
        <v>4032.1</v>
      </c>
      <c r="X876" s="1">
        <v>0.13</v>
      </c>
      <c r="Y876" s="1">
        <v>208</v>
      </c>
      <c r="Z876" s="1">
        <v>145671.20000000001</v>
      </c>
      <c r="AA876" s="1">
        <v>13.97</v>
      </c>
      <c r="AB876" s="1">
        <v>800</v>
      </c>
    </row>
    <row r="877" spans="1:28" x14ac:dyDescent="0.4">
      <c r="A877" s="1" t="s">
        <v>217</v>
      </c>
      <c r="B877" s="1">
        <v>800</v>
      </c>
      <c r="C877" s="1">
        <v>0.3</v>
      </c>
      <c r="D877" s="1">
        <v>0.5</v>
      </c>
      <c r="E877" s="1">
        <v>2000</v>
      </c>
      <c r="F877" s="1">
        <v>2</v>
      </c>
      <c r="G877" s="1">
        <v>1</v>
      </c>
      <c r="H877" s="1" t="s">
        <v>595</v>
      </c>
      <c r="I877" s="1">
        <v>248948.8</v>
      </c>
      <c r="J877" s="1">
        <v>101892.4</v>
      </c>
      <c r="K877" s="1">
        <v>147056.4</v>
      </c>
      <c r="L877" s="1">
        <v>240</v>
      </c>
      <c r="M877" s="1">
        <v>0.27</v>
      </c>
      <c r="N877" s="1">
        <v>82491.8</v>
      </c>
      <c r="O877" s="1">
        <v>124973.6</v>
      </c>
      <c r="P877" s="1">
        <v>207465.4</v>
      </c>
      <c r="Q877" s="1">
        <v>3194</v>
      </c>
      <c r="R877" s="1">
        <v>1331.4</v>
      </c>
      <c r="S877" s="1">
        <v>4525.3999999999996</v>
      </c>
      <c r="T877" s="1">
        <v>14.85</v>
      </c>
      <c r="U877" s="1">
        <v>0.02</v>
      </c>
      <c r="V877" s="1">
        <v>1193.5</v>
      </c>
      <c r="W877" s="1">
        <v>4387.5</v>
      </c>
      <c r="X877" s="1">
        <v>0.28000000000000003</v>
      </c>
      <c r="Y877" s="1">
        <v>219</v>
      </c>
      <c r="Z877" s="1">
        <v>211852.9</v>
      </c>
      <c r="AA877" s="1">
        <v>14.9</v>
      </c>
      <c r="AB877" s="1">
        <v>800</v>
      </c>
    </row>
    <row r="878" spans="1:28" x14ac:dyDescent="0.4">
      <c r="A878" s="1" t="s">
        <v>218</v>
      </c>
      <c r="B878" s="1">
        <v>800</v>
      </c>
      <c r="C878" s="1">
        <v>0.3</v>
      </c>
      <c r="D878" s="1">
        <v>0.5</v>
      </c>
      <c r="E878" s="1">
        <v>2000</v>
      </c>
      <c r="F878" s="1">
        <v>2</v>
      </c>
      <c r="G878" s="1">
        <v>2</v>
      </c>
      <c r="H878" s="1" t="s">
        <v>595</v>
      </c>
      <c r="I878" s="1">
        <v>251798.1</v>
      </c>
      <c r="J878" s="1">
        <v>99478.3</v>
      </c>
      <c r="K878" s="1">
        <v>152319.79999999999</v>
      </c>
      <c r="L878" s="1">
        <v>240</v>
      </c>
      <c r="M878" s="1">
        <v>0.22</v>
      </c>
      <c r="N878" s="1">
        <v>82079.7</v>
      </c>
      <c r="O878" s="1">
        <v>130414.9</v>
      </c>
      <c r="P878" s="1">
        <v>212494.6</v>
      </c>
      <c r="Q878" s="1">
        <v>3112.9</v>
      </c>
      <c r="R878" s="1">
        <v>1348.3</v>
      </c>
      <c r="S878" s="1">
        <v>4461.2</v>
      </c>
      <c r="T878" s="1">
        <v>13.84</v>
      </c>
      <c r="U878" s="1">
        <v>0.02</v>
      </c>
      <c r="V878" s="1">
        <v>1243</v>
      </c>
      <c r="W878" s="1">
        <v>4355.8999999999996</v>
      </c>
      <c r="X878" s="1">
        <v>0.24</v>
      </c>
      <c r="Y878" s="1">
        <v>220</v>
      </c>
      <c r="Z878" s="1">
        <v>216850.5</v>
      </c>
      <c r="AA878" s="1">
        <v>13.88</v>
      </c>
      <c r="AB878" s="1">
        <v>800</v>
      </c>
    </row>
    <row r="879" spans="1:28" x14ac:dyDescent="0.4">
      <c r="A879" s="1" t="s">
        <v>219</v>
      </c>
      <c r="B879" s="1">
        <v>800</v>
      </c>
      <c r="C879" s="1">
        <v>0.3</v>
      </c>
      <c r="D879" s="1">
        <v>0.5</v>
      </c>
      <c r="E879" s="1">
        <v>2000</v>
      </c>
      <c r="F879" s="1">
        <v>2</v>
      </c>
      <c r="G879" s="1">
        <v>3</v>
      </c>
      <c r="H879" s="1" t="s">
        <v>595</v>
      </c>
      <c r="I879" s="1">
        <v>256798.8</v>
      </c>
      <c r="J879" s="1">
        <v>104496.9</v>
      </c>
      <c r="K879" s="1">
        <v>152301.9</v>
      </c>
      <c r="L879" s="1">
        <v>240</v>
      </c>
      <c r="M879" s="1">
        <v>0.28999999999999998</v>
      </c>
      <c r="N879" s="1">
        <v>85623.2</v>
      </c>
      <c r="O879" s="1">
        <v>130595.9</v>
      </c>
      <c r="P879" s="1">
        <v>216219.1</v>
      </c>
      <c r="Q879" s="1">
        <v>3176.1</v>
      </c>
      <c r="R879" s="1">
        <v>1212.8</v>
      </c>
      <c r="S879" s="1">
        <v>4388.8999999999996</v>
      </c>
      <c r="T879" s="1">
        <v>14.09</v>
      </c>
      <c r="U879" s="1">
        <v>0.02</v>
      </c>
      <c r="V879" s="1">
        <v>1126.8</v>
      </c>
      <c r="W879" s="1">
        <v>4302.8999999999996</v>
      </c>
      <c r="X879" s="1">
        <v>0.31</v>
      </c>
      <c r="Y879" s="1">
        <v>215</v>
      </c>
      <c r="Z879" s="1">
        <v>220522</v>
      </c>
      <c r="AA879" s="1">
        <v>14.13</v>
      </c>
      <c r="AB879" s="1">
        <v>800</v>
      </c>
    </row>
    <row r="880" spans="1:28" x14ac:dyDescent="0.4">
      <c r="A880" s="1" t="s">
        <v>220</v>
      </c>
      <c r="B880" s="1">
        <v>800</v>
      </c>
      <c r="C880" s="1">
        <v>0.3</v>
      </c>
      <c r="D880" s="1">
        <v>0.5</v>
      </c>
      <c r="E880" s="1">
        <v>2000</v>
      </c>
      <c r="F880" s="1">
        <v>2</v>
      </c>
      <c r="G880" s="1">
        <v>4</v>
      </c>
      <c r="H880" s="1" t="s">
        <v>595</v>
      </c>
      <c r="I880" s="1">
        <v>253933.9</v>
      </c>
      <c r="J880" s="1">
        <v>102202.1</v>
      </c>
      <c r="K880" s="1">
        <v>151731.79999999999</v>
      </c>
      <c r="L880" s="1">
        <v>240</v>
      </c>
      <c r="M880" s="1">
        <v>0.32</v>
      </c>
      <c r="N880" s="1">
        <v>83789.399999999994</v>
      </c>
      <c r="O880" s="1">
        <v>130448.9</v>
      </c>
      <c r="P880" s="1">
        <v>214238.3</v>
      </c>
      <c r="Q880" s="1">
        <v>3227.6</v>
      </c>
      <c r="R880" s="1">
        <v>1286.7</v>
      </c>
      <c r="S880" s="1">
        <v>4514.3</v>
      </c>
      <c r="T880" s="1">
        <v>13.85</v>
      </c>
      <c r="U880" s="1">
        <v>0.02</v>
      </c>
      <c r="V880" s="1">
        <v>1165.7</v>
      </c>
      <c r="W880" s="1">
        <v>4393.3</v>
      </c>
      <c r="X880" s="1">
        <v>0.34</v>
      </c>
      <c r="Y880" s="1">
        <v>221</v>
      </c>
      <c r="Z880" s="1">
        <v>218631.6</v>
      </c>
      <c r="AA880" s="1">
        <v>13.9</v>
      </c>
      <c r="AB880" s="1">
        <v>800</v>
      </c>
    </row>
    <row r="881" spans="1:28" x14ac:dyDescent="0.4">
      <c r="A881" s="1" t="s">
        <v>221</v>
      </c>
      <c r="B881" s="1">
        <v>800</v>
      </c>
      <c r="C881" s="1">
        <v>0.3</v>
      </c>
      <c r="D881" s="1">
        <v>0.5</v>
      </c>
      <c r="E881" s="1">
        <v>2000</v>
      </c>
      <c r="F881" s="1">
        <v>2</v>
      </c>
      <c r="G881" s="1">
        <v>5</v>
      </c>
      <c r="H881" s="1" t="s">
        <v>595</v>
      </c>
      <c r="I881" s="1">
        <v>249086.1</v>
      </c>
      <c r="J881" s="1">
        <v>101164.3</v>
      </c>
      <c r="K881" s="1">
        <v>147921.79999999999</v>
      </c>
      <c r="L881" s="1">
        <v>240</v>
      </c>
      <c r="M881" s="1">
        <v>0.32</v>
      </c>
      <c r="N881" s="1">
        <v>81842.5</v>
      </c>
      <c r="O881" s="1">
        <v>124597.1</v>
      </c>
      <c r="P881" s="1">
        <v>206439.6</v>
      </c>
      <c r="Q881" s="1">
        <v>2989.8</v>
      </c>
      <c r="R881" s="1">
        <v>1353.2</v>
      </c>
      <c r="S881" s="1">
        <v>4343</v>
      </c>
      <c r="T881" s="1">
        <v>15.38</v>
      </c>
      <c r="U881" s="1">
        <v>0.02</v>
      </c>
      <c r="V881" s="1">
        <v>1279.3</v>
      </c>
      <c r="W881" s="1">
        <v>4269.1000000000004</v>
      </c>
      <c r="X881" s="1">
        <v>0.33</v>
      </c>
      <c r="Y881" s="1">
        <v>217</v>
      </c>
      <c r="Z881" s="1">
        <v>210708.7</v>
      </c>
      <c r="AA881" s="1">
        <v>15.41</v>
      </c>
      <c r="AB881" s="1">
        <v>800</v>
      </c>
    </row>
    <row r="882" spans="1:28" x14ac:dyDescent="0.4">
      <c r="A882" s="1" t="s">
        <v>222</v>
      </c>
      <c r="B882" s="1">
        <v>800</v>
      </c>
      <c r="C882" s="1">
        <v>0.3</v>
      </c>
      <c r="D882" s="1">
        <v>0.5</v>
      </c>
      <c r="E882" s="1">
        <v>2000</v>
      </c>
      <c r="F882" s="1">
        <v>3</v>
      </c>
      <c r="G882" s="1">
        <v>1</v>
      </c>
      <c r="H882" s="1" t="s">
        <v>595</v>
      </c>
      <c r="I882" s="1">
        <v>310754.59999999998</v>
      </c>
      <c r="J882" s="1">
        <v>128361.4</v>
      </c>
      <c r="K882" s="1">
        <v>182393.2</v>
      </c>
      <c r="L882" s="1">
        <v>240</v>
      </c>
      <c r="M882" s="1">
        <v>0.19</v>
      </c>
      <c r="N882" s="1">
        <v>105883.8</v>
      </c>
      <c r="O882" s="1">
        <v>157436.4</v>
      </c>
      <c r="P882" s="1">
        <v>263320.2</v>
      </c>
      <c r="Q882" s="1">
        <v>3306.3</v>
      </c>
      <c r="R882" s="1">
        <v>1333.9</v>
      </c>
      <c r="S882" s="1">
        <v>4640.2</v>
      </c>
      <c r="T882" s="1">
        <v>13.77</v>
      </c>
      <c r="U882" s="1">
        <v>0.02</v>
      </c>
      <c r="V882" s="1">
        <v>1273.5</v>
      </c>
      <c r="W882" s="1">
        <v>4579.8</v>
      </c>
      <c r="X882" s="1">
        <v>0.21</v>
      </c>
      <c r="Y882" s="1">
        <v>226</v>
      </c>
      <c r="Z882" s="1">
        <v>267900</v>
      </c>
      <c r="AA882" s="1">
        <v>13.79</v>
      </c>
      <c r="AB882" s="1">
        <v>800</v>
      </c>
    </row>
    <row r="883" spans="1:28" x14ac:dyDescent="0.4">
      <c r="A883" s="1" t="s">
        <v>223</v>
      </c>
      <c r="B883" s="1">
        <v>800</v>
      </c>
      <c r="C883" s="1">
        <v>0.3</v>
      </c>
      <c r="D883" s="1">
        <v>0.5</v>
      </c>
      <c r="E883" s="1">
        <v>2000</v>
      </c>
      <c r="F883" s="1">
        <v>3</v>
      </c>
      <c r="G883" s="1">
        <v>2</v>
      </c>
      <c r="H883" s="1" t="s">
        <v>595</v>
      </c>
      <c r="I883" s="1">
        <v>313880.8</v>
      </c>
      <c r="J883" s="1">
        <v>128693.3</v>
      </c>
      <c r="K883" s="1">
        <v>185187.5</v>
      </c>
      <c r="L883" s="1">
        <v>240</v>
      </c>
      <c r="M883" s="1">
        <v>0.41</v>
      </c>
      <c r="N883" s="1">
        <v>108132.3</v>
      </c>
      <c r="O883" s="1">
        <v>159851</v>
      </c>
      <c r="P883" s="1">
        <v>267983.3</v>
      </c>
      <c r="Q883" s="1">
        <v>3140.1</v>
      </c>
      <c r="R883" s="1">
        <v>1304</v>
      </c>
      <c r="S883" s="1">
        <v>4444.1000000000004</v>
      </c>
      <c r="T883" s="1">
        <v>13.21</v>
      </c>
      <c r="U883" s="1">
        <v>0.02</v>
      </c>
      <c r="V883" s="1">
        <v>1246.9000000000001</v>
      </c>
      <c r="W883" s="1">
        <v>4387</v>
      </c>
      <c r="X883" s="1">
        <v>0.43</v>
      </c>
      <c r="Y883" s="1">
        <v>214</v>
      </c>
      <c r="Z883" s="1">
        <v>272370.3</v>
      </c>
      <c r="AA883" s="1">
        <v>13.22</v>
      </c>
      <c r="AB883" s="1">
        <v>800</v>
      </c>
    </row>
    <row r="884" spans="1:28" x14ac:dyDescent="0.4">
      <c r="A884" s="1" t="s">
        <v>224</v>
      </c>
      <c r="B884" s="1">
        <v>800</v>
      </c>
      <c r="C884" s="1">
        <v>0.3</v>
      </c>
      <c r="D884" s="1">
        <v>0.5</v>
      </c>
      <c r="E884" s="1">
        <v>2000</v>
      </c>
      <c r="F884" s="1">
        <v>3</v>
      </c>
      <c r="G884" s="1">
        <v>3</v>
      </c>
      <c r="H884" s="1" t="s">
        <v>595</v>
      </c>
      <c r="I884" s="1">
        <v>309386.8</v>
      </c>
      <c r="J884" s="1">
        <v>122023.6</v>
      </c>
      <c r="K884" s="1">
        <v>187363.20000000001</v>
      </c>
      <c r="L884" s="1">
        <v>240</v>
      </c>
      <c r="M884" s="1">
        <v>0.5</v>
      </c>
      <c r="N884" s="1">
        <v>102004.5</v>
      </c>
      <c r="O884" s="1">
        <v>163063.9</v>
      </c>
      <c r="P884" s="1">
        <v>265068.40000000002</v>
      </c>
      <c r="Q884" s="1">
        <v>3228.4</v>
      </c>
      <c r="R884" s="1">
        <v>1450</v>
      </c>
      <c r="S884" s="1">
        <v>4678.3999999999996</v>
      </c>
      <c r="T884" s="1">
        <v>12.81</v>
      </c>
      <c r="U884" s="1">
        <v>0.02</v>
      </c>
      <c r="V884" s="1">
        <v>1370.1</v>
      </c>
      <c r="W884" s="1">
        <v>4598.5</v>
      </c>
      <c r="X884" s="1">
        <v>0.52</v>
      </c>
      <c r="Y884" s="1">
        <v>218</v>
      </c>
      <c r="Z884" s="1">
        <v>269666.90000000002</v>
      </c>
      <c r="AA884" s="1">
        <v>12.84</v>
      </c>
      <c r="AB884" s="1">
        <v>800</v>
      </c>
    </row>
    <row r="885" spans="1:28" x14ac:dyDescent="0.4">
      <c r="A885" s="1" t="s">
        <v>225</v>
      </c>
      <c r="B885" s="1">
        <v>800</v>
      </c>
      <c r="C885" s="1">
        <v>0.3</v>
      </c>
      <c r="D885" s="1">
        <v>0.5</v>
      </c>
      <c r="E885" s="1">
        <v>2000</v>
      </c>
      <c r="F885" s="1">
        <v>3</v>
      </c>
      <c r="G885" s="1">
        <v>4</v>
      </c>
      <c r="H885" s="1" t="s">
        <v>595</v>
      </c>
      <c r="I885" s="1">
        <v>310158.2</v>
      </c>
      <c r="J885" s="1">
        <v>127750.1</v>
      </c>
      <c r="K885" s="1">
        <v>182408.1</v>
      </c>
      <c r="L885" s="1">
        <v>240</v>
      </c>
      <c r="M885" s="1">
        <v>0.47</v>
      </c>
      <c r="N885" s="1">
        <v>105473.9</v>
      </c>
      <c r="O885" s="1">
        <v>155773.1</v>
      </c>
      <c r="P885" s="1">
        <v>261247</v>
      </c>
      <c r="Q885" s="1">
        <v>3113.4</v>
      </c>
      <c r="R885" s="1">
        <v>1306.5999999999999</v>
      </c>
      <c r="S885" s="1">
        <v>4420</v>
      </c>
      <c r="T885" s="1">
        <v>14.34</v>
      </c>
      <c r="U885" s="1">
        <v>0.02</v>
      </c>
      <c r="V885" s="1">
        <v>1225.2</v>
      </c>
      <c r="W885" s="1">
        <v>4338.6000000000004</v>
      </c>
      <c r="X885" s="1">
        <v>0.48</v>
      </c>
      <c r="Y885" s="1">
        <v>220</v>
      </c>
      <c r="Z885" s="1">
        <v>265585.59999999998</v>
      </c>
      <c r="AA885" s="1">
        <v>14.37</v>
      </c>
      <c r="AB885" s="1">
        <v>800</v>
      </c>
    </row>
    <row r="886" spans="1:28" x14ac:dyDescent="0.4">
      <c r="A886" s="1" t="s">
        <v>226</v>
      </c>
      <c r="B886" s="1">
        <v>800</v>
      </c>
      <c r="C886" s="1">
        <v>0.3</v>
      </c>
      <c r="D886" s="1">
        <v>0.5</v>
      </c>
      <c r="E886" s="1">
        <v>2000</v>
      </c>
      <c r="F886" s="1">
        <v>3</v>
      </c>
      <c r="G886" s="1">
        <v>5</v>
      </c>
      <c r="H886" s="1" t="s">
        <v>595</v>
      </c>
      <c r="I886" s="1">
        <v>314621.59999999998</v>
      </c>
      <c r="J886" s="1">
        <v>129787.3</v>
      </c>
      <c r="K886" s="1">
        <v>184834.3</v>
      </c>
      <c r="L886" s="1">
        <v>240</v>
      </c>
      <c r="M886" s="1">
        <v>0.27</v>
      </c>
      <c r="N886" s="1">
        <v>107596.3</v>
      </c>
      <c r="O886" s="1">
        <v>160261</v>
      </c>
      <c r="P886" s="1">
        <v>267857.3</v>
      </c>
      <c r="Q886" s="1">
        <v>3182.9</v>
      </c>
      <c r="R886" s="1">
        <v>1276</v>
      </c>
      <c r="S886" s="1">
        <v>4458.8999999999996</v>
      </c>
      <c r="T886" s="1">
        <v>13.45</v>
      </c>
      <c r="U886" s="1">
        <v>0.03</v>
      </c>
      <c r="V886" s="1">
        <v>1177.4000000000001</v>
      </c>
      <c r="W886" s="1">
        <v>4360.3</v>
      </c>
      <c r="X886" s="1">
        <v>0.3</v>
      </c>
      <c r="Y886" s="1">
        <v>219</v>
      </c>
      <c r="Z886" s="1">
        <v>272217.59999999998</v>
      </c>
      <c r="AA886" s="1">
        <v>13.48</v>
      </c>
      <c r="AB886" s="1">
        <v>800</v>
      </c>
    </row>
    <row r="887" spans="1:28" x14ac:dyDescent="0.4">
      <c r="A887" s="1" t="s">
        <v>227</v>
      </c>
      <c r="B887" s="1">
        <v>800</v>
      </c>
      <c r="C887" s="1">
        <v>0.3</v>
      </c>
      <c r="D887" s="1">
        <v>0.5</v>
      </c>
      <c r="E887" s="1">
        <v>500</v>
      </c>
      <c r="F887" s="1">
        <v>1</v>
      </c>
      <c r="G887" s="1">
        <v>1</v>
      </c>
      <c r="H887" s="1" t="s">
        <v>595</v>
      </c>
      <c r="I887" s="1">
        <v>42104.1</v>
      </c>
      <c r="J887" s="1">
        <v>17539.8</v>
      </c>
      <c r="K887" s="1">
        <v>24564.3</v>
      </c>
      <c r="L887" s="1">
        <v>240</v>
      </c>
      <c r="M887" s="1">
        <v>0.05</v>
      </c>
      <c r="N887" s="1">
        <v>13615.4</v>
      </c>
      <c r="O887" s="1">
        <v>20252.7</v>
      </c>
      <c r="P887" s="1">
        <v>33868.1</v>
      </c>
      <c r="Q887" s="1">
        <v>3139.6</v>
      </c>
      <c r="R887" s="1">
        <v>1072.4000000000001</v>
      </c>
      <c r="S887" s="1">
        <v>4212</v>
      </c>
      <c r="T887" s="1">
        <v>9.56</v>
      </c>
      <c r="U887" s="1">
        <v>0.01</v>
      </c>
      <c r="V887" s="1">
        <v>1014</v>
      </c>
      <c r="W887" s="1">
        <v>4153.6000000000004</v>
      </c>
      <c r="X887" s="1">
        <v>0.06</v>
      </c>
      <c r="Y887" s="1">
        <v>226</v>
      </c>
      <c r="Z887" s="1">
        <v>38021.699999999997</v>
      </c>
      <c r="AA887" s="1">
        <v>9.6999999999999993</v>
      </c>
      <c r="AB887" s="1">
        <v>800</v>
      </c>
    </row>
    <row r="888" spans="1:28" x14ac:dyDescent="0.4">
      <c r="A888" s="1" t="s">
        <v>228</v>
      </c>
      <c r="B888" s="1">
        <v>800</v>
      </c>
      <c r="C888" s="1">
        <v>0.3</v>
      </c>
      <c r="D888" s="1">
        <v>0.5</v>
      </c>
      <c r="E888" s="1">
        <v>500</v>
      </c>
      <c r="F888" s="1">
        <v>1</v>
      </c>
      <c r="G888" s="1">
        <v>2</v>
      </c>
      <c r="H888" s="1" t="s">
        <v>595</v>
      </c>
      <c r="I888" s="1">
        <v>41779.599999999999</v>
      </c>
      <c r="J888" s="1">
        <v>17994.900000000001</v>
      </c>
      <c r="K888" s="1">
        <v>23784.7</v>
      </c>
      <c r="L888" s="1">
        <v>240</v>
      </c>
      <c r="M888" s="1">
        <v>0.05</v>
      </c>
      <c r="N888" s="1">
        <v>14387.8</v>
      </c>
      <c r="O888" s="1">
        <v>19772.900000000001</v>
      </c>
      <c r="P888" s="1">
        <v>34160.699999999997</v>
      </c>
      <c r="Q888" s="1">
        <v>2921.9</v>
      </c>
      <c r="R888" s="1">
        <v>1007</v>
      </c>
      <c r="S888" s="1">
        <v>3928.9</v>
      </c>
      <c r="T888" s="1">
        <v>8.83</v>
      </c>
      <c r="U888" s="1">
        <v>0.01</v>
      </c>
      <c r="V888" s="1">
        <v>958.4</v>
      </c>
      <c r="W888" s="1">
        <v>3880.3</v>
      </c>
      <c r="X888" s="1">
        <v>0.05</v>
      </c>
      <c r="Y888" s="1">
        <v>211</v>
      </c>
      <c r="Z888" s="1">
        <v>38041</v>
      </c>
      <c r="AA888" s="1">
        <v>8.9499999999999993</v>
      </c>
      <c r="AB888" s="1">
        <v>800</v>
      </c>
    </row>
    <row r="889" spans="1:28" x14ac:dyDescent="0.4">
      <c r="A889" s="1" t="s">
        <v>229</v>
      </c>
      <c r="B889" s="1">
        <v>800</v>
      </c>
      <c r="C889" s="1">
        <v>0.3</v>
      </c>
      <c r="D889" s="1">
        <v>0.5</v>
      </c>
      <c r="E889" s="1">
        <v>500</v>
      </c>
      <c r="F889" s="1">
        <v>1</v>
      </c>
      <c r="G889" s="1">
        <v>3</v>
      </c>
      <c r="H889" s="1" t="s">
        <v>595</v>
      </c>
      <c r="I889" s="1">
        <v>40950.1</v>
      </c>
      <c r="J889" s="1">
        <v>17179.099999999999</v>
      </c>
      <c r="K889" s="1">
        <v>23771</v>
      </c>
      <c r="L889" s="1">
        <v>240</v>
      </c>
      <c r="M889" s="1">
        <v>0.05</v>
      </c>
      <c r="N889" s="1">
        <v>13614</v>
      </c>
      <c r="O889" s="1">
        <v>20207</v>
      </c>
      <c r="P889" s="1">
        <v>33821</v>
      </c>
      <c r="Q889" s="1">
        <v>2242.5</v>
      </c>
      <c r="R889" s="1">
        <v>809.6</v>
      </c>
      <c r="S889" s="1">
        <v>3052.1</v>
      </c>
      <c r="T889" s="1">
        <v>9.9600000000000009</v>
      </c>
      <c r="U889" s="1">
        <v>0.01</v>
      </c>
      <c r="V889" s="1">
        <v>730</v>
      </c>
      <c r="W889" s="1">
        <v>2972.5</v>
      </c>
      <c r="X889" s="1">
        <v>0.05</v>
      </c>
      <c r="Y889" s="1">
        <v>161</v>
      </c>
      <c r="Z889" s="1">
        <v>36793.5</v>
      </c>
      <c r="AA889" s="1">
        <v>10.15</v>
      </c>
      <c r="AB889" s="1">
        <v>800</v>
      </c>
    </row>
    <row r="890" spans="1:28" x14ac:dyDescent="0.4">
      <c r="A890" s="1" t="s">
        <v>230</v>
      </c>
      <c r="B890" s="1">
        <v>800</v>
      </c>
      <c r="C890" s="1">
        <v>0.3</v>
      </c>
      <c r="D890" s="1">
        <v>0.5</v>
      </c>
      <c r="E890" s="1">
        <v>500</v>
      </c>
      <c r="F890" s="1">
        <v>1</v>
      </c>
      <c r="G890" s="1">
        <v>4</v>
      </c>
      <c r="H890" s="1" t="s">
        <v>595</v>
      </c>
      <c r="I890" s="1">
        <v>41546.400000000001</v>
      </c>
      <c r="J890" s="1">
        <v>16396.099999999999</v>
      </c>
      <c r="K890" s="1">
        <v>25150.3</v>
      </c>
      <c r="L890" s="1">
        <v>240</v>
      </c>
      <c r="M890" s="1">
        <v>0.04</v>
      </c>
      <c r="N890" s="1">
        <v>13032.4</v>
      </c>
      <c r="O890" s="1">
        <v>20921.3</v>
      </c>
      <c r="P890" s="1">
        <v>33953.699999999997</v>
      </c>
      <c r="Q890" s="1">
        <v>2457.5</v>
      </c>
      <c r="R890" s="1">
        <v>850</v>
      </c>
      <c r="S890" s="1">
        <v>3307.5</v>
      </c>
      <c r="T890" s="1">
        <v>10.31</v>
      </c>
      <c r="U890" s="1">
        <v>0.01</v>
      </c>
      <c r="V890" s="1">
        <v>773.8</v>
      </c>
      <c r="W890" s="1">
        <v>3231.3</v>
      </c>
      <c r="X890" s="1">
        <v>0.05</v>
      </c>
      <c r="Y890" s="1">
        <v>176</v>
      </c>
      <c r="Z890" s="1">
        <v>37185</v>
      </c>
      <c r="AA890" s="1">
        <v>10.5</v>
      </c>
      <c r="AB890" s="1">
        <v>800</v>
      </c>
    </row>
    <row r="891" spans="1:28" x14ac:dyDescent="0.4">
      <c r="A891" s="1" t="s">
        <v>231</v>
      </c>
      <c r="B891" s="1">
        <v>800</v>
      </c>
      <c r="C891" s="1">
        <v>0.3</v>
      </c>
      <c r="D891" s="1">
        <v>0.5</v>
      </c>
      <c r="E891" s="1">
        <v>500</v>
      </c>
      <c r="F891" s="1">
        <v>1</v>
      </c>
      <c r="G891" s="1">
        <v>5</v>
      </c>
      <c r="H891" s="1" t="s">
        <v>595</v>
      </c>
      <c r="I891" s="1">
        <v>42722</v>
      </c>
      <c r="J891" s="1">
        <v>18044.599999999999</v>
      </c>
      <c r="K891" s="1">
        <v>24677.4</v>
      </c>
      <c r="L891" s="1">
        <v>240</v>
      </c>
      <c r="M891" s="1">
        <v>0.05</v>
      </c>
      <c r="N891" s="1">
        <v>14506.3</v>
      </c>
      <c r="O891" s="1">
        <v>20222.900000000001</v>
      </c>
      <c r="P891" s="1">
        <v>34729.199999999997</v>
      </c>
      <c r="Q891" s="1">
        <v>2945.4</v>
      </c>
      <c r="R891" s="1">
        <v>880.1</v>
      </c>
      <c r="S891" s="1">
        <v>3825.5</v>
      </c>
      <c r="T891" s="1">
        <v>9.75</v>
      </c>
      <c r="U891" s="1">
        <v>0.01</v>
      </c>
      <c r="V891" s="1">
        <v>808.8</v>
      </c>
      <c r="W891" s="1">
        <v>3754.2</v>
      </c>
      <c r="X891" s="1">
        <v>0.05</v>
      </c>
      <c r="Y891" s="1">
        <v>208</v>
      </c>
      <c r="Z891" s="1">
        <v>38483.4</v>
      </c>
      <c r="AA891" s="1">
        <v>9.92</v>
      </c>
      <c r="AB891" s="1">
        <v>800</v>
      </c>
    </row>
    <row r="892" spans="1:28" x14ac:dyDescent="0.4">
      <c r="A892" s="1" t="s">
        <v>232</v>
      </c>
      <c r="B892" s="1">
        <v>800</v>
      </c>
      <c r="C892" s="1">
        <v>0.3</v>
      </c>
      <c r="D892" s="1">
        <v>0.5</v>
      </c>
      <c r="E892" s="1">
        <v>500</v>
      </c>
      <c r="F892" s="1">
        <v>2</v>
      </c>
      <c r="G892" s="1">
        <v>1</v>
      </c>
      <c r="H892" s="1" t="s">
        <v>595</v>
      </c>
      <c r="I892" s="1">
        <v>60998.8</v>
      </c>
      <c r="J892" s="1">
        <v>24909.4</v>
      </c>
      <c r="K892" s="1">
        <v>36089.4</v>
      </c>
      <c r="L892" s="1">
        <v>240</v>
      </c>
      <c r="M892" s="1">
        <v>0.08</v>
      </c>
      <c r="N892" s="1">
        <v>20091.8</v>
      </c>
      <c r="O892" s="1">
        <v>30593.1</v>
      </c>
      <c r="P892" s="1">
        <v>50684.9</v>
      </c>
      <c r="Q892" s="1">
        <v>3044</v>
      </c>
      <c r="R892" s="1">
        <v>1171.9000000000001</v>
      </c>
      <c r="S892" s="1">
        <v>4215.8999999999996</v>
      </c>
      <c r="T892" s="1">
        <v>10</v>
      </c>
      <c r="U892" s="1">
        <v>0.01</v>
      </c>
      <c r="V892" s="1">
        <v>1088.8</v>
      </c>
      <c r="W892" s="1">
        <v>4132.8</v>
      </c>
      <c r="X892" s="1">
        <v>0.09</v>
      </c>
      <c r="Y892" s="1">
        <v>220</v>
      </c>
      <c r="Z892" s="1">
        <v>54817.7</v>
      </c>
      <c r="AA892" s="1">
        <v>10.130000000000001</v>
      </c>
      <c r="AB892" s="1">
        <v>800</v>
      </c>
    </row>
    <row r="893" spans="1:28" x14ac:dyDescent="0.4">
      <c r="A893" s="1" t="s">
        <v>233</v>
      </c>
      <c r="B893" s="1">
        <v>800</v>
      </c>
      <c r="C893" s="1">
        <v>0.3</v>
      </c>
      <c r="D893" s="1">
        <v>0.5</v>
      </c>
      <c r="E893" s="1">
        <v>500</v>
      </c>
      <c r="F893" s="1">
        <v>2</v>
      </c>
      <c r="G893" s="1">
        <v>2</v>
      </c>
      <c r="H893" s="1" t="s">
        <v>595</v>
      </c>
      <c r="I893" s="1">
        <v>64804.6</v>
      </c>
      <c r="J893" s="1">
        <v>25518.2</v>
      </c>
      <c r="K893" s="1">
        <v>39286.400000000001</v>
      </c>
      <c r="L893" s="1">
        <v>240</v>
      </c>
      <c r="M893" s="1">
        <v>0.09</v>
      </c>
      <c r="N893" s="1">
        <v>20624.599999999999</v>
      </c>
      <c r="O893" s="1">
        <v>32492.2</v>
      </c>
      <c r="P893" s="1">
        <v>53116.800000000003</v>
      </c>
      <c r="Q893" s="1">
        <v>2915.9</v>
      </c>
      <c r="R893" s="1">
        <v>1243.5999999999999</v>
      </c>
      <c r="S893" s="1">
        <v>4159.5</v>
      </c>
      <c r="T893" s="1">
        <v>11.62</v>
      </c>
      <c r="U893" s="1">
        <v>0.01</v>
      </c>
      <c r="V893" s="1">
        <v>1105.4000000000001</v>
      </c>
      <c r="W893" s="1">
        <v>4021.3</v>
      </c>
      <c r="X893" s="1">
        <v>0.1</v>
      </c>
      <c r="Y893" s="1">
        <v>204</v>
      </c>
      <c r="Z893" s="1">
        <v>57138.1</v>
      </c>
      <c r="AA893" s="1">
        <v>11.83</v>
      </c>
      <c r="AB893" s="1">
        <v>800</v>
      </c>
    </row>
    <row r="894" spans="1:28" x14ac:dyDescent="0.4">
      <c r="A894" s="1" t="s">
        <v>234</v>
      </c>
      <c r="B894" s="1">
        <v>800</v>
      </c>
      <c r="C894" s="1">
        <v>0.3</v>
      </c>
      <c r="D894" s="1">
        <v>0.5</v>
      </c>
      <c r="E894" s="1">
        <v>500</v>
      </c>
      <c r="F894" s="1">
        <v>2</v>
      </c>
      <c r="G894" s="1">
        <v>3</v>
      </c>
      <c r="H894" s="1" t="s">
        <v>595</v>
      </c>
      <c r="I894" s="1">
        <v>63051.4</v>
      </c>
      <c r="J894" s="1">
        <v>26785.9</v>
      </c>
      <c r="K894" s="1">
        <v>36265.5</v>
      </c>
      <c r="L894" s="1">
        <v>240</v>
      </c>
      <c r="M894" s="1">
        <v>0.09</v>
      </c>
      <c r="N894" s="1">
        <v>21480.6</v>
      </c>
      <c r="O894" s="1">
        <v>30781</v>
      </c>
      <c r="P894" s="1">
        <v>52261.599999999999</v>
      </c>
      <c r="Q894" s="1">
        <v>2982.2</v>
      </c>
      <c r="R894" s="1">
        <v>1131.7</v>
      </c>
      <c r="S894" s="1">
        <v>4113.8999999999996</v>
      </c>
      <c r="T894" s="1">
        <v>10.59</v>
      </c>
      <c r="U894" s="1">
        <v>0.01</v>
      </c>
      <c r="V894" s="1">
        <v>1036.8</v>
      </c>
      <c r="W894" s="1">
        <v>4019</v>
      </c>
      <c r="X894" s="1">
        <v>0.1</v>
      </c>
      <c r="Y894" s="1">
        <v>210</v>
      </c>
      <c r="Z894" s="1">
        <v>56280.6</v>
      </c>
      <c r="AA894" s="1">
        <v>10.74</v>
      </c>
      <c r="AB894" s="1">
        <v>800</v>
      </c>
    </row>
    <row r="895" spans="1:28" x14ac:dyDescent="0.4">
      <c r="A895" s="1" t="s">
        <v>235</v>
      </c>
      <c r="B895" s="1">
        <v>800</v>
      </c>
      <c r="C895" s="1">
        <v>0.3</v>
      </c>
      <c r="D895" s="1">
        <v>0.5</v>
      </c>
      <c r="E895" s="1">
        <v>500</v>
      </c>
      <c r="F895" s="1">
        <v>2</v>
      </c>
      <c r="G895" s="1">
        <v>4</v>
      </c>
      <c r="H895" s="1" t="s">
        <v>595</v>
      </c>
      <c r="I895" s="1">
        <v>62455.6</v>
      </c>
      <c r="J895" s="1">
        <v>24925.4</v>
      </c>
      <c r="K895" s="1">
        <v>37530.199999999997</v>
      </c>
      <c r="L895" s="1">
        <v>240</v>
      </c>
      <c r="M895" s="1">
        <v>0.09</v>
      </c>
      <c r="N895" s="1">
        <v>20314.599999999999</v>
      </c>
      <c r="O895" s="1">
        <v>31863</v>
      </c>
      <c r="P895" s="1">
        <v>52177.599999999999</v>
      </c>
      <c r="Q895" s="1">
        <v>2494.9</v>
      </c>
      <c r="R895" s="1">
        <v>1152.8</v>
      </c>
      <c r="S895" s="1">
        <v>3647.7</v>
      </c>
      <c r="T895" s="1">
        <v>10.62</v>
      </c>
      <c r="U895" s="1">
        <v>0.01</v>
      </c>
      <c r="V895" s="1">
        <v>1002.3</v>
      </c>
      <c r="W895" s="1">
        <v>3497.2</v>
      </c>
      <c r="X895" s="1">
        <v>0.1</v>
      </c>
      <c r="Y895" s="1">
        <v>183</v>
      </c>
      <c r="Z895" s="1">
        <v>55674.8</v>
      </c>
      <c r="AA895" s="1">
        <v>10.86</v>
      </c>
      <c r="AB895" s="1">
        <v>800</v>
      </c>
    </row>
    <row r="896" spans="1:28" x14ac:dyDescent="0.4">
      <c r="A896" s="1" t="s">
        <v>236</v>
      </c>
      <c r="B896" s="1">
        <v>800</v>
      </c>
      <c r="C896" s="1">
        <v>0.3</v>
      </c>
      <c r="D896" s="1">
        <v>0.5</v>
      </c>
      <c r="E896" s="1">
        <v>500</v>
      </c>
      <c r="F896" s="1">
        <v>2</v>
      </c>
      <c r="G896" s="1">
        <v>5</v>
      </c>
      <c r="H896" s="1" t="s">
        <v>595</v>
      </c>
      <c r="I896" s="1">
        <v>63319.6</v>
      </c>
      <c r="J896" s="1">
        <v>28112.7</v>
      </c>
      <c r="K896" s="1">
        <v>35206.9</v>
      </c>
      <c r="L896" s="1">
        <v>240</v>
      </c>
      <c r="M896" s="1">
        <v>0.09</v>
      </c>
      <c r="N896" s="1">
        <v>22302.5</v>
      </c>
      <c r="O896" s="1">
        <v>29387.8</v>
      </c>
      <c r="P896" s="1">
        <v>51690.3</v>
      </c>
      <c r="Q896" s="1">
        <v>3348.7</v>
      </c>
      <c r="R896" s="1">
        <v>1190</v>
      </c>
      <c r="S896" s="1">
        <v>4538.7</v>
      </c>
      <c r="T896" s="1">
        <v>11.2</v>
      </c>
      <c r="U896" s="1">
        <v>0.01</v>
      </c>
      <c r="V896" s="1">
        <v>1062.8</v>
      </c>
      <c r="W896" s="1">
        <v>4411.5</v>
      </c>
      <c r="X896" s="1">
        <v>0.1</v>
      </c>
      <c r="Y896" s="1">
        <v>237</v>
      </c>
      <c r="Z896" s="1">
        <v>56101.8</v>
      </c>
      <c r="AA896" s="1">
        <v>11.4</v>
      </c>
      <c r="AB896" s="1">
        <v>800</v>
      </c>
    </row>
    <row r="897" spans="1:28" x14ac:dyDescent="0.4">
      <c r="A897" s="1" t="s">
        <v>237</v>
      </c>
      <c r="B897" s="1">
        <v>800</v>
      </c>
      <c r="C897" s="1">
        <v>0.3</v>
      </c>
      <c r="D897" s="1">
        <v>0.5</v>
      </c>
      <c r="E897" s="1">
        <v>500</v>
      </c>
      <c r="F897" s="1">
        <v>3</v>
      </c>
      <c r="G897" s="1">
        <v>1</v>
      </c>
      <c r="H897" s="1" t="s">
        <v>595</v>
      </c>
      <c r="I897" s="1">
        <v>76825.100000000006</v>
      </c>
      <c r="J897" s="1">
        <v>32308.5</v>
      </c>
      <c r="K897" s="1">
        <v>44516.6</v>
      </c>
      <c r="L897" s="1">
        <v>240</v>
      </c>
      <c r="M897" s="1">
        <v>0.14000000000000001</v>
      </c>
      <c r="N897" s="1">
        <v>26848.7</v>
      </c>
      <c r="O897" s="1">
        <v>38409.5</v>
      </c>
      <c r="P897" s="1">
        <v>65258.2</v>
      </c>
      <c r="Q897" s="1">
        <v>2739.7</v>
      </c>
      <c r="R897" s="1">
        <v>1147</v>
      </c>
      <c r="S897" s="1">
        <v>3886.7</v>
      </c>
      <c r="T897" s="1">
        <v>10</v>
      </c>
      <c r="U897" s="1">
        <v>0.01</v>
      </c>
      <c r="V897" s="1">
        <v>1074.0999999999999</v>
      </c>
      <c r="W897" s="1">
        <v>3813.8</v>
      </c>
      <c r="X897" s="1">
        <v>0.15</v>
      </c>
      <c r="Y897" s="1">
        <v>190</v>
      </c>
      <c r="Z897" s="1">
        <v>69072</v>
      </c>
      <c r="AA897" s="1">
        <v>10.09</v>
      </c>
      <c r="AB897" s="1">
        <v>800</v>
      </c>
    </row>
    <row r="898" spans="1:28" x14ac:dyDescent="0.4">
      <c r="A898" s="1" t="s">
        <v>238</v>
      </c>
      <c r="B898" s="1">
        <v>800</v>
      </c>
      <c r="C898" s="1">
        <v>0.3</v>
      </c>
      <c r="D898" s="1">
        <v>0.5</v>
      </c>
      <c r="E898" s="1">
        <v>500</v>
      </c>
      <c r="F898" s="1">
        <v>3</v>
      </c>
      <c r="G898" s="1">
        <v>2</v>
      </c>
      <c r="H898" s="1" t="s">
        <v>595</v>
      </c>
      <c r="I898" s="1">
        <v>79939</v>
      </c>
      <c r="J898" s="1">
        <v>31659.1</v>
      </c>
      <c r="K898" s="1">
        <v>48279.9</v>
      </c>
      <c r="L898" s="1">
        <v>240</v>
      </c>
      <c r="M898" s="1">
        <v>0.12</v>
      </c>
      <c r="N898" s="1">
        <v>25971.200000000001</v>
      </c>
      <c r="O898" s="1">
        <v>41024.199999999997</v>
      </c>
      <c r="P898" s="1">
        <v>66995.399999999994</v>
      </c>
      <c r="Q898" s="1">
        <v>3192.4</v>
      </c>
      <c r="R898" s="1">
        <v>1241.3</v>
      </c>
      <c r="S898" s="1">
        <v>4433.7</v>
      </c>
      <c r="T898" s="1">
        <v>10.65</v>
      </c>
      <c r="U898" s="1">
        <v>0.02</v>
      </c>
      <c r="V898" s="1">
        <v>1131.4000000000001</v>
      </c>
      <c r="W898" s="1">
        <v>4323.8</v>
      </c>
      <c r="X898" s="1">
        <v>0.14000000000000001</v>
      </c>
      <c r="Y898" s="1">
        <v>225</v>
      </c>
      <c r="Z898" s="1">
        <v>71319.199999999997</v>
      </c>
      <c r="AA898" s="1">
        <v>10.78</v>
      </c>
      <c r="AB898" s="1">
        <v>800</v>
      </c>
    </row>
    <row r="899" spans="1:28" x14ac:dyDescent="0.4">
      <c r="A899" s="1" t="s">
        <v>239</v>
      </c>
      <c r="B899" s="1">
        <v>800</v>
      </c>
      <c r="C899" s="1">
        <v>0.3</v>
      </c>
      <c r="D899" s="1">
        <v>0.5</v>
      </c>
      <c r="E899" s="1">
        <v>500</v>
      </c>
      <c r="F899" s="1">
        <v>3</v>
      </c>
      <c r="G899" s="1">
        <v>3</v>
      </c>
      <c r="H899" s="1" t="s">
        <v>595</v>
      </c>
      <c r="I899" s="1">
        <v>79677.899999999994</v>
      </c>
      <c r="J899" s="1">
        <v>32024.3</v>
      </c>
      <c r="K899" s="1">
        <v>47653.599999999999</v>
      </c>
      <c r="L899" s="1">
        <v>240</v>
      </c>
      <c r="M899" s="1">
        <v>0.11</v>
      </c>
      <c r="N899" s="1">
        <v>26081.8</v>
      </c>
      <c r="O899" s="1">
        <v>40863.199999999997</v>
      </c>
      <c r="P899" s="1">
        <v>66945</v>
      </c>
      <c r="Q899" s="1">
        <v>2528.5</v>
      </c>
      <c r="R899" s="1">
        <v>1109.5999999999999</v>
      </c>
      <c r="S899" s="1">
        <v>3638.1</v>
      </c>
      <c r="T899" s="1">
        <v>11.41</v>
      </c>
      <c r="U899" s="1">
        <v>0.01</v>
      </c>
      <c r="V899" s="1">
        <v>1046</v>
      </c>
      <c r="W899" s="1">
        <v>3574.5</v>
      </c>
      <c r="X899" s="1">
        <v>0.12</v>
      </c>
      <c r="Y899" s="1">
        <v>170</v>
      </c>
      <c r="Z899" s="1">
        <v>70519.5</v>
      </c>
      <c r="AA899" s="1">
        <v>11.49</v>
      </c>
      <c r="AB899" s="1">
        <v>800</v>
      </c>
    </row>
    <row r="900" spans="1:28" x14ac:dyDescent="0.4">
      <c r="A900" s="1" t="s">
        <v>240</v>
      </c>
      <c r="B900" s="1">
        <v>800</v>
      </c>
      <c r="C900" s="1">
        <v>0.3</v>
      </c>
      <c r="D900" s="1">
        <v>0.5</v>
      </c>
      <c r="E900" s="1">
        <v>500</v>
      </c>
      <c r="F900" s="1">
        <v>3</v>
      </c>
      <c r="G900" s="1">
        <v>4</v>
      </c>
      <c r="H900" s="1" t="s">
        <v>595</v>
      </c>
      <c r="I900" s="1">
        <v>78989.600000000006</v>
      </c>
      <c r="J900" s="1">
        <v>31902.7</v>
      </c>
      <c r="K900" s="1">
        <v>47086.9</v>
      </c>
      <c r="L900" s="1">
        <v>240</v>
      </c>
      <c r="M900" s="1">
        <v>0.13</v>
      </c>
      <c r="N900" s="1">
        <v>26807.9</v>
      </c>
      <c r="O900" s="1">
        <v>41234.9</v>
      </c>
      <c r="P900" s="1">
        <v>68042.8</v>
      </c>
      <c r="Q900" s="1">
        <v>2489</v>
      </c>
      <c r="R900" s="1">
        <v>1131.2</v>
      </c>
      <c r="S900" s="1">
        <v>3620.2</v>
      </c>
      <c r="T900" s="1">
        <v>9.2799999999999994</v>
      </c>
      <c r="U900" s="1">
        <v>0.02</v>
      </c>
      <c r="V900" s="1">
        <v>1014.4</v>
      </c>
      <c r="W900" s="1">
        <v>3503.4</v>
      </c>
      <c r="X900" s="1">
        <v>0.15</v>
      </c>
      <c r="Y900" s="1">
        <v>180</v>
      </c>
      <c r="Z900" s="1">
        <v>71546.2</v>
      </c>
      <c r="AA900" s="1">
        <v>9.42</v>
      </c>
      <c r="AB900" s="1">
        <v>800</v>
      </c>
    </row>
    <row r="901" spans="1:28" x14ac:dyDescent="0.4">
      <c r="A901" s="1" t="s">
        <v>241</v>
      </c>
      <c r="B901" s="1">
        <v>800</v>
      </c>
      <c r="C901" s="1">
        <v>0.3</v>
      </c>
      <c r="D901" s="1">
        <v>0.5</v>
      </c>
      <c r="E901" s="1">
        <v>500</v>
      </c>
      <c r="F901" s="1">
        <v>3</v>
      </c>
      <c r="G901" s="1">
        <v>5</v>
      </c>
      <c r="H901" s="1" t="s">
        <v>595</v>
      </c>
      <c r="I901" s="1">
        <v>80569.2</v>
      </c>
      <c r="J901" s="1">
        <v>33784.800000000003</v>
      </c>
      <c r="K901" s="1">
        <v>46784.4</v>
      </c>
      <c r="L901" s="1">
        <v>240</v>
      </c>
      <c r="M901" s="1">
        <v>0.13</v>
      </c>
      <c r="N901" s="1">
        <v>27972.3</v>
      </c>
      <c r="O901" s="1">
        <v>40374</v>
      </c>
      <c r="P901" s="1">
        <v>68346.3</v>
      </c>
      <c r="Q901" s="1">
        <v>2813.7</v>
      </c>
      <c r="R901" s="1">
        <v>1258.5</v>
      </c>
      <c r="S901" s="1">
        <v>4072.2</v>
      </c>
      <c r="T901" s="1">
        <v>10.119999999999999</v>
      </c>
      <c r="U901" s="1">
        <v>0.02</v>
      </c>
      <c r="V901" s="1">
        <v>1125.5</v>
      </c>
      <c r="W901" s="1">
        <v>3939.2</v>
      </c>
      <c r="X901" s="1">
        <v>0.15</v>
      </c>
      <c r="Y901" s="1">
        <v>198</v>
      </c>
      <c r="Z901" s="1">
        <v>72285.5</v>
      </c>
      <c r="AA901" s="1">
        <v>10.28</v>
      </c>
      <c r="AB901" s="1">
        <v>800</v>
      </c>
    </row>
    <row r="902" spans="1:28" x14ac:dyDescent="0.4">
      <c r="A902" s="1" t="s">
        <v>242</v>
      </c>
      <c r="B902" s="1">
        <v>800</v>
      </c>
      <c r="C902" s="1">
        <v>0.4</v>
      </c>
      <c r="D902" s="1">
        <v>0.5</v>
      </c>
      <c r="E902" s="1">
        <v>1000</v>
      </c>
      <c r="F902" s="1">
        <v>1</v>
      </c>
      <c r="G902" s="1">
        <v>1</v>
      </c>
      <c r="H902" s="1" t="s">
        <v>595</v>
      </c>
      <c r="I902" s="1">
        <v>86875.5</v>
      </c>
      <c r="J902" s="1">
        <v>35462.5</v>
      </c>
      <c r="K902" s="1">
        <v>51413</v>
      </c>
      <c r="L902" s="1">
        <v>240</v>
      </c>
      <c r="M902" s="1">
        <v>7.0000000000000007E-2</v>
      </c>
      <c r="N902" s="1">
        <v>26786.2</v>
      </c>
      <c r="O902" s="1">
        <v>41443.300000000003</v>
      </c>
      <c r="P902" s="1">
        <v>68229.5</v>
      </c>
      <c r="Q902" s="1">
        <v>3151</v>
      </c>
      <c r="R902" s="1">
        <v>1421</v>
      </c>
      <c r="S902" s="1">
        <v>4572</v>
      </c>
      <c r="T902" s="1">
        <v>16.2</v>
      </c>
      <c r="U902" s="1">
        <v>0.02</v>
      </c>
      <c r="V902" s="1">
        <v>1329.8</v>
      </c>
      <c r="W902" s="1">
        <v>4480.8</v>
      </c>
      <c r="X902" s="1">
        <v>0.09</v>
      </c>
      <c r="Y902" s="1">
        <v>220</v>
      </c>
      <c r="Z902" s="1">
        <v>72710.3</v>
      </c>
      <c r="AA902" s="1">
        <v>16.309999999999999</v>
      </c>
      <c r="AB902" s="1">
        <v>800</v>
      </c>
    </row>
    <row r="903" spans="1:28" x14ac:dyDescent="0.4">
      <c r="A903" s="1" t="s">
        <v>243</v>
      </c>
      <c r="B903" s="1">
        <v>800</v>
      </c>
      <c r="C903" s="1">
        <v>0.4</v>
      </c>
      <c r="D903" s="1">
        <v>0.5</v>
      </c>
      <c r="E903" s="1">
        <v>1000</v>
      </c>
      <c r="F903" s="1">
        <v>1</v>
      </c>
      <c r="G903" s="1">
        <v>2</v>
      </c>
      <c r="H903" s="1" t="s">
        <v>595</v>
      </c>
      <c r="I903" s="1">
        <v>87343.7</v>
      </c>
      <c r="J903" s="1">
        <v>35450.300000000003</v>
      </c>
      <c r="K903" s="1">
        <v>51893.4</v>
      </c>
      <c r="L903" s="1">
        <v>240</v>
      </c>
      <c r="M903" s="1">
        <v>0.08</v>
      </c>
      <c r="N903" s="1">
        <v>25686.2</v>
      </c>
      <c r="O903" s="1">
        <v>40896.800000000003</v>
      </c>
      <c r="P903" s="1">
        <v>66583</v>
      </c>
      <c r="Q903" s="1">
        <v>3052.7</v>
      </c>
      <c r="R903" s="1">
        <v>1461</v>
      </c>
      <c r="S903" s="1">
        <v>4513.7</v>
      </c>
      <c r="T903" s="1">
        <v>18.600000000000001</v>
      </c>
      <c r="U903" s="1">
        <v>0.02</v>
      </c>
      <c r="V903" s="1">
        <v>1361.7</v>
      </c>
      <c r="W903" s="1">
        <v>4414.3999999999996</v>
      </c>
      <c r="X903" s="1">
        <v>0.1</v>
      </c>
      <c r="Y903" s="1">
        <v>219</v>
      </c>
      <c r="Z903" s="1">
        <v>70997.399999999994</v>
      </c>
      <c r="AA903" s="1">
        <v>18.71</v>
      </c>
      <c r="AB903" s="1">
        <v>800</v>
      </c>
    </row>
    <row r="904" spans="1:28" x14ac:dyDescent="0.4">
      <c r="A904" s="1" t="s">
        <v>244</v>
      </c>
      <c r="B904" s="1">
        <v>800</v>
      </c>
      <c r="C904" s="1">
        <v>0.4</v>
      </c>
      <c r="D904" s="1">
        <v>0.5</v>
      </c>
      <c r="E904" s="1">
        <v>1000</v>
      </c>
      <c r="F904" s="1">
        <v>1</v>
      </c>
      <c r="G904" s="1">
        <v>3</v>
      </c>
      <c r="H904" s="1" t="s">
        <v>595</v>
      </c>
      <c r="I904" s="1">
        <v>86584.4</v>
      </c>
      <c r="J904" s="1">
        <v>35892.6</v>
      </c>
      <c r="K904" s="1">
        <v>50691.8</v>
      </c>
      <c r="L904" s="1">
        <v>240</v>
      </c>
      <c r="M904" s="1">
        <v>7.0000000000000007E-2</v>
      </c>
      <c r="N904" s="1">
        <v>26677</v>
      </c>
      <c r="O904" s="1">
        <v>40483.5</v>
      </c>
      <c r="P904" s="1">
        <v>67160.5</v>
      </c>
      <c r="Q904" s="1">
        <v>2809.3</v>
      </c>
      <c r="R904" s="1">
        <v>1502.4</v>
      </c>
      <c r="S904" s="1">
        <v>4311.7</v>
      </c>
      <c r="T904" s="1">
        <v>17.45</v>
      </c>
      <c r="U904" s="1">
        <v>0.02</v>
      </c>
      <c r="V904" s="1">
        <v>1343.6</v>
      </c>
      <c r="W904" s="1">
        <v>4152.8999999999996</v>
      </c>
      <c r="X904" s="1">
        <v>0.09</v>
      </c>
      <c r="Y904" s="1">
        <v>200</v>
      </c>
      <c r="Z904" s="1">
        <v>71313.399999999994</v>
      </c>
      <c r="AA904" s="1">
        <v>17.64</v>
      </c>
      <c r="AB904" s="1">
        <v>800</v>
      </c>
    </row>
    <row r="905" spans="1:28" x14ac:dyDescent="0.4">
      <c r="A905" s="1" t="s">
        <v>245</v>
      </c>
      <c r="B905" s="1">
        <v>800</v>
      </c>
      <c r="C905" s="1">
        <v>0.4</v>
      </c>
      <c r="D905" s="1">
        <v>0.5</v>
      </c>
      <c r="E905" s="1">
        <v>1000</v>
      </c>
      <c r="F905" s="1">
        <v>1</v>
      </c>
      <c r="G905" s="1">
        <v>4</v>
      </c>
      <c r="H905" s="1" t="s">
        <v>595</v>
      </c>
      <c r="I905" s="1">
        <v>84463.6</v>
      </c>
      <c r="J905" s="1">
        <v>34051.300000000003</v>
      </c>
      <c r="K905" s="1">
        <v>50412.3</v>
      </c>
      <c r="L905" s="1">
        <v>240</v>
      </c>
      <c r="M905" s="1">
        <v>7.0000000000000007E-2</v>
      </c>
      <c r="N905" s="1">
        <v>24838.3</v>
      </c>
      <c r="O905" s="1">
        <v>40300.6</v>
      </c>
      <c r="P905" s="1">
        <v>65138.9</v>
      </c>
      <c r="Q905" s="1">
        <v>3233.8</v>
      </c>
      <c r="R905" s="1">
        <v>1518.8</v>
      </c>
      <c r="S905" s="1">
        <v>4752.6000000000004</v>
      </c>
      <c r="T905" s="1">
        <v>17.25</v>
      </c>
      <c r="U905" s="1">
        <v>0.02</v>
      </c>
      <c r="V905" s="1">
        <v>1405.6</v>
      </c>
      <c r="W905" s="1">
        <v>4639.3999999999996</v>
      </c>
      <c r="X905" s="1">
        <v>0.09</v>
      </c>
      <c r="Y905" s="1">
        <v>234</v>
      </c>
      <c r="Z905" s="1">
        <v>69778.3</v>
      </c>
      <c r="AA905" s="1">
        <v>17.39</v>
      </c>
      <c r="AB905" s="1">
        <v>800</v>
      </c>
    </row>
    <row r="906" spans="1:28" x14ac:dyDescent="0.4">
      <c r="A906" s="1" t="s">
        <v>246</v>
      </c>
      <c r="B906" s="1">
        <v>800</v>
      </c>
      <c r="C906" s="1">
        <v>0.4</v>
      </c>
      <c r="D906" s="1">
        <v>0.5</v>
      </c>
      <c r="E906" s="1">
        <v>1000</v>
      </c>
      <c r="F906" s="1">
        <v>1</v>
      </c>
      <c r="G906" s="1">
        <v>5</v>
      </c>
      <c r="H906" s="1" t="s">
        <v>595</v>
      </c>
      <c r="I906" s="1">
        <v>85389.5</v>
      </c>
      <c r="J906" s="1">
        <v>35210.300000000003</v>
      </c>
      <c r="K906" s="1">
        <v>50179.199999999997</v>
      </c>
      <c r="L906" s="1">
        <v>240</v>
      </c>
      <c r="M906" s="1">
        <v>7.0000000000000007E-2</v>
      </c>
      <c r="N906" s="1">
        <v>26898.3</v>
      </c>
      <c r="O906" s="1">
        <v>40485</v>
      </c>
      <c r="P906" s="1">
        <v>67383.3</v>
      </c>
      <c r="Q906" s="1">
        <v>3121.2</v>
      </c>
      <c r="R906" s="1">
        <v>1452.3</v>
      </c>
      <c r="S906" s="1">
        <v>4573.5</v>
      </c>
      <c r="T906" s="1">
        <v>15.73</v>
      </c>
      <c r="U906" s="1">
        <v>0.02</v>
      </c>
      <c r="V906" s="1">
        <v>1370.5</v>
      </c>
      <c r="W906" s="1">
        <v>4491.7</v>
      </c>
      <c r="X906" s="1">
        <v>0.09</v>
      </c>
      <c r="Y906" s="1">
        <v>224</v>
      </c>
      <c r="Z906" s="1">
        <v>71875</v>
      </c>
      <c r="AA906" s="1">
        <v>15.83</v>
      </c>
      <c r="AB906" s="1">
        <v>800</v>
      </c>
    </row>
    <row r="907" spans="1:28" x14ac:dyDescent="0.4">
      <c r="A907" s="1" t="s">
        <v>247</v>
      </c>
      <c r="B907" s="1">
        <v>800</v>
      </c>
      <c r="C907" s="1">
        <v>0.4</v>
      </c>
      <c r="D907" s="1">
        <v>0.5</v>
      </c>
      <c r="E907" s="1">
        <v>1000</v>
      </c>
      <c r="F907" s="1">
        <v>2</v>
      </c>
      <c r="G907" s="1">
        <v>1</v>
      </c>
      <c r="H907" s="1" t="s">
        <v>595</v>
      </c>
      <c r="I907" s="1">
        <v>120010.4</v>
      </c>
      <c r="J907" s="1">
        <v>50108.7</v>
      </c>
      <c r="K907" s="1">
        <v>69901.7</v>
      </c>
      <c r="L907" s="1">
        <v>240</v>
      </c>
      <c r="M907" s="1">
        <v>0.15</v>
      </c>
      <c r="N907" s="1">
        <v>39055.199999999997</v>
      </c>
      <c r="O907" s="1">
        <v>57853.599999999999</v>
      </c>
      <c r="P907" s="1">
        <v>96908.800000000003</v>
      </c>
      <c r="Q907" s="1">
        <v>3110.3</v>
      </c>
      <c r="R907" s="1">
        <v>1450.4</v>
      </c>
      <c r="S907" s="1">
        <v>4560.7</v>
      </c>
      <c r="T907" s="1">
        <v>15.45</v>
      </c>
      <c r="U907" s="1">
        <v>0.03</v>
      </c>
      <c r="V907" s="1">
        <v>1342.5</v>
      </c>
      <c r="W907" s="1">
        <v>4452.8</v>
      </c>
      <c r="X907" s="1">
        <v>0.19</v>
      </c>
      <c r="Y907" s="1">
        <v>221</v>
      </c>
      <c r="Z907" s="1">
        <v>101361.60000000001</v>
      </c>
      <c r="AA907" s="1">
        <v>15.54</v>
      </c>
      <c r="AB907" s="1">
        <v>800</v>
      </c>
    </row>
    <row r="908" spans="1:28" x14ac:dyDescent="0.4">
      <c r="A908" s="1" t="s">
        <v>248</v>
      </c>
      <c r="B908" s="1">
        <v>800</v>
      </c>
      <c r="C908" s="1">
        <v>0.4</v>
      </c>
      <c r="D908" s="1">
        <v>0.5</v>
      </c>
      <c r="E908" s="1">
        <v>1000</v>
      </c>
      <c r="F908" s="1">
        <v>2</v>
      </c>
      <c r="G908" s="1">
        <v>2</v>
      </c>
      <c r="H908" s="1" t="s">
        <v>595</v>
      </c>
      <c r="I908" s="1">
        <v>122422.7</v>
      </c>
      <c r="J908" s="1">
        <v>49651.199999999997</v>
      </c>
      <c r="K908" s="1">
        <v>72771.5</v>
      </c>
      <c r="L908" s="1">
        <v>240</v>
      </c>
      <c r="M908" s="1">
        <v>0.15</v>
      </c>
      <c r="N908" s="1">
        <v>38895.599999999999</v>
      </c>
      <c r="O908" s="1">
        <v>60709.599999999999</v>
      </c>
      <c r="P908" s="1">
        <v>99605.2</v>
      </c>
      <c r="Q908" s="1">
        <v>3026.8</v>
      </c>
      <c r="R908" s="1">
        <v>1454.2</v>
      </c>
      <c r="S908" s="1">
        <v>4481</v>
      </c>
      <c r="T908" s="1">
        <v>14.98</v>
      </c>
      <c r="U908" s="1">
        <v>0.03</v>
      </c>
      <c r="V908" s="1">
        <v>1339.4</v>
      </c>
      <c r="W908" s="1">
        <v>4366.2</v>
      </c>
      <c r="X908" s="1">
        <v>0.18</v>
      </c>
      <c r="Y908" s="1">
        <v>216</v>
      </c>
      <c r="Z908" s="1">
        <v>103971.4</v>
      </c>
      <c r="AA908" s="1">
        <v>15.07</v>
      </c>
      <c r="AB908" s="1">
        <v>800</v>
      </c>
    </row>
    <row r="909" spans="1:28" x14ac:dyDescent="0.4">
      <c r="A909" s="1" t="s">
        <v>249</v>
      </c>
      <c r="B909" s="1">
        <v>800</v>
      </c>
      <c r="C909" s="1">
        <v>0.4</v>
      </c>
      <c r="D909" s="1">
        <v>0.5</v>
      </c>
      <c r="E909" s="1">
        <v>1000</v>
      </c>
      <c r="F909" s="1">
        <v>2</v>
      </c>
      <c r="G909" s="1">
        <v>3</v>
      </c>
      <c r="H909" s="1" t="s">
        <v>595</v>
      </c>
      <c r="I909" s="1">
        <v>121057.1</v>
      </c>
      <c r="J909" s="1">
        <v>49231.7</v>
      </c>
      <c r="K909" s="1">
        <v>71825.399999999994</v>
      </c>
      <c r="L909" s="1">
        <v>240</v>
      </c>
      <c r="M909" s="1">
        <v>0.14000000000000001</v>
      </c>
      <c r="N909" s="1">
        <v>37897.300000000003</v>
      </c>
      <c r="O909" s="1">
        <v>57756.7</v>
      </c>
      <c r="P909" s="1">
        <v>95654</v>
      </c>
      <c r="Q909" s="1">
        <v>3059.5</v>
      </c>
      <c r="R909" s="1">
        <v>1553.8</v>
      </c>
      <c r="S909" s="1">
        <v>4613.3</v>
      </c>
      <c r="T909" s="1">
        <v>17.170000000000002</v>
      </c>
      <c r="U909" s="1">
        <v>0.02</v>
      </c>
      <c r="V909" s="1">
        <v>1486.2</v>
      </c>
      <c r="W909" s="1">
        <v>4545.7</v>
      </c>
      <c r="X909" s="1">
        <v>0.17</v>
      </c>
      <c r="Y909" s="1">
        <v>221</v>
      </c>
      <c r="Z909" s="1">
        <v>100199.7</v>
      </c>
      <c r="AA909" s="1">
        <v>17.23</v>
      </c>
      <c r="AB909" s="1">
        <v>800</v>
      </c>
    </row>
    <row r="910" spans="1:28" x14ac:dyDescent="0.4">
      <c r="A910" s="1" t="s">
        <v>250</v>
      </c>
      <c r="B910" s="1">
        <v>800</v>
      </c>
      <c r="C910" s="1">
        <v>0.4</v>
      </c>
      <c r="D910" s="1">
        <v>0.5</v>
      </c>
      <c r="E910" s="1">
        <v>1000</v>
      </c>
      <c r="F910" s="1">
        <v>2</v>
      </c>
      <c r="G910" s="1">
        <v>4</v>
      </c>
      <c r="H910" s="1" t="s">
        <v>595</v>
      </c>
      <c r="I910" s="1">
        <v>123447.4</v>
      </c>
      <c r="J910" s="1">
        <v>51496.6</v>
      </c>
      <c r="K910" s="1">
        <v>71950.8</v>
      </c>
      <c r="L910" s="1">
        <v>240</v>
      </c>
      <c r="M910" s="1">
        <v>0.15</v>
      </c>
      <c r="N910" s="1">
        <v>39594.300000000003</v>
      </c>
      <c r="O910" s="1">
        <v>58553.1</v>
      </c>
      <c r="P910" s="1">
        <v>98147.4</v>
      </c>
      <c r="Q910" s="1">
        <v>3062.4</v>
      </c>
      <c r="R910" s="1">
        <v>1615.4</v>
      </c>
      <c r="S910" s="1">
        <v>4677.8</v>
      </c>
      <c r="T910" s="1">
        <v>16.71</v>
      </c>
      <c r="U910" s="1">
        <v>0.03</v>
      </c>
      <c r="V910" s="1">
        <v>1501.4</v>
      </c>
      <c r="W910" s="1">
        <v>4563.8</v>
      </c>
      <c r="X910" s="1">
        <v>0.18</v>
      </c>
      <c r="Y910" s="1">
        <v>207</v>
      </c>
      <c r="Z910" s="1">
        <v>102711.2</v>
      </c>
      <c r="AA910" s="1">
        <v>16.8</v>
      </c>
      <c r="AB910" s="1">
        <v>800</v>
      </c>
    </row>
    <row r="911" spans="1:28" x14ac:dyDescent="0.4">
      <c r="A911" s="1" t="s">
        <v>251</v>
      </c>
      <c r="B911" s="1">
        <v>800</v>
      </c>
      <c r="C911" s="1">
        <v>0.4</v>
      </c>
      <c r="D911" s="1">
        <v>0.5</v>
      </c>
      <c r="E911" s="1">
        <v>1000</v>
      </c>
      <c r="F911" s="1">
        <v>2</v>
      </c>
      <c r="G911" s="1">
        <v>5</v>
      </c>
      <c r="H911" s="1" t="s">
        <v>595</v>
      </c>
      <c r="I911" s="1">
        <v>120041.2</v>
      </c>
      <c r="J911" s="1">
        <v>49650.400000000001</v>
      </c>
      <c r="K911" s="1">
        <v>70390.8</v>
      </c>
      <c r="L911" s="1">
        <v>240</v>
      </c>
      <c r="M911" s="1">
        <v>0.15</v>
      </c>
      <c r="N911" s="1">
        <v>37600.699999999997</v>
      </c>
      <c r="O911" s="1">
        <v>57328.1</v>
      </c>
      <c r="P911" s="1">
        <v>94928.8</v>
      </c>
      <c r="Q911" s="1">
        <v>3140</v>
      </c>
      <c r="R911" s="1">
        <v>1493.2</v>
      </c>
      <c r="S911" s="1">
        <v>4633.2</v>
      </c>
      <c r="T911" s="1">
        <v>17.059999999999999</v>
      </c>
      <c r="U911" s="1">
        <v>0.03</v>
      </c>
      <c r="V911" s="1">
        <v>1393.9</v>
      </c>
      <c r="W911" s="1">
        <v>4533.8999999999996</v>
      </c>
      <c r="X911" s="1">
        <v>0.18</v>
      </c>
      <c r="Y911" s="1">
        <v>225</v>
      </c>
      <c r="Z911" s="1">
        <v>99462.7</v>
      </c>
      <c r="AA911" s="1">
        <v>17.14</v>
      </c>
      <c r="AB911" s="1">
        <v>800</v>
      </c>
    </row>
    <row r="912" spans="1:28" x14ac:dyDescent="0.4">
      <c r="A912" s="1" t="s">
        <v>252</v>
      </c>
      <c r="B912" s="1">
        <v>800</v>
      </c>
      <c r="C912" s="1">
        <v>0.4</v>
      </c>
      <c r="D912" s="1">
        <v>0.5</v>
      </c>
      <c r="E912" s="1">
        <v>1000</v>
      </c>
      <c r="F912" s="1">
        <v>3</v>
      </c>
      <c r="G912" s="1">
        <v>1</v>
      </c>
      <c r="H912" s="1" t="s">
        <v>595</v>
      </c>
      <c r="I912" s="1">
        <v>146868</v>
      </c>
      <c r="J912" s="1">
        <v>60175.9</v>
      </c>
      <c r="K912" s="1">
        <v>86692.1</v>
      </c>
      <c r="L912" s="1">
        <v>240</v>
      </c>
      <c r="M912" s="1">
        <v>0.28000000000000003</v>
      </c>
      <c r="N912" s="1">
        <v>48296.9</v>
      </c>
      <c r="O912" s="1">
        <v>73599.5</v>
      </c>
      <c r="P912" s="1">
        <v>121896.4</v>
      </c>
      <c r="Q912" s="1">
        <v>3114.4</v>
      </c>
      <c r="R912" s="1">
        <v>1450.3</v>
      </c>
      <c r="S912" s="1">
        <v>4564.7</v>
      </c>
      <c r="T912" s="1">
        <v>13.89</v>
      </c>
      <c r="U912" s="1">
        <v>0.03</v>
      </c>
      <c r="V912" s="1">
        <v>1315.1</v>
      </c>
      <c r="W912" s="1">
        <v>4429.5</v>
      </c>
      <c r="X912" s="1">
        <v>0.3</v>
      </c>
      <c r="Y912" s="1">
        <v>217</v>
      </c>
      <c r="Z912" s="1">
        <v>126325.9</v>
      </c>
      <c r="AA912" s="1">
        <v>13.99</v>
      </c>
      <c r="AB912" s="1">
        <v>800</v>
      </c>
    </row>
    <row r="913" spans="1:28" x14ac:dyDescent="0.4">
      <c r="A913" s="1" t="s">
        <v>253</v>
      </c>
      <c r="B913" s="1">
        <v>800</v>
      </c>
      <c r="C913" s="1">
        <v>0.4</v>
      </c>
      <c r="D913" s="1">
        <v>0.5</v>
      </c>
      <c r="E913" s="1">
        <v>1000</v>
      </c>
      <c r="F913" s="1">
        <v>3</v>
      </c>
      <c r="G913" s="1">
        <v>2</v>
      </c>
      <c r="H913" s="1" t="s">
        <v>595</v>
      </c>
      <c r="I913" s="1">
        <v>152324.6</v>
      </c>
      <c r="J913" s="1">
        <v>62718.5</v>
      </c>
      <c r="K913" s="1">
        <v>89606.1</v>
      </c>
      <c r="L913" s="1">
        <v>240</v>
      </c>
      <c r="M913" s="1">
        <v>0.21</v>
      </c>
      <c r="N913" s="1">
        <v>48502.400000000001</v>
      </c>
      <c r="O913" s="1">
        <v>72263.100000000006</v>
      </c>
      <c r="P913" s="1">
        <v>120765.5</v>
      </c>
      <c r="Q913" s="1">
        <v>3258.6</v>
      </c>
      <c r="R913" s="1">
        <v>1595.5</v>
      </c>
      <c r="S913" s="1">
        <v>4854.1000000000004</v>
      </c>
      <c r="T913" s="1">
        <v>17.53</v>
      </c>
      <c r="U913" s="1">
        <v>0.03</v>
      </c>
      <c r="V913" s="1">
        <v>1464.1</v>
      </c>
      <c r="W913" s="1">
        <v>4722.7</v>
      </c>
      <c r="X913" s="1">
        <v>0.25</v>
      </c>
      <c r="Y913" s="1">
        <v>224</v>
      </c>
      <c r="Z913" s="1">
        <v>125488.2</v>
      </c>
      <c r="AA913" s="1">
        <v>17.62</v>
      </c>
      <c r="AB913" s="1">
        <v>800</v>
      </c>
    </row>
    <row r="914" spans="1:28" x14ac:dyDescent="0.4">
      <c r="A914" s="1" t="s">
        <v>254</v>
      </c>
      <c r="B914" s="1">
        <v>800</v>
      </c>
      <c r="C914" s="1">
        <v>0.4</v>
      </c>
      <c r="D914" s="1">
        <v>0.5</v>
      </c>
      <c r="E914" s="1">
        <v>1000</v>
      </c>
      <c r="F914" s="1">
        <v>3</v>
      </c>
      <c r="G914" s="1">
        <v>3</v>
      </c>
      <c r="H914" s="1" t="s">
        <v>595</v>
      </c>
      <c r="I914" s="1">
        <v>157468.70000000001</v>
      </c>
      <c r="J914" s="1">
        <v>63259.3</v>
      </c>
      <c r="K914" s="1">
        <v>94209.4</v>
      </c>
      <c r="L914" s="1">
        <v>240</v>
      </c>
      <c r="M914" s="1">
        <v>0.17</v>
      </c>
      <c r="N914" s="1">
        <v>50308.7</v>
      </c>
      <c r="O914" s="1">
        <v>77772.7</v>
      </c>
      <c r="P914" s="1">
        <v>128081.4</v>
      </c>
      <c r="Q914" s="1">
        <v>3175.6</v>
      </c>
      <c r="R914" s="1">
        <v>1488.1</v>
      </c>
      <c r="S914" s="1">
        <v>4663.7</v>
      </c>
      <c r="T914" s="1">
        <v>15.7</v>
      </c>
      <c r="U914" s="1">
        <v>0.03</v>
      </c>
      <c r="V914" s="1">
        <v>1432.4</v>
      </c>
      <c r="W914" s="1">
        <v>4608</v>
      </c>
      <c r="X914" s="1">
        <v>0.2</v>
      </c>
      <c r="Y914" s="1">
        <v>225</v>
      </c>
      <c r="Z914" s="1">
        <v>132689.4</v>
      </c>
      <c r="AA914" s="1">
        <v>15.74</v>
      </c>
      <c r="AB914" s="1">
        <v>800</v>
      </c>
    </row>
    <row r="915" spans="1:28" x14ac:dyDescent="0.4">
      <c r="A915" s="1" t="s">
        <v>255</v>
      </c>
      <c r="B915" s="1">
        <v>800</v>
      </c>
      <c r="C915" s="1">
        <v>0.4</v>
      </c>
      <c r="D915" s="1">
        <v>0.5</v>
      </c>
      <c r="E915" s="1">
        <v>1000</v>
      </c>
      <c r="F915" s="1">
        <v>3</v>
      </c>
      <c r="G915" s="1">
        <v>4</v>
      </c>
      <c r="H915" s="1" t="s">
        <v>595</v>
      </c>
      <c r="I915" s="1">
        <v>153712.1</v>
      </c>
      <c r="J915" s="1">
        <v>61756.6</v>
      </c>
      <c r="K915" s="1">
        <v>91955.5</v>
      </c>
      <c r="L915" s="1">
        <v>240</v>
      </c>
      <c r="M915" s="1">
        <v>0.21</v>
      </c>
      <c r="N915" s="1">
        <v>48874.5</v>
      </c>
      <c r="O915" s="1">
        <v>77030.899999999994</v>
      </c>
      <c r="P915" s="1">
        <v>125905.4</v>
      </c>
      <c r="Q915" s="1">
        <v>3201.9</v>
      </c>
      <c r="R915" s="1">
        <v>1554.7</v>
      </c>
      <c r="S915" s="1">
        <v>4756.6000000000004</v>
      </c>
      <c r="T915" s="1">
        <v>15</v>
      </c>
      <c r="U915" s="1">
        <v>0.03</v>
      </c>
      <c r="V915" s="1">
        <v>1492.5</v>
      </c>
      <c r="W915" s="1">
        <v>4694.3999999999996</v>
      </c>
      <c r="X915" s="1">
        <v>0.24</v>
      </c>
      <c r="Y915" s="1">
        <v>222</v>
      </c>
      <c r="Z915" s="1">
        <v>130599.8</v>
      </c>
      <c r="AA915" s="1">
        <v>15.04</v>
      </c>
      <c r="AB915" s="1">
        <v>800</v>
      </c>
    </row>
    <row r="916" spans="1:28" x14ac:dyDescent="0.4">
      <c r="A916" s="1" t="s">
        <v>256</v>
      </c>
      <c r="B916" s="1">
        <v>800</v>
      </c>
      <c r="C916" s="1">
        <v>0.4</v>
      </c>
      <c r="D916" s="1">
        <v>0.5</v>
      </c>
      <c r="E916" s="1">
        <v>1000</v>
      </c>
      <c r="F916" s="1">
        <v>3</v>
      </c>
      <c r="G916" s="1">
        <v>5</v>
      </c>
      <c r="H916" s="1" t="s">
        <v>595</v>
      </c>
      <c r="I916" s="1">
        <v>154868.70000000001</v>
      </c>
      <c r="J916" s="1">
        <v>62106</v>
      </c>
      <c r="K916" s="1">
        <v>92762.7</v>
      </c>
      <c r="L916" s="1">
        <v>240</v>
      </c>
      <c r="M916" s="1">
        <v>0.08</v>
      </c>
      <c r="N916" s="1">
        <v>48758.3</v>
      </c>
      <c r="O916" s="1">
        <v>76845.3</v>
      </c>
      <c r="P916" s="1">
        <v>125603.6</v>
      </c>
      <c r="Q916" s="1">
        <v>3393.6</v>
      </c>
      <c r="R916" s="1">
        <v>1416</v>
      </c>
      <c r="S916" s="1">
        <v>4809.6000000000004</v>
      </c>
      <c r="T916" s="1">
        <v>15.79</v>
      </c>
      <c r="U916" s="1">
        <v>0.03</v>
      </c>
      <c r="V916" s="1">
        <v>1411.8</v>
      </c>
      <c r="W916" s="1">
        <v>4805.3999999999996</v>
      </c>
      <c r="X916" s="1">
        <v>0.11</v>
      </c>
      <c r="Y916" s="1">
        <v>240</v>
      </c>
      <c r="Z916" s="1">
        <v>130409</v>
      </c>
      <c r="AA916" s="1">
        <v>15.79</v>
      </c>
      <c r="AB916" s="1">
        <v>800</v>
      </c>
    </row>
    <row r="917" spans="1:28" x14ac:dyDescent="0.4">
      <c r="A917" s="1" t="s">
        <v>257</v>
      </c>
      <c r="B917" s="1">
        <v>800</v>
      </c>
      <c r="C917" s="1">
        <v>0.4</v>
      </c>
      <c r="D917" s="1">
        <v>0.5</v>
      </c>
      <c r="E917" s="1">
        <v>2000</v>
      </c>
      <c r="F917" s="1">
        <v>1</v>
      </c>
      <c r="G917" s="1">
        <v>1</v>
      </c>
      <c r="H917" s="1" t="s">
        <v>595</v>
      </c>
      <c r="I917" s="1">
        <v>170213.4</v>
      </c>
      <c r="J917" s="1">
        <v>69005.2</v>
      </c>
      <c r="K917" s="1">
        <v>101208.2</v>
      </c>
      <c r="L917" s="1">
        <v>240</v>
      </c>
      <c r="M917" s="1">
        <v>0.13</v>
      </c>
      <c r="N917" s="1">
        <v>51779</v>
      </c>
      <c r="O917" s="1">
        <v>81694</v>
      </c>
      <c r="P917" s="1">
        <v>133473</v>
      </c>
      <c r="Q917" s="1">
        <v>3291.2</v>
      </c>
      <c r="R917" s="1">
        <v>1557</v>
      </c>
      <c r="S917" s="1">
        <v>4848.2</v>
      </c>
      <c r="T917" s="1">
        <v>18.739999999999998</v>
      </c>
      <c r="U917" s="1">
        <v>0.03</v>
      </c>
      <c r="V917" s="1">
        <v>1440.1</v>
      </c>
      <c r="W917" s="1">
        <v>4731.3</v>
      </c>
      <c r="X917" s="1">
        <v>0.16</v>
      </c>
      <c r="Y917" s="1">
        <v>227</v>
      </c>
      <c r="Z917" s="1">
        <v>138204.29999999999</v>
      </c>
      <c r="AA917" s="1">
        <v>18.809999999999999</v>
      </c>
      <c r="AB917" s="1">
        <v>800</v>
      </c>
    </row>
    <row r="918" spans="1:28" x14ac:dyDescent="0.4">
      <c r="A918" s="1" t="s">
        <v>258</v>
      </c>
      <c r="B918" s="1">
        <v>800</v>
      </c>
      <c r="C918" s="1">
        <v>0.4</v>
      </c>
      <c r="D918" s="1">
        <v>0.5</v>
      </c>
      <c r="E918" s="1">
        <v>2000</v>
      </c>
      <c r="F918" s="1">
        <v>1</v>
      </c>
      <c r="G918" s="1">
        <v>2</v>
      </c>
      <c r="H918" s="1" t="s">
        <v>595</v>
      </c>
      <c r="I918" s="1">
        <v>169988.2</v>
      </c>
      <c r="J918" s="1">
        <v>70466.899999999994</v>
      </c>
      <c r="K918" s="1">
        <v>99521.3</v>
      </c>
      <c r="L918" s="1">
        <v>240</v>
      </c>
      <c r="M918" s="1">
        <v>0.13</v>
      </c>
      <c r="N918" s="1">
        <v>53508</v>
      </c>
      <c r="O918" s="1">
        <v>82861.100000000006</v>
      </c>
      <c r="P918" s="1">
        <v>136369.1</v>
      </c>
      <c r="Q918" s="1">
        <v>3277.6</v>
      </c>
      <c r="R918" s="1">
        <v>1556.7</v>
      </c>
      <c r="S918" s="1">
        <v>4834.3</v>
      </c>
      <c r="T918" s="1">
        <v>16.93</v>
      </c>
      <c r="U918" s="1">
        <v>0.03</v>
      </c>
      <c r="V918" s="1">
        <v>1510.7</v>
      </c>
      <c r="W918" s="1">
        <v>4788.3</v>
      </c>
      <c r="X918" s="1">
        <v>0.15</v>
      </c>
      <c r="Y918" s="1">
        <v>226</v>
      </c>
      <c r="Z918" s="1">
        <v>141157.4</v>
      </c>
      <c r="AA918" s="1">
        <v>16.96</v>
      </c>
      <c r="AB918" s="1">
        <v>800</v>
      </c>
    </row>
    <row r="919" spans="1:28" x14ac:dyDescent="0.4">
      <c r="A919" s="1" t="s">
        <v>259</v>
      </c>
      <c r="B919" s="1">
        <v>800</v>
      </c>
      <c r="C919" s="1">
        <v>0.4</v>
      </c>
      <c r="D919" s="1">
        <v>0.5</v>
      </c>
      <c r="E919" s="1">
        <v>2000</v>
      </c>
      <c r="F919" s="1">
        <v>1</v>
      </c>
      <c r="G919" s="1">
        <v>3</v>
      </c>
      <c r="H919" s="1" t="s">
        <v>595</v>
      </c>
      <c r="I919" s="1">
        <v>169951.6</v>
      </c>
      <c r="J919" s="1">
        <v>69481.600000000006</v>
      </c>
      <c r="K919" s="1">
        <v>100470</v>
      </c>
      <c r="L919" s="1">
        <v>240</v>
      </c>
      <c r="M919" s="1">
        <v>0.13</v>
      </c>
      <c r="N919" s="1">
        <v>52756.5</v>
      </c>
      <c r="O919" s="1">
        <v>82699.100000000006</v>
      </c>
      <c r="P919" s="1">
        <v>135455.6</v>
      </c>
      <c r="Q919" s="1">
        <v>3165.6</v>
      </c>
      <c r="R919" s="1">
        <v>1498.1</v>
      </c>
      <c r="S919" s="1">
        <v>4663.7</v>
      </c>
      <c r="T919" s="1">
        <v>17.55</v>
      </c>
      <c r="U919" s="1">
        <v>0.03</v>
      </c>
      <c r="V919" s="1">
        <v>1446.8</v>
      </c>
      <c r="W919" s="1">
        <v>4612.3999999999996</v>
      </c>
      <c r="X919" s="1">
        <v>0.15</v>
      </c>
      <c r="Y919" s="1">
        <v>222</v>
      </c>
      <c r="Z919" s="1">
        <v>140068</v>
      </c>
      <c r="AA919" s="1">
        <v>17.579999999999998</v>
      </c>
      <c r="AB919" s="1">
        <v>800</v>
      </c>
    </row>
    <row r="920" spans="1:28" x14ac:dyDescent="0.4">
      <c r="A920" s="1" t="s">
        <v>260</v>
      </c>
      <c r="B920" s="1">
        <v>800</v>
      </c>
      <c r="C920" s="1">
        <v>0.4</v>
      </c>
      <c r="D920" s="1">
        <v>0.5</v>
      </c>
      <c r="E920" s="1">
        <v>2000</v>
      </c>
      <c r="F920" s="1">
        <v>1</v>
      </c>
      <c r="G920" s="1">
        <v>4</v>
      </c>
      <c r="H920" s="1" t="s">
        <v>595</v>
      </c>
      <c r="I920" s="1">
        <v>165701.20000000001</v>
      </c>
      <c r="J920" s="1">
        <v>67770.8</v>
      </c>
      <c r="K920" s="1">
        <v>97930.4</v>
      </c>
      <c r="L920" s="1">
        <v>240</v>
      </c>
      <c r="M920" s="1">
        <v>0.13</v>
      </c>
      <c r="N920" s="1">
        <v>52755.4</v>
      </c>
      <c r="O920" s="1">
        <v>81195.899999999994</v>
      </c>
      <c r="P920" s="1">
        <v>133951.29999999999</v>
      </c>
      <c r="Q920" s="1">
        <v>2903</v>
      </c>
      <c r="R920" s="1">
        <v>1414.9</v>
      </c>
      <c r="S920" s="1">
        <v>4317.8999999999996</v>
      </c>
      <c r="T920" s="1">
        <v>16.559999999999999</v>
      </c>
      <c r="U920" s="1">
        <v>0.02</v>
      </c>
      <c r="V920" s="1">
        <v>1353.8</v>
      </c>
      <c r="W920" s="1">
        <v>4256.8</v>
      </c>
      <c r="X920" s="1">
        <v>0.15</v>
      </c>
      <c r="Y920" s="1">
        <v>208</v>
      </c>
      <c r="Z920" s="1">
        <v>138208.1</v>
      </c>
      <c r="AA920" s="1">
        <v>16.59</v>
      </c>
      <c r="AB920" s="1">
        <v>800</v>
      </c>
    </row>
    <row r="921" spans="1:28" x14ac:dyDescent="0.4">
      <c r="A921" s="1" t="s">
        <v>261</v>
      </c>
      <c r="B921" s="1">
        <v>800</v>
      </c>
      <c r="C921" s="1">
        <v>0.4</v>
      </c>
      <c r="D921" s="1">
        <v>0.5</v>
      </c>
      <c r="E921" s="1">
        <v>2000</v>
      </c>
      <c r="F921" s="1">
        <v>1</v>
      </c>
      <c r="G921" s="1">
        <v>5</v>
      </c>
      <c r="H921" s="1" t="s">
        <v>595</v>
      </c>
      <c r="I921" s="1">
        <v>168020</v>
      </c>
      <c r="J921" s="1">
        <v>71133</v>
      </c>
      <c r="K921" s="1">
        <v>96887</v>
      </c>
      <c r="L921" s="1">
        <v>240</v>
      </c>
      <c r="M921" s="1">
        <v>0.11</v>
      </c>
      <c r="N921" s="1">
        <v>52203.1</v>
      </c>
      <c r="O921" s="1">
        <v>79276.800000000003</v>
      </c>
      <c r="P921" s="1">
        <v>131479.9</v>
      </c>
      <c r="Q921" s="1">
        <v>3105.3</v>
      </c>
      <c r="R921" s="1">
        <v>1465.8</v>
      </c>
      <c r="S921" s="1">
        <v>4571.1000000000004</v>
      </c>
      <c r="T921" s="1">
        <v>19.03</v>
      </c>
      <c r="U921" s="1">
        <v>0.03</v>
      </c>
      <c r="V921" s="1">
        <v>1424.1</v>
      </c>
      <c r="W921" s="1">
        <v>4529.3999999999996</v>
      </c>
      <c r="X921" s="1">
        <v>0.14000000000000001</v>
      </c>
      <c r="Y921" s="1">
        <v>221</v>
      </c>
      <c r="Z921" s="1">
        <v>136009.29999999999</v>
      </c>
      <c r="AA921" s="1">
        <v>19.05</v>
      </c>
      <c r="AB921" s="1">
        <v>800</v>
      </c>
    </row>
    <row r="922" spans="1:28" x14ac:dyDescent="0.4">
      <c r="A922" s="1" t="s">
        <v>262</v>
      </c>
      <c r="B922" s="1">
        <v>800</v>
      </c>
      <c r="C922" s="1">
        <v>0.4</v>
      </c>
      <c r="D922" s="1">
        <v>0.5</v>
      </c>
      <c r="E922" s="1">
        <v>2000</v>
      </c>
      <c r="F922" s="1">
        <v>2</v>
      </c>
      <c r="G922" s="1">
        <v>1</v>
      </c>
      <c r="H922" s="1" t="s">
        <v>595</v>
      </c>
      <c r="I922" s="1">
        <v>250362.9</v>
      </c>
      <c r="J922" s="1">
        <v>98155.4</v>
      </c>
      <c r="K922" s="1">
        <v>152207.5</v>
      </c>
      <c r="L922" s="1">
        <v>240</v>
      </c>
      <c r="M922" s="1">
        <v>0.32</v>
      </c>
      <c r="N922" s="1">
        <v>76599</v>
      </c>
      <c r="O922" s="1">
        <v>124852.4</v>
      </c>
      <c r="P922" s="1">
        <v>201451.4</v>
      </c>
      <c r="Q922" s="1">
        <v>3240.4</v>
      </c>
      <c r="R922" s="1">
        <v>1496.6</v>
      </c>
      <c r="S922" s="1">
        <v>4737</v>
      </c>
      <c r="T922" s="1">
        <v>17.64</v>
      </c>
      <c r="U922" s="1">
        <v>0.03</v>
      </c>
      <c r="V922" s="1">
        <v>1450</v>
      </c>
      <c r="W922" s="1">
        <v>4690.3999999999996</v>
      </c>
      <c r="X922" s="1">
        <v>0.34</v>
      </c>
      <c r="Y922" s="1">
        <v>225</v>
      </c>
      <c r="Z922" s="1">
        <v>206141.8</v>
      </c>
      <c r="AA922" s="1">
        <v>17.66</v>
      </c>
      <c r="AB922" s="1">
        <v>800</v>
      </c>
    </row>
    <row r="923" spans="1:28" x14ac:dyDescent="0.4">
      <c r="A923" s="1" t="s">
        <v>263</v>
      </c>
      <c r="B923" s="1">
        <v>800</v>
      </c>
      <c r="C923" s="1">
        <v>0.4</v>
      </c>
      <c r="D923" s="1">
        <v>0.5</v>
      </c>
      <c r="E923" s="1">
        <v>2000</v>
      </c>
      <c r="F923" s="1">
        <v>2</v>
      </c>
      <c r="G923" s="1">
        <v>2</v>
      </c>
      <c r="H923" s="1" t="s">
        <v>595</v>
      </c>
      <c r="I923" s="1">
        <v>250230.39999999999</v>
      </c>
      <c r="J923" s="1">
        <v>100944</v>
      </c>
      <c r="K923" s="1">
        <v>149286.39999999999</v>
      </c>
      <c r="L923" s="1">
        <v>240</v>
      </c>
      <c r="M923" s="1">
        <v>0.31</v>
      </c>
      <c r="N923" s="1">
        <v>78409.399999999994</v>
      </c>
      <c r="O923" s="1">
        <v>122687.8</v>
      </c>
      <c r="P923" s="1">
        <v>201097.2</v>
      </c>
      <c r="Q923" s="1">
        <v>3176.6</v>
      </c>
      <c r="R923" s="1">
        <v>1584</v>
      </c>
      <c r="S923" s="1">
        <v>4760.6000000000004</v>
      </c>
      <c r="T923" s="1">
        <v>17.73</v>
      </c>
      <c r="U923" s="1">
        <v>0.03</v>
      </c>
      <c r="V923" s="1">
        <v>1531</v>
      </c>
      <c r="W923" s="1">
        <v>4707.6000000000004</v>
      </c>
      <c r="X923" s="1">
        <v>0.34</v>
      </c>
      <c r="Y923" s="1">
        <v>224</v>
      </c>
      <c r="Z923" s="1">
        <v>205804.79999999999</v>
      </c>
      <c r="AA923" s="1">
        <v>17.75</v>
      </c>
      <c r="AB923" s="1">
        <v>800</v>
      </c>
    </row>
    <row r="924" spans="1:28" x14ac:dyDescent="0.4">
      <c r="A924" s="1" t="s">
        <v>264</v>
      </c>
      <c r="B924" s="1">
        <v>800</v>
      </c>
      <c r="C924" s="1">
        <v>0.4</v>
      </c>
      <c r="D924" s="1">
        <v>0.5</v>
      </c>
      <c r="E924" s="1">
        <v>2000</v>
      </c>
      <c r="F924" s="1">
        <v>2</v>
      </c>
      <c r="G924" s="1">
        <v>3</v>
      </c>
      <c r="H924" s="1" t="s">
        <v>595</v>
      </c>
      <c r="I924" s="1">
        <v>247828</v>
      </c>
      <c r="J924" s="1">
        <v>100347.6</v>
      </c>
      <c r="K924" s="1">
        <v>147480.4</v>
      </c>
      <c r="L924" s="1">
        <v>240</v>
      </c>
      <c r="M924" s="1">
        <v>0.34</v>
      </c>
      <c r="N924" s="1">
        <v>79895.100000000006</v>
      </c>
      <c r="O924" s="1">
        <v>121078.7</v>
      </c>
      <c r="P924" s="1">
        <v>200973.8</v>
      </c>
      <c r="Q924" s="1">
        <v>2943.5</v>
      </c>
      <c r="R924" s="1">
        <v>1435.1</v>
      </c>
      <c r="S924" s="1">
        <v>4378.6000000000004</v>
      </c>
      <c r="T924" s="1">
        <v>17.14</v>
      </c>
      <c r="U924" s="1">
        <v>0.03</v>
      </c>
      <c r="V924" s="1">
        <v>1294.4000000000001</v>
      </c>
      <c r="W924" s="1">
        <v>4237.8999999999996</v>
      </c>
      <c r="X924" s="1">
        <v>0.37</v>
      </c>
      <c r="Y924" s="1">
        <v>206</v>
      </c>
      <c r="Z924" s="1">
        <v>205211.7</v>
      </c>
      <c r="AA924" s="1">
        <v>17.2</v>
      </c>
      <c r="AB924" s="1">
        <v>800</v>
      </c>
    </row>
    <row r="925" spans="1:28" x14ac:dyDescent="0.4">
      <c r="A925" s="1" t="s">
        <v>265</v>
      </c>
      <c r="B925" s="1">
        <v>800</v>
      </c>
      <c r="C925" s="1">
        <v>0.4</v>
      </c>
      <c r="D925" s="1">
        <v>0.5</v>
      </c>
      <c r="E925" s="1">
        <v>2000</v>
      </c>
      <c r="F925" s="1">
        <v>2</v>
      </c>
      <c r="G925" s="1">
        <v>4</v>
      </c>
      <c r="H925" s="1" t="s">
        <v>595</v>
      </c>
      <c r="I925" s="1">
        <v>251946.4</v>
      </c>
      <c r="J925" s="1">
        <v>102935.6</v>
      </c>
      <c r="K925" s="1">
        <v>149010.79999999999</v>
      </c>
      <c r="L925" s="1">
        <v>240</v>
      </c>
      <c r="M925" s="1">
        <v>0.32</v>
      </c>
      <c r="N925" s="1">
        <v>78954.899999999994</v>
      </c>
      <c r="O925" s="1">
        <v>121139.9</v>
      </c>
      <c r="P925" s="1">
        <v>200094.8</v>
      </c>
      <c r="Q925" s="1">
        <v>3267.8</v>
      </c>
      <c r="R925" s="1">
        <v>1524.8</v>
      </c>
      <c r="S925" s="1">
        <v>4792.6000000000004</v>
      </c>
      <c r="T925" s="1">
        <v>18.68</v>
      </c>
      <c r="U925" s="1">
        <v>0.03</v>
      </c>
      <c r="V925" s="1">
        <v>1462.7</v>
      </c>
      <c r="W925" s="1">
        <v>4730.5</v>
      </c>
      <c r="X925" s="1">
        <v>0.35</v>
      </c>
      <c r="Y925" s="1">
        <v>221</v>
      </c>
      <c r="Z925" s="1">
        <v>204825.3</v>
      </c>
      <c r="AA925" s="1">
        <v>18.7</v>
      </c>
      <c r="AB925" s="1">
        <v>800</v>
      </c>
    </row>
    <row r="926" spans="1:28" x14ac:dyDescent="0.4">
      <c r="A926" s="1" t="s">
        <v>266</v>
      </c>
      <c r="B926" s="1">
        <v>800</v>
      </c>
      <c r="C926" s="1">
        <v>0.4</v>
      </c>
      <c r="D926" s="1">
        <v>0.5</v>
      </c>
      <c r="E926" s="1">
        <v>2000</v>
      </c>
      <c r="F926" s="1">
        <v>2</v>
      </c>
      <c r="G926" s="1">
        <v>5</v>
      </c>
      <c r="H926" s="1" t="s">
        <v>595</v>
      </c>
      <c r="I926" s="1">
        <v>245726.4</v>
      </c>
      <c r="J926" s="1">
        <v>101268.2</v>
      </c>
      <c r="K926" s="1">
        <v>144458.20000000001</v>
      </c>
      <c r="L926" s="1">
        <v>240</v>
      </c>
      <c r="M926" s="1">
        <v>0.3</v>
      </c>
      <c r="N926" s="1">
        <v>78779.199999999997</v>
      </c>
      <c r="O926" s="1">
        <v>119140.1</v>
      </c>
      <c r="P926" s="1">
        <v>197919.3</v>
      </c>
      <c r="Q926" s="1">
        <v>3259.5</v>
      </c>
      <c r="R926" s="1">
        <v>1581.3</v>
      </c>
      <c r="S926" s="1">
        <v>4840.8</v>
      </c>
      <c r="T926" s="1">
        <v>17.489999999999998</v>
      </c>
      <c r="U926" s="1">
        <v>0.03</v>
      </c>
      <c r="V926" s="1">
        <v>1467</v>
      </c>
      <c r="W926" s="1">
        <v>4726.5</v>
      </c>
      <c r="X926" s="1">
        <v>0.33</v>
      </c>
      <c r="Y926" s="1">
        <v>224</v>
      </c>
      <c r="Z926" s="1">
        <v>202645.8</v>
      </c>
      <c r="AA926" s="1">
        <v>17.53</v>
      </c>
      <c r="AB926" s="1">
        <v>800</v>
      </c>
    </row>
    <row r="927" spans="1:28" x14ac:dyDescent="0.4">
      <c r="A927" s="1" t="s">
        <v>267</v>
      </c>
      <c r="B927" s="1">
        <v>800</v>
      </c>
      <c r="C927" s="1">
        <v>0.4</v>
      </c>
      <c r="D927" s="1">
        <v>0.5</v>
      </c>
      <c r="E927" s="1">
        <v>2000</v>
      </c>
      <c r="F927" s="1">
        <v>3</v>
      </c>
      <c r="G927" s="1">
        <v>1</v>
      </c>
      <c r="H927" s="1" t="s">
        <v>595</v>
      </c>
      <c r="I927" s="1">
        <v>311641.90000000002</v>
      </c>
      <c r="J927" s="1">
        <v>130002.5</v>
      </c>
      <c r="K927" s="1">
        <v>181639.4</v>
      </c>
      <c r="L927" s="1">
        <v>240</v>
      </c>
      <c r="M927" s="1">
        <v>0.42</v>
      </c>
      <c r="N927" s="1">
        <v>103114.3</v>
      </c>
      <c r="O927" s="1">
        <v>149757.70000000001</v>
      </c>
      <c r="P927" s="1">
        <v>252872</v>
      </c>
      <c r="Q927" s="1">
        <v>3144.6</v>
      </c>
      <c r="R927" s="1">
        <v>1606.9</v>
      </c>
      <c r="S927" s="1">
        <v>4751.5</v>
      </c>
      <c r="T927" s="1">
        <v>17.329999999999998</v>
      </c>
      <c r="U927" s="1">
        <v>0.03</v>
      </c>
      <c r="V927" s="1">
        <v>1507.3</v>
      </c>
      <c r="W927" s="1">
        <v>4651.8999999999996</v>
      </c>
      <c r="X927" s="1">
        <v>0.45</v>
      </c>
      <c r="Y927" s="1">
        <v>217</v>
      </c>
      <c r="Z927" s="1">
        <v>257523.9</v>
      </c>
      <c r="AA927" s="1">
        <v>17.37</v>
      </c>
      <c r="AB927" s="1">
        <v>800</v>
      </c>
    </row>
    <row r="928" spans="1:28" x14ac:dyDescent="0.4">
      <c r="A928" s="1" t="s">
        <v>268</v>
      </c>
      <c r="B928" s="1">
        <v>800</v>
      </c>
      <c r="C928" s="1">
        <v>0.4</v>
      </c>
      <c r="D928" s="1">
        <v>0.5</v>
      </c>
      <c r="E928" s="1">
        <v>2000</v>
      </c>
      <c r="F928" s="1">
        <v>3</v>
      </c>
      <c r="G928" s="1">
        <v>2</v>
      </c>
      <c r="H928" s="1" t="s">
        <v>595</v>
      </c>
      <c r="I928" s="1">
        <v>305552.90000000002</v>
      </c>
      <c r="J928" s="1">
        <v>126112.6</v>
      </c>
      <c r="K928" s="1">
        <v>179440.3</v>
      </c>
      <c r="L928" s="1">
        <v>240</v>
      </c>
      <c r="M928" s="1">
        <v>0.19</v>
      </c>
      <c r="N928" s="1">
        <v>97196.1</v>
      </c>
      <c r="O928" s="1">
        <v>147142.5</v>
      </c>
      <c r="P928" s="1">
        <v>244338.6</v>
      </c>
      <c r="Q928" s="1">
        <v>3164.8</v>
      </c>
      <c r="R928" s="1">
        <v>1603.9</v>
      </c>
      <c r="S928" s="1">
        <v>4768.7</v>
      </c>
      <c r="T928" s="1">
        <v>18.47</v>
      </c>
      <c r="U928" s="1">
        <v>0.03</v>
      </c>
      <c r="V928" s="1">
        <v>1518.4</v>
      </c>
      <c r="W928" s="1">
        <v>4683.2</v>
      </c>
      <c r="X928" s="1">
        <v>0.22</v>
      </c>
      <c r="Y928" s="1">
        <v>227</v>
      </c>
      <c r="Z928" s="1">
        <v>249021.8</v>
      </c>
      <c r="AA928" s="1">
        <v>18.5</v>
      </c>
      <c r="AB928" s="1">
        <v>800</v>
      </c>
    </row>
    <row r="929" spans="1:28" x14ac:dyDescent="0.4">
      <c r="A929" s="1" t="s">
        <v>269</v>
      </c>
      <c r="B929" s="1">
        <v>800</v>
      </c>
      <c r="C929" s="1">
        <v>0.4</v>
      </c>
      <c r="D929" s="1">
        <v>0.5</v>
      </c>
      <c r="E929" s="1">
        <v>2000</v>
      </c>
      <c r="F929" s="1">
        <v>3</v>
      </c>
      <c r="G929" s="1">
        <v>3</v>
      </c>
      <c r="H929" s="1" t="s">
        <v>595</v>
      </c>
      <c r="I929" s="1">
        <v>303425.09999999998</v>
      </c>
      <c r="J929" s="1">
        <v>122185.60000000001</v>
      </c>
      <c r="K929" s="1">
        <v>181239.5</v>
      </c>
      <c r="L929" s="1">
        <v>240</v>
      </c>
      <c r="M929" s="1">
        <v>0.17</v>
      </c>
      <c r="N929" s="1">
        <v>98229.4</v>
      </c>
      <c r="O929" s="1">
        <v>152908.20000000001</v>
      </c>
      <c r="P929" s="1">
        <v>251137.6</v>
      </c>
      <c r="Q929" s="1">
        <v>3286.9</v>
      </c>
      <c r="R929" s="1">
        <v>1452.3</v>
      </c>
      <c r="S929" s="1">
        <v>4739.2</v>
      </c>
      <c r="T929" s="1">
        <v>15.67</v>
      </c>
      <c r="U929" s="1">
        <v>0.03</v>
      </c>
      <c r="V929" s="1">
        <v>1449.5</v>
      </c>
      <c r="W929" s="1">
        <v>4736.3999999999996</v>
      </c>
      <c r="X929" s="1">
        <v>0.21</v>
      </c>
      <c r="Y929" s="1">
        <v>229</v>
      </c>
      <c r="Z929" s="1">
        <v>255874</v>
      </c>
      <c r="AA929" s="1">
        <v>15.67</v>
      </c>
      <c r="AB929" s="1">
        <v>800</v>
      </c>
    </row>
    <row r="930" spans="1:28" x14ac:dyDescent="0.4">
      <c r="A930" s="1" t="s">
        <v>270</v>
      </c>
      <c r="B930" s="1">
        <v>800</v>
      </c>
      <c r="C930" s="1">
        <v>0.4</v>
      </c>
      <c r="D930" s="1">
        <v>0.5</v>
      </c>
      <c r="E930" s="1">
        <v>2000</v>
      </c>
      <c r="F930" s="1">
        <v>3</v>
      </c>
      <c r="G930" s="1">
        <v>4</v>
      </c>
      <c r="H930" s="1" t="s">
        <v>595</v>
      </c>
      <c r="I930" s="1">
        <v>313216.59999999998</v>
      </c>
      <c r="J930" s="1">
        <v>131697</v>
      </c>
      <c r="K930" s="1">
        <v>181519.6</v>
      </c>
      <c r="L930" s="1">
        <v>240</v>
      </c>
      <c r="M930" s="1">
        <v>0.33</v>
      </c>
      <c r="N930" s="1">
        <v>104973.2</v>
      </c>
      <c r="O930" s="1">
        <v>152114.70000000001</v>
      </c>
      <c r="P930" s="1">
        <v>257087.9</v>
      </c>
      <c r="Q930" s="1">
        <v>3430.4</v>
      </c>
      <c r="R930" s="1">
        <v>1555.1</v>
      </c>
      <c r="S930" s="1">
        <v>4985.5</v>
      </c>
      <c r="T930" s="1">
        <v>16.329999999999998</v>
      </c>
      <c r="U930" s="1">
        <v>0.03</v>
      </c>
      <c r="V930" s="1">
        <v>1534.7</v>
      </c>
      <c r="W930" s="1">
        <v>4965.1000000000004</v>
      </c>
      <c r="X930" s="1">
        <v>0.35</v>
      </c>
      <c r="Y930" s="1">
        <v>232</v>
      </c>
      <c r="Z930" s="1">
        <v>262053</v>
      </c>
      <c r="AA930" s="1">
        <v>16.329999999999998</v>
      </c>
      <c r="AB930" s="1">
        <v>800</v>
      </c>
    </row>
    <row r="931" spans="1:28" x14ac:dyDescent="0.4">
      <c r="A931" s="1" t="s">
        <v>271</v>
      </c>
      <c r="B931" s="1">
        <v>800</v>
      </c>
      <c r="C931" s="1">
        <v>0.4</v>
      </c>
      <c r="D931" s="1">
        <v>0.5</v>
      </c>
      <c r="E931" s="1">
        <v>2000</v>
      </c>
      <c r="F931" s="1">
        <v>3</v>
      </c>
      <c r="G931" s="1">
        <v>5</v>
      </c>
      <c r="H931" s="1" t="s">
        <v>595</v>
      </c>
      <c r="I931" s="1">
        <v>303871.5</v>
      </c>
      <c r="J931" s="1">
        <v>126862.1</v>
      </c>
      <c r="K931" s="1">
        <v>177009.4</v>
      </c>
      <c r="L931" s="1">
        <v>240</v>
      </c>
      <c r="M931" s="1">
        <v>0.2</v>
      </c>
      <c r="N931" s="1">
        <v>99999.3</v>
      </c>
      <c r="O931" s="1">
        <v>145735.20000000001</v>
      </c>
      <c r="P931" s="1">
        <v>245734.5</v>
      </c>
      <c r="Q931" s="1">
        <v>3331</v>
      </c>
      <c r="R931" s="1">
        <v>1631.1</v>
      </c>
      <c r="S931" s="1">
        <v>4962.1000000000004</v>
      </c>
      <c r="T931" s="1">
        <v>17.5</v>
      </c>
      <c r="U931" s="1">
        <v>0.03</v>
      </c>
      <c r="V931" s="1">
        <v>1513.8</v>
      </c>
      <c r="W931" s="1">
        <v>4844.8</v>
      </c>
      <c r="X931" s="1">
        <v>0.23</v>
      </c>
      <c r="Y931" s="1">
        <v>223</v>
      </c>
      <c r="Z931" s="1">
        <v>250579.3</v>
      </c>
      <c r="AA931" s="1">
        <v>17.54</v>
      </c>
      <c r="AB931" s="1">
        <v>800</v>
      </c>
    </row>
    <row r="932" spans="1:28" x14ac:dyDescent="0.4">
      <c r="A932" s="1" t="s">
        <v>272</v>
      </c>
      <c r="B932" s="1">
        <v>800</v>
      </c>
      <c r="C932" s="1">
        <v>0.4</v>
      </c>
      <c r="D932" s="1">
        <v>0.5</v>
      </c>
      <c r="E932" s="1">
        <v>500</v>
      </c>
      <c r="F932" s="1">
        <v>1</v>
      </c>
      <c r="G932" s="1">
        <v>1</v>
      </c>
      <c r="H932" s="1" t="s">
        <v>595</v>
      </c>
      <c r="I932" s="1">
        <v>40837.5</v>
      </c>
      <c r="J932" s="1">
        <v>17869.3</v>
      </c>
      <c r="K932" s="1">
        <v>22968.2</v>
      </c>
      <c r="L932" s="1">
        <v>240</v>
      </c>
      <c r="M932" s="1">
        <v>0.04</v>
      </c>
      <c r="N932" s="1">
        <v>12617.2</v>
      </c>
      <c r="O932" s="1">
        <v>17844.400000000001</v>
      </c>
      <c r="P932" s="1">
        <v>30461.599999999999</v>
      </c>
      <c r="Q932" s="1">
        <v>3383</v>
      </c>
      <c r="R932" s="1">
        <v>1444.9</v>
      </c>
      <c r="S932" s="1">
        <v>4827.8999999999996</v>
      </c>
      <c r="T932" s="1">
        <v>13.59</v>
      </c>
      <c r="U932" s="1">
        <v>0.02</v>
      </c>
      <c r="V932" s="1">
        <v>1346.6</v>
      </c>
      <c r="W932" s="1">
        <v>4729.6000000000004</v>
      </c>
      <c r="X932" s="1">
        <v>0.06</v>
      </c>
      <c r="Y932" s="1">
        <v>228</v>
      </c>
      <c r="Z932" s="1">
        <v>35191.199999999997</v>
      </c>
      <c r="AA932" s="1">
        <v>13.83</v>
      </c>
      <c r="AB932" s="1">
        <v>800</v>
      </c>
    </row>
    <row r="933" spans="1:28" x14ac:dyDescent="0.4">
      <c r="A933" s="1" t="s">
        <v>273</v>
      </c>
      <c r="B933" s="1">
        <v>800</v>
      </c>
      <c r="C933" s="1">
        <v>0.4</v>
      </c>
      <c r="D933" s="1">
        <v>0.5</v>
      </c>
      <c r="E933" s="1">
        <v>500</v>
      </c>
      <c r="F933" s="1">
        <v>1</v>
      </c>
      <c r="G933" s="1">
        <v>2</v>
      </c>
      <c r="H933" s="1" t="s">
        <v>595</v>
      </c>
      <c r="I933" s="1">
        <v>42627.6</v>
      </c>
      <c r="J933" s="1">
        <v>17237.8</v>
      </c>
      <c r="K933" s="1">
        <v>25389.8</v>
      </c>
      <c r="L933" s="1">
        <v>240</v>
      </c>
      <c r="M933" s="1">
        <v>0.04</v>
      </c>
      <c r="N933" s="1">
        <v>12369.2</v>
      </c>
      <c r="O933" s="1">
        <v>19868.5</v>
      </c>
      <c r="P933" s="1">
        <v>32237.7</v>
      </c>
      <c r="Q933" s="1">
        <v>3004.6</v>
      </c>
      <c r="R933" s="1">
        <v>1386.1</v>
      </c>
      <c r="S933" s="1">
        <v>4390.7</v>
      </c>
      <c r="T933" s="1">
        <v>14.07</v>
      </c>
      <c r="U933" s="1">
        <v>0.02</v>
      </c>
      <c r="V933" s="1">
        <v>1245.4000000000001</v>
      </c>
      <c r="W933" s="1">
        <v>4250</v>
      </c>
      <c r="X933" s="1">
        <v>0.06</v>
      </c>
      <c r="Y933" s="1">
        <v>204</v>
      </c>
      <c r="Z933" s="1">
        <v>36487.699999999997</v>
      </c>
      <c r="AA933" s="1">
        <v>14.4</v>
      </c>
      <c r="AB933" s="1">
        <v>800</v>
      </c>
    </row>
    <row r="934" spans="1:28" x14ac:dyDescent="0.4">
      <c r="A934" s="1" t="s">
        <v>274</v>
      </c>
      <c r="B934" s="1">
        <v>800</v>
      </c>
      <c r="C934" s="1">
        <v>0.4</v>
      </c>
      <c r="D934" s="1">
        <v>0.5</v>
      </c>
      <c r="E934" s="1">
        <v>500</v>
      </c>
      <c r="F934" s="1">
        <v>1</v>
      </c>
      <c r="G934" s="1">
        <v>3</v>
      </c>
      <c r="H934" s="1" t="s">
        <v>595</v>
      </c>
      <c r="I934" s="1">
        <v>43861.8</v>
      </c>
      <c r="J934" s="1">
        <v>17522.599999999999</v>
      </c>
      <c r="K934" s="1">
        <v>26339.200000000001</v>
      </c>
      <c r="L934" s="1">
        <v>240</v>
      </c>
      <c r="M934" s="1">
        <v>0.05</v>
      </c>
      <c r="N934" s="1">
        <v>12567.3</v>
      </c>
      <c r="O934" s="1">
        <v>19865</v>
      </c>
      <c r="P934" s="1">
        <v>32432.3</v>
      </c>
      <c r="Q934" s="1">
        <v>3209.5</v>
      </c>
      <c r="R934" s="1">
        <v>1407</v>
      </c>
      <c r="S934" s="1">
        <v>4616.5</v>
      </c>
      <c r="T934" s="1">
        <v>15.53</v>
      </c>
      <c r="U934" s="1">
        <v>0.03</v>
      </c>
      <c r="V934" s="1">
        <v>1318.4</v>
      </c>
      <c r="W934" s="1">
        <v>4527.8999999999996</v>
      </c>
      <c r="X934" s="1">
        <v>7.0000000000000007E-2</v>
      </c>
      <c r="Y934" s="1">
        <v>227</v>
      </c>
      <c r="Z934" s="1">
        <v>36960.199999999997</v>
      </c>
      <c r="AA934" s="1">
        <v>15.73</v>
      </c>
      <c r="AB934" s="1">
        <v>800</v>
      </c>
    </row>
    <row r="935" spans="1:28" x14ac:dyDescent="0.4">
      <c r="A935" s="1" t="s">
        <v>275</v>
      </c>
      <c r="B935" s="1">
        <v>800</v>
      </c>
      <c r="C935" s="1">
        <v>0.4</v>
      </c>
      <c r="D935" s="1">
        <v>0.5</v>
      </c>
      <c r="E935" s="1">
        <v>500</v>
      </c>
      <c r="F935" s="1">
        <v>1</v>
      </c>
      <c r="G935" s="1">
        <v>4</v>
      </c>
      <c r="H935" s="1" t="s">
        <v>595</v>
      </c>
      <c r="I935" s="1">
        <v>41801.800000000003</v>
      </c>
      <c r="J935" s="1">
        <v>16903</v>
      </c>
      <c r="K935" s="1">
        <v>24898.799999999999</v>
      </c>
      <c r="L935" s="1">
        <v>240</v>
      </c>
      <c r="M935" s="1">
        <v>0.05</v>
      </c>
      <c r="N935" s="1">
        <v>12593.1</v>
      </c>
      <c r="O935" s="1">
        <v>19872.900000000001</v>
      </c>
      <c r="P935" s="1">
        <v>32466</v>
      </c>
      <c r="Q935" s="1">
        <v>2611.1999999999998</v>
      </c>
      <c r="R935" s="1">
        <v>1216.3</v>
      </c>
      <c r="S935" s="1">
        <v>3827.5</v>
      </c>
      <c r="T935" s="1">
        <v>13.18</v>
      </c>
      <c r="U935" s="1">
        <v>0.01</v>
      </c>
      <c r="V935" s="1">
        <v>1144.5999999999999</v>
      </c>
      <c r="W935" s="1">
        <v>3755.8</v>
      </c>
      <c r="X935" s="1">
        <v>0.06</v>
      </c>
      <c r="Y935" s="1">
        <v>183</v>
      </c>
      <c r="Z935" s="1">
        <v>36221.800000000003</v>
      </c>
      <c r="AA935" s="1">
        <v>13.35</v>
      </c>
      <c r="AB935" s="1">
        <v>800</v>
      </c>
    </row>
    <row r="936" spans="1:28" x14ac:dyDescent="0.4">
      <c r="A936" s="1" t="s">
        <v>276</v>
      </c>
      <c r="B936" s="1">
        <v>800</v>
      </c>
      <c r="C936" s="1">
        <v>0.4</v>
      </c>
      <c r="D936" s="1">
        <v>0.5</v>
      </c>
      <c r="E936" s="1">
        <v>500</v>
      </c>
      <c r="F936" s="1">
        <v>1</v>
      </c>
      <c r="G936" s="1">
        <v>5</v>
      </c>
      <c r="H936" s="1" t="s">
        <v>595</v>
      </c>
      <c r="I936" s="1">
        <v>42102.1</v>
      </c>
      <c r="J936" s="1">
        <v>17936.900000000001</v>
      </c>
      <c r="K936" s="1">
        <v>24165.200000000001</v>
      </c>
      <c r="L936" s="1">
        <v>240</v>
      </c>
      <c r="M936" s="1">
        <v>0.05</v>
      </c>
      <c r="N936" s="1">
        <v>12631.1</v>
      </c>
      <c r="O936" s="1">
        <v>18883.3</v>
      </c>
      <c r="P936" s="1">
        <v>31514.400000000001</v>
      </c>
      <c r="Q936" s="1">
        <v>3161.5</v>
      </c>
      <c r="R936" s="1">
        <v>1382.5</v>
      </c>
      <c r="S936" s="1">
        <v>4544</v>
      </c>
      <c r="T936" s="1">
        <v>14.35</v>
      </c>
      <c r="U936" s="1">
        <v>0.02</v>
      </c>
      <c r="V936" s="1">
        <v>1327.9</v>
      </c>
      <c r="W936" s="1">
        <v>4489.3999999999996</v>
      </c>
      <c r="X936" s="1">
        <v>7.0000000000000007E-2</v>
      </c>
      <c r="Y936" s="1">
        <v>224</v>
      </c>
      <c r="Z936" s="1">
        <v>36003.800000000003</v>
      </c>
      <c r="AA936" s="1">
        <v>14.48</v>
      </c>
      <c r="AB936" s="1">
        <v>800</v>
      </c>
    </row>
    <row r="937" spans="1:28" x14ac:dyDescent="0.4">
      <c r="A937" s="1" t="s">
        <v>277</v>
      </c>
      <c r="B937" s="1">
        <v>800</v>
      </c>
      <c r="C937" s="1">
        <v>0.4</v>
      </c>
      <c r="D937" s="1">
        <v>0.5</v>
      </c>
      <c r="E937" s="1">
        <v>500</v>
      </c>
      <c r="F937" s="1">
        <v>2</v>
      </c>
      <c r="G937" s="1">
        <v>1</v>
      </c>
      <c r="H937" s="1" t="s">
        <v>595</v>
      </c>
      <c r="I937" s="1">
        <v>62386</v>
      </c>
      <c r="J937" s="1">
        <v>25311.5</v>
      </c>
      <c r="K937" s="1">
        <v>37074.5</v>
      </c>
      <c r="L937" s="1">
        <v>240</v>
      </c>
      <c r="M937" s="1">
        <v>0.09</v>
      </c>
      <c r="N937" s="1">
        <v>19532.5</v>
      </c>
      <c r="O937" s="1">
        <v>29769.7</v>
      </c>
      <c r="P937" s="1">
        <v>49302.2</v>
      </c>
      <c r="Q937" s="1">
        <v>3081.1</v>
      </c>
      <c r="R937" s="1">
        <v>1389.6</v>
      </c>
      <c r="S937" s="1">
        <v>4470.7</v>
      </c>
      <c r="T937" s="1">
        <v>13.81</v>
      </c>
      <c r="U937" s="1">
        <v>0.02</v>
      </c>
      <c r="V937" s="1">
        <v>1287.4000000000001</v>
      </c>
      <c r="W937" s="1">
        <v>4368.5</v>
      </c>
      <c r="X937" s="1">
        <v>0.11</v>
      </c>
      <c r="Y937" s="1">
        <v>227</v>
      </c>
      <c r="Z937" s="1">
        <v>53670.7</v>
      </c>
      <c r="AA937" s="1">
        <v>13.97</v>
      </c>
      <c r="AB937" s="1">
        <v>800</v>
      </c>
    </row>
    <row r="938" spans="1:28" x14ac:dyDescent="0.4">
      <c r="A938" s="1" t="s">
        <v>278</v>
      </c>
      <c r="B938" s="1">
        <v>800</v>
      </c>
      <c r="C938" s="1">
        <v>0.4</v>
      </c>
      <c r="D938" s="1">
        <v>0.5</v>
      </c>
      <c r="E938" s="1">
        <v>500</v>
      </c>
      <c r="F938" s="1">
        <v>2</v>
      </c>
      <c r="G938" s="1">
        <v>2</v>
      </c>
      <c r="H938" s="1" t="s">
        <v>595</v>
      </c>
      <c r="I938" s="1">
        <v>62963.7</v>
      </c>
      <c r="J938" s="1">
        <v>25003.3</v>
      </c>
      <c r="K938" s="1">
        <v>37960.400000000001</v>
      </c>
      <c r="L938" s="1">
        <v>240</v>
      </c>
      <c r="M938" s="1">
        <v>7.0000000000000007E-2</v>
      </c>
      <c r="N938" s="1">
        <v>18443.5</v>
      </c>
      <c r="O938" s="1">
        <v>29976.9</v>
      </c>
      <c r="P938" s="1">
        <v>48420.4</v>
      </c>
      <c r="Q938" s="1">
        <v>3260</v>
      </c>
      <c r="R938" s="1">
        <v>1425.2</v>
      </c>
      <c r="S938" s="1">
        <v>4685.2</v>
      </c>
      <c r="T938" s="1">
        <v>15.66</v>
      </c>
      <c r="U938" s="1">
        <v>0.02</v>
      </c>
      <c r="V938" s="1">
        <v>1343.6</v>
      </c>
      <c r="W938" s="1">
        <v>4603.6000000000004</v>
      </c>
      <c r="X938" s="1">
        <v>0.09</v>
      </c>
      <c r="Y938" s="1">
        <v>225</v>
      </c>
      <c r="Z938" s="1">
        <v>53024</v>
      </c>
      <c r="AA938" s="1">
        <v>15.79</v>
      </c>
      <c r="AB938" s="1">
        <v>800</v>
      </c>
    </row>
    <row r="939" spans="1:28" x14ac:dyDescent="0.4">
      <c r="A939" s="1" t="s">
        <v>279</v>
      </c>
      <c r="B939" s="1">
        <v>800</v>
      </c>
      <c r="C939" s="1">
        <v>0.4</v>
      </c>
      <c r="D939" s="1">
        <v>0.5</v>
      </c>
      <c r="E939" s="1">
        <v>500</v>
      </c>
      <c r="F939" s="1">
        <v>2</v>
      </c>
      <c r="G939" s="1">
        <v>3</v>
      </c>
      <c r="H939" s="1" t="s">
        <v>595</v>
      </c>
      <c r="I939" s="1">
        <v>63392.6</v>
      </c>
      <c r="J939" s="1">
        <v>24930.6</v>
      </c>
      <c r="K939" s="1">
        <v>38462</v>
      </c>
      <c r="L939" s="1">
        <v>240</v>
      </c>
      <c r="M939" s="1">
        <v>7.0000000000000007E-2</v>
      </c>
      <c r="N939" s="1">
        <v>19279.2</v>
      </c>
      <c r="O939" s="1">
        <v>30905.9</v>
      </c>
      <c r="P939" s="1">
        <v>50185.1</v>
      </c>
      <c r="Q939" s="1">
        <v>3010.9</v>
      </c>
      <c r="R939" s="1">
        <v>1466.9</v>
      </c>
      <c r="S939" s="1">
        <v>4477.8</v>
      </c>
      <c r="T939" s="1">
        <v>13.77</v>
      </c>
      <c r="U939" s="1">
        <v>0.02</v>
      </c>
      <c r="V939" s="1">
        <v>1355</v>
      </c>
      <c r="W939" s="1">
        <v>4365.8999999999996</v>
      </c>
      <c r="X939" s="1">
        <v>0.09</v>
      </c>
      <c r="Y939" s="1">
        <v>212</v>
      </c>
      <c r="Z939" s="1">
        <v>54551</v>
      </c>
      <c r="AA939" s="1">
        <v>13.95</v>
      </c>
      <c r="AB939" s="1">
        <v>800</v>
      </c>
    </row>
    <row r="940" spans="1:28" x14ac:dyDescent="0.4">
      <c r="A940" s="1" t="s">
        <v>280</v>
      </c>
      <c r="B940" s="1">
        <v>800</v>
      </c>
      <c r="C940" s="1">
        <v>0.4</v>
      </c>
      <c r="D940" s="1">
        <v>0.5</v>
      </c>
      <c r="E940" s="1">
        <v>500</v>
      </c>
      <c r="F940" s="1">
        <v>2</v>
      </c>
      <c r="G940" s="1">
        <v>4</v>
      </c>
      <c r="H940" s="1" t="s">
        <v>595</v>
      </c>
      <c r="I940" s="1">
        <v>62566.6</v>
      </c>
      <c r="J940" s="1">
        <v>25917.8</v>
      </c>
      <c r="K940" s="1">
        <v>36648.800000000003</v>
      </c>
      <c r="L940" s="1">
        <v>240</v>
      </c>
      <c r="M940" s="1">
        <v>0.08</v>
      </c>
      <c r="N940" s="1">
        <v>19416.7</v>
      </c>
      <c r="O940" s="1">
        <v>29152.9</v>
      </c>
      <c r="P940" s="1">
        <v>48569.599999999999</v>
      </c>
      <c r="Q940" s="1">
        <v>3319.9</v>
      </c>
      <c r="R940" s="1">
        <v>1454.1</v>
      </c>
      <c r="S940" s="1">
        <v>4774</v>
      </c>
      <c r="T940" s="1">
        <v>14.74</v>
      </c>
      <c r="U940" s="1">
        <v>0.02</v>
      </c>
      <c r="V940" s="1">
        <v>1381.3</v>
      </c>
      <c r="W940" s="1">
        <v>4701.2</v>
      </c>
      <c r="X940" s="1">
        <v>0.1</v>
      </c>
      <c r="Y940" s="1">
        <v>231</v>
      </c>
      <c r="Z940" s="1">
        <v>53270.8</v>
      </c>
      <c r="AA940" s="1">
        <v>14.86</v>
      </c>
      <c r="AB940" s="1">
        <v>800</v>
      </c>
    </row>
    <row r="941" spans="1:28" x14ac:dyDescent="0.4">
      <c r="A941" s="1" t="s">
        <v>281</v>
      </c>
      <c r="B941" s="1">
        <v>800</v>
      </c>
      <c r="C941" s="1">
        <v>0.4</v>
      </c>
      <c r="D941" s="1">
        <v>0.5</v>
      </c>
      <c r="E941" s="1">
        <v>500</v>
      </c>
      <c r="F941" s="1">
        <v>2</v>
      </c>
      <c r="G941" s="1">
        <v>5</v>
      </c>
      <c r="H941" s="1" t="s">
        <v>595</v>
      </c>
      <c r="I941" s="1">
        <v>60912.1</v>
      </c>
      <c r="J941" s="1">
        <v>25149.8</v>
      </c>
      <c r="K941" s="1">
        <v>35762.300000000003</v>
      </c>
      <c r="L941" s="1">
        <v>240</v>
      </c>
      <c r="M941" s="1">
        <v>0.08</v>
      </c>
      <c r="N941" s="1">
        <v>19384.7</v>
      </c>
      <c r="O941" s="1">
        <v>27851.8</v>
      </c>
      <c r="P941" s="1">
        <v>47236.5</v>
      </c>
      <c r="Q941" s="1">
        <v>3044</v>
      </c>
      <c r="R941" s="1">
        <v>1417.4</v>
      </c>
      <c r="S941" s="1">
        <v>4461.3999999999996</v>
      </c>
      <c r="T941" s="1">
        <v>15.13</v>
      </c>
      <c r="U941" s="1">
        <v>0.02</v>
      </c>
      <c r="V941" s="1">
        <v>1288.5</v>
      </c>
      <c r="W941" s="1">
        <v>4332.5</v>
      </c>
      <c r="X941" s="1">
        <v>0.1</v>
      </c>
      <c r="Y941" s="1">
        <v>219</v>
      </c>
      <c r="Z941" s="1">
        <v>51569</v>
      </c>
      <c r="AA941" s="1">
        <v>15.34</v>
      </c>
      <c r="AB941" s="1">
        <v>800</v>
      </c>
    </row>
    <row r="942" spans="1:28" x14ac:dyDescent="0.4">
      <c r="A942" s="1" t="s">
        <v>282</v>
      </c>
      <c r="B942" s="1">
        <v>800</v>
      </c>
      <c r="C942" s="1">
        <v>0.4</v>
      </c>
      <c r="D942" s="1">
        <v>0.5</v>
      </c>
      <c r="E942" s="1">
        <v>500</v>
      </c>
      <c r="F942" s="1">
        <v>3</v>
      </c>
      <c r="G942" s="1">
        <v>1</v>
      </c>
      <c r="H942" s="1" t="s">
        <v>595</v>
      </c>
      <c r="I942" s="1">
        <v>78190.600000000006</v>
      </c>
      <c r="J942" s="1">
        <v>31020.5</v>
      </c>
      <c r="K942" s="1">
        <v>47170.1</v>
      </c>
      <c r="L942" s="1">
        <v>240</v>
      </c>
      <c r="M942" s="1">
        <v>0.12</v>
      </c>
      <c r="N942" s="1">
        <v>24014</v>
      </c>
      <c r="O942" s="1">
        <v>38447.800000000003</v>
      </c>
      <c r="P942" s="1">
        <v>62461.8</v>
      </c>
      <c r="Q942" s="1">
        <v>3110</v>
      </c>
      <c r="R942" s="1">
        <v>1471.9</v>
      </c>
      <c r="S942" s="1">
        <v>4581.8999999999996</v>
      </c>
      <c r="T942" s="1">
        <v>14.26</v>
      </c>
      <c r="U942" s="1">
        <v>0.02</v>
      </c>
      <c r="V942" s="1">
        <v>1419</v>
      </c>
      <c r="W942" s="1">
        <v>4529</v>
      </c>
      <c r="X942" s="1">
        <v>0.14000000000000001</v>
      </c>
      <c r="Y942" s="1">
        <v>216</v>
      </c>
      <c r="Z942" s="1">
        <v>66990.8</v>
      </c>
      <c r="AA942" s="1">
        <v>14.32</v>
      </c>
      <c r="AB942" s="1">
        <v>800</v>
      </c>
    </row>
    <row r="943" spans="1:28" x14ac:dyDescent="0.4">
      <c r="A943" s="1" t="s">
        <v>283</v>
      </c>
      <c r="B943" s="1">
        <v>800</v>
      </c>
      <c r="C943" s="1">
        <v>0.4</v>
      </c>
      <c r="D943" s="1">
        <v>0.5</v>
      </c>
      <c r="E943" s="1">
        <v>500</v>
      </c>
      <c r="F943" s="1">
        <v>3</v>
      </c>
      <c r="G943" s="1">
        <v>2</v>
      </c>
      <c r="H943" s="1" t="s">
        <v>595</v>
      </c>
      <c r="I943" s="1">
        <v>78179.5</v>
      </c>
      <c r="J943" s="1">
        <v>31302.5</v>
      </c>
      <c r="K943" s="1">
        <v>46877</v>
      </c>
      <c r="L943" s="1">
        <v>240</v>
      </c>
      <c r="M943" s="1">
        <v>0.15</v>
      </c>
      <c r="N943" s="1">
        <v>24836.2</v>
      </c>
      <c r="O943" s="1">
        <v>37944.1</v>
      </c>
      <c r="P943" s="1">
        <v>62780.3</v>
      </c>
      <c r="Q943" s="1">
        <v>3126.9</v>
      </c>
      <c r="R943" s="1">
        <v>1447.4</v>
      </c>
      <c r="S943" s="1">
        <v>4574.3</v>
      </c>
      <c r="T943" s="1">
        <v>13.85</v>
      </c>
      <c r="U943" s="1">
        <v>0.02</v>
      </c>
      <c r="V943" s="1">
        <v>1341.1</v>
      </c>
      <c r="W943" s="1">
        <v>4468</v>
      </c>
      <c r="X943" s="1">
        <v>0.17</v>
      </c>
      <c r="Y943" s="1">
        <v>217</v>
      </c>
      <c r="Z943" s="1">
        <v>67248.3</v>
      </c>
      <c r="AA943" s="1">
        <v>13.98</v>
      </c>
      <c r="AB943" s="1">
        <v>800</v>
      </c>
    </row>
    <row r="944" spans="1:28" x14ac:dyDescent="0.4">
      <c r="A944" s="1" t="s">
        <v>284</v>
      </c>
      <c r="B944" s="1">
        <v>800</v>
      </c>
      <c r="C944" s="1">
        <v>0.4</v>
      </c>
      <c r="D944" s="1">
        <v>0.5</v>
      </c>
      <c r="E944" s="1">
        <v>500</v>
      </c>
      <c r="F944" s="1">
        <v>3</v>
      </c>
      <c r="G944" s="1">
        <v>3</v>
      </c>
      <c r="H944" s="1" t="s">
        <v>595</v>
      </c>
      <c r="I944" s="1">
        <v>78884.100000000006</v>
      </c>
      <c r="J944" s="1">
        <v>31125.200000000001</v>
      </c>
      <c r="K944" s="1">
        <v>47758.9</v>
      </c>
      <c r="L944" s="1">
        <v>240</v>
      </c>
      <c r="M944" s="1">
        <v>0.11</v>
      </c>
      <c r="N944" s="1">
        <v>24200.9</v>
      </c>
      <c r="O944" s="1">
        <v>38511.599999999999</v>
      </c>
      <c r="P944" s="1">
        <v>62712.5</v>
      </c>
      <c r="Q944" s="1">
        <v>2941</v>
      </c>
      <c r="R944" s="1">
        <v>1400.3</v>
      </c>
      <c r="S944" s="1">
        <v>4341.3</v>
      </c>
      <c r="T944" s="1">
        <v>15</v>
      </c>
      <c r="U944" s="1">
        <v>0.02</v>
      </c>
      <c r="V944" s="1">
        <v>1306</v>
      </c>
      <c r="W944" s="1">
        <v>4247</v>
      </c>
      <c r="X944" s="1">
        <v>0.13</v>
      </c>
      <c r="Y944" s="1">
        <v>204</v>
      </c>
      <c r="Z944" s="1">
        <v>66959.5</v>
      </c>
      <c r="AA944" s="1">
        <v>15.12</v>
      </c>
      <c r="AB944" s="1">
        <v>800</v>
      </c>
    </row>
    <row r="945" spans="1:28" x14ac:dyDescent="0.4">
      <c r="A945" s="1" t="s">
        <v>285</v>
      </c>
      <c r="B945" s="1">
        <v>800</v>
      </c>
      <c r="C945" s="1">
        <v>0.4</v>
      </c>
      <c r="D945" s="1">
        <v>0.5</v>
      </c>
      <c r="E945" s="1">
        <v>500</v>
      </c>
      <c r="F945" s="1">
        <v>3</v>
      </c>
      <c r="G945" s="1">
        <v>4</v>
      </c>
      <c r="H945" s="1" t="s">
        <v>595</v>
      </c>
      <c r="I945" s="1">
        <v>79111</v>
      </c>
      <c r="J945" s="1">
        <v>30679.1</v>
      </c>
      <c r="K945" s="1">
        <v>48431.9</v>
      </c>
      <c r="L945" s="1">
        <v>240</v>
      </c>
      <c r="M945" s="1">
        <v>0.14000000000000001</v>
      </c>
      <c r="N945" s="1">
        <v>23826.6</v>
      </c>
      <c r="O945" s="1">
        <v>39656</v>
      </c>
      <c r="P945" s="1">
        <v>63482.6</v>
      </c>
      <c r="Q945" s="1">
        <v>2895.8</v>
      </c>
      <c r="R945" s="1">
        <v>1510.9</v>
      </c>
      <c r="S945" s="1">
        <v>4406.7</v>
      </c>
      <c r="T945" s="1">
        <v>14.18</v>
      </c>
      <c r="U945" s="1">
        <v>0.03</v>
      </c>
      <c r="V945" s="1">
        <v>1401.7</v>
      </c>
      <c r="W945" s="1">
        <v>4297.5</v>
      </c>
      <c r="X945" s="1">
        <v>0.16</v>
      </c>
      <c r="Y945" s="1">
        <v>221</v>
      </c>
      <c r="Z945" s="1">
        <v>67780.100000000006</v>
      </c>
      <c r="AA945" s="1">
        <v>14.32</v>
      </c>
      <c r="AB945" s="1">
        <v>800</v>
      </c>
    </row>
    <row r="946" spans="1:28" x14ac:dyDescent="0.4">
      <c r="A946" s="1" t="s">
        <v>286</v>
      </c>
      <c r="B946" s="1">
        <v>800</v>
      </c>
      <c r="C946" s="1">
        <v>0.4</v>
      </c>
      <c r="D946" s="1">
        <v>0.5</v>
      </c>
      <c r="E946" s="1">
        <v>500</v>
      </c>
      <c r="F946" s="1">
        <v>3</v>
      </c>
      <c r="G946" s="1">
        <v>5</v>
      </c>
      <c r="H946" s="1" t="s">
        <v>595</v>
      </c>
      <c r="I946" s="1">
        <v>75341</v>
      </c>
      <c r="J946" s="1">
        <v>31353.200000000001</v>
      </c>
      <c r="K946" s="1">
        <v>43987.8</v>
      </c>
      <c r="L946" s="1">
        <v>240</v>
      </c>
      <c r="M946" s="1">
        <v>0.11</v>
      </c>
      <c r="N946" s="1">
        <v>24029.1</v>
      </c>
      <c r="O946" s="1">
        <v>36269.300000000003</v>
      </c>
      <c r="P946" s="1">
        <v>60298.400000000001</v>
      </c>
      <c r="Q946" s="1">
        <v>2845.6</v>
      </c>
      <c r="R946" s="1">
        <v>1378.9</v>
      </c>
      <c r="S946" s="1">
        <v>4224.5</v>
      </c>
      <c r="T946" s="1">
        <v>14.36</v>
      </c>
      <c r="U946" s="1">
        <v>0.02</v>
      </c>
      <c r="V946" s="1">
        <v>1274.2</v>
      </c>
      <c r="W946" s="1">
        <v>4119.8</v>
      </c>
      <c r="X946" s="1">
        <v>0.13</v>
      </c>
      <c r="Y946" s="1">
        <v>205</v>
      </c>
      <c r="Z946" s="1">
        <v>64418.2</v>
      </c>
      <c r="AA946" s="1">
        <v>14.5</v>
      </c>
      <c r="AB946" s="1">
        <v>800</v>
      </c>
    </row>
    <row r="947" spans="1:28" x14ac:dyDescent="0.4">
      <c r="A947" s="1" t="s">
        <v>105</v>
      </c>
      <c r="B947" s="1">
        <v>8000</v>
      </c>
      <c r="C947" s="1">
        <v>0.2</v>
      </c>
      <c r="D947" s="1">
        <v>0.5</v>
      </c>
      <c r="E947" s="1">
        <v>1000</v>
      </c>
      <c r="F947" s="1">
        <v>1</v>
      </c>
      <c r="G947" s="1">
        <v>1</v>
      </c>
      <c r="H947" s="1" t="s">
        <v>595</v>
      </c>
      <c r="I947" s="1">
        <v>284028.3</v>
      </c>
      <c r="J947" s="1">
        <v>113604.7</v>
      </c>
      <c r="K947" s="1">
        <v>170423.6</v>
      </c>
      <c r="L947" s="1">
        <v>2400</v>
      </c>
      <c r="M947" s="1">
        <v>3.85</v>
      </c>
      <c r="N947" s="1">
        <v>100241.60000000001</v>
      </c>
      <c r="O947" s="1">
        <v>151503.29999999999</v>
      </c>
      <c r="P947" s="1">
        <v>251744.9</v>
      </c>
      <c r="Q947" s="1">
        <v>16294.2</v>
      </c>
      <c r="R947" s="1">
        <v>3174.8</v>
      </c>
      <c r="S947" s="1">
        <v>19469</v>
      </c>
      <c r="T947" s="1">
        <v>4.51</v>
      </c>
      <c r="U947" s="1">
        <v>0</v>
      </c>
      <c r="V947" s="1">
        <v>3023.3</v>
      </c>
      <c r="W947" s="1">
        <v>19317.5</v>
      </c>
      <c r="X947" s="1">
        <v>3.85</v>
      </c>
      <c r="Y947" s="1">
        <v>321</v>
      </c>
      <c r="Z947" s="1">
        <v>271062.40000000002</v>
      </c>
      <c r="AA947" s="1">
        <v>4.57</v>
      </c>
      <c r="AB947" s="1">
        <v>8000</v>
      </c>
    </row>
    <row r="948" spans="1:28" x14ac:dyDescent="0.4">
      <c r="A948" s="1" t="s">
        <v>106</v>
      </c>
      <c r="B948" s="1">
        <v>8000</v>
      </c>
      <c r="C948" s="1">
        <v>0.2</v>
      </c>
      <c r="D948" s="1">
        <v>0.5</v>
      </c>
      <c r="E948" s="1">
        <v>1000</v>
      </c>
      <c r="F948" s="1">
        <v>1</v>
      </c>
      <c r="G948" s="1">
        <v>2</v>
      </c>
      <c r="H948" s="1" t="s">
        <v>595</v>
      </c>
      <c r="I948" s="1">
        <v>287896</v>
      </c>
      <c r="J948" s="1">
        <v>114328.4</v>
      </c>
      <c r="K948" s="1">
        <v>173567.6</v>
      </c>
      <c r="L948" s="1">
        <v>2400</v>
      </c>
      <c r="M948" s="1">
        <v>4</v>
      </c>
      <c r="N948" s="1">
        <v>98885.5</v>
      </c>
      <c r="O948" s="1">
        <v>151103.1</v>
      </c>
      <c r="P948" s="1">
        <v>249988.6</v>
      </c>
      <c r="Q948" s="1">
        <v>20793.5</v>
      </c>
      <c r="R948" s="1">
        <v>4069.3</v>
      </c>
      <c r="S948" s="1">
        <v>24862.799999999999</v>
      </c>
      <c r="T948" s="1">
        <v>4.53</v>
      </c>
      <c r="U948" s="1">
        <v>0</v>
      </c>
      <c r="V948" s="1">
        <v>3870.1</v>
      </c>
      <c r="W948" s="1">
        <v>24663.599999999999</v>
      </c>
      <c r="X948" s="1">
        <v>4.01</v>
      </c>
      <c r="Y948" s="1">
        <v>419</v>
      </c>
      <c r="Z948" s="1">
        <v>274652.2</v>
      </c>
      <c r="AA948" s="1">
        <v>4.5999999999999996</v>
      </c>
      <c r="AB948" s="1">
        <v>8000</v>
      </c>
    </row>
    <row r="949" spans="1:28" x14ac:dyDescent="0.4">
      <c r="A949" s="1" t="s">
        <v>107</v>
      </c>
      <c r="B949" s="1">
        <v>8000</v>
      </c>
      <c r="C949" s="1">
        <v>0.2</v>
      </c>
      <c r="D949" s="1">
        <v>0.5</v>
      </c>
      <c r="E949" s="1">
        <v>1000</v>
      </c>
      <c r="F949" s="1">
        <v>1</v>
      </c>
      <c r="G949" s="1">
        <v>3</v>
      </c>
      <c r="H949" s="1" t="s">
        <v>595</v>
      </c>
      <c r="I949" s="1">
        <v>300995</v>
      </c>
      <c r="J949" s="1">
        <v>115406.7</v>
      </c>
      <c r="K949" s="1">
        <v>185588.3</v>
      </c>
      <c r="L949" s="1">
        <v>2400</v>
      </c>
      <c r="M949" s="1">
        <v>3.93</v>
      </c>
      <c r="N949" s="1">
        <v>96330.1</v>
      </c>
      <c r="O949" s="1">
        <v>157305.5</v>
      </c>
      <c r="P949" s="1">
        <v>253635.6</v>
      </c>
      <c r="Q949" s="1">
        <v>26471.200000000001</v>
      </c>
      <c r="R949" s="1">
        <v>5303.1</v>
      </c>
      <c r="S949" s="1">
        <v>31774.3</v>
      </c>
      <c r="T949" s="1">
        <v>5.18</v>
      </c>
      <c r="U949" s="1">
        <v>0.01</v>
      </c>
      <c r="V949" s="1">
        <v>4825</v>
      </c>
      <c r="W949" s="1">
        <v>31296.2</v>
      </c>
      <c r="X949" s="1">
        <v>3.94</v>
      </c>
      <c r="Y949" s="1">
        <v>570</v>
      </c>
      <c r="Z949" s="1">
        <v>284931.8</v>
      </c>
      <c r="AA949" s="1">
        <v>5.34</v>
      </c>
      <c r="AB949" s="1">
        <v>8000</v>
      </c>
    </row>
    <row r="950" spans="1:28" x14ac:dyDescent="0.4">
      <c r="A950" s="1" t="s">
        <v>108</v>
      </c>
      <c r="B950" s="1">
        <v>8000</v>
      </c>
      <c r="C950" s="1">
        <v>0.2</v>
      </c>
      <c r="D950" s="1">
        <v>0.5</v>
      </c>
      <c r="E950" s="1">
        <v>1000</v>
      </c>
      <c r="F950" s="1">
        <v>1</v>
      </c>
      <c r="G950" s="1">
        <v>4</v>
      </c>
      <c r="H950" s="1" t="s">
        <v>595</v>
      </c>
      <c r="I950" s="1">
        <v>281856.2</v>
      </c>
      <c r="J950" s="1">
        <v>115121.2</v>
      </c>
      <c r="K950" s="1">
        <v>166735</v>
      </c>
      <c r="L950" s="1">
        <v>2400</v>
      </c>
      <c r="M950" s="1">
        <v>3.96</v>
      </c>
      <c r="N950" s="1">
        <v>98505.2</v>
      </c>
      <c r="O950" s="1">
        <v>146555.9</v>
      </c>
      <c r="P950" s="1">
        <v>245061.1</v>
      </c>
      <c r="Q950" s="1">
        <v>21335.5</v>
      </c>
      <c r="R950" s="1">
        <v>4271.1000000000004</v>
      </c>
      <c r="S950" s="1">
        <v>25606.6</v>
      </c>
      <c r="T950" s="1">
        <v>3.97</v>
      </c>
      <c r="U950" s="1">
        <v>0</v>
      </c>
      <c r="V950" s="1">
        <v>4088.9</v>
      </c>
      <c r="W950" s="1">
        <v>25424.400000000001</v>
      </c>
      <c r="X950" s="1">
        <v>3.96</v>
      </c>
      <c r="Y950" s="1">
        <v>412</v>
      </c>
      <c r="Z950" s="1">
        <v>270485.5</v>
      </c>
      <c r="AA950" s="1">
        <v>4.03</v>
      </c>
      <c r="AB950" s="1">
        <v>8000</v>
      </c>
    </row>
    <row r="951" spans="1:28" x14ac:dyDescent="0.4">
      <c r="A951" s="1" t="s">
        <v>109</v>
      </c>
      <c r="B951" s="1">
        <v>8000</v>
      </c>
      <c r="C951" s="1">
        <v>0.2</v>
      </c>
      <c r="D951" s="1">
        <v>0.5</v>
      </c>
      <c r="E951" s="1">
        <v>1000</v>
      </c>
      <c r="F951" s="1">
        <v>1</v>
      </c>
      <c r="G951" s="1">
        <v>5</v>
      </c>
      <c r="H951" s="1" t="s">
        <v>595</v>
      </c>
      <c r="I951" s="1">
        <v>290451.90000000002</v>
      </c>
      <c r="J951" s="1">
        <v>115475.8</v>
      </c>
      <c r="K951" s="1">
        <v>174976.1</v>
      </c>
      <c r="L951" s="1">
        <v>2400</v>
      </c>
      <c r="M951" s="1">
        <v>3.65</v>
      </c>
      <c r="N951" s="1">
        <v>101103.8</v>
      </c>
      <c r="O951" s="1">
        <v>156956.20000000001</v>
      </c>
      <c r="P951" s="1">
        <v>258060</v>
      </c>
      <c r="Q951" s="1">
        <v>17469.7</v>
      </c>
      <c r="R951" s="1">
        <v>3434.5</v>
      </c>
      <c r="S951" s="1">
        <v>20904.2</v>
      </c>
      <c r="T951" s="1">
        <v>3.96</v>
      </c>
      <c r="U951" s="1">
        <v>0</v>
      </c>
      <c r="V951" s="1">
        <v>3338.4</v>
      </c>
      <c r="W951" s="1">
        <v>20808.099999999999</v>
      </c>
      <c r="X951" s="1">
        <v>3.65</v>
      </c>
      <c r="Y951" s="1">
        <v>323</v>
      </c>
      <c r="Z951" s="1">
        <v>278868.09999999998</v>
      </c>
      <c r="AA951" s="1">
        <v>3.99</v>
      </c>
      <c r="AB951" s="1">
        <v>8000</v>
      </c>
    </row>
    <row r="952" spans="1:28" x14ac:dyDescent="0.4">
      <c r="A952" s="1" t="s">
        <v>110</v>
      </c>
      <c r="B952" s="1">
        <v>8000</v>
      </c>
      <c r="C952" s="1">
        <v>0.2</v>
      </c>
      <c r="D952" s="1">
        <v>0.5</v>
      </c>
      <c r="E952" s="1">
        <v>1000</v>
      </c>
      <c r="F952" s="1">
        <v>2</v>
      </c>
      <c r="G952" s="1">
        <v>1</v>
      </c>
      <c r="H952" s="1" t="s">
        <v>595</v>
      </c>
      <c r="I952" s="1">
        <v>451665.2</v>
      </c>
      <c r="J952" s="1">
        <v>173512.3</v>
      </c>
      <c r="K952" s="1">
        <v>278152.90000000002</v>
      </c>
      <c r="L952" s="1">
        <v>2400</v>
      </c>
      <c r="M952" s="1">
        <v>4.49</v>
      </c>
      <c r="N952" s="1">
        <v>137569.4</v>
      </c>
      <c r="O952" s="1">
        <v>227231.8</v>
      </c>
      <c r="P952" s="1">
        <v>364801.2</v>
      </c>
      <c r="Q952" s="1">
        <v>55423.1</v>
      </c>
      <c r="R952" s="1">
        <v>12490.9</v>
      </c>
      <c r="S952" s="1">
        <v>67914</v>
      </c>
      <c r="T952" s="1">
        <v>4.2</v>
      </c>
      <c r="U952" s="1">
        <v>0.11</v>
      </c>
      <c r="V952" s="1">
        <v>11535.4</v>
      </c>
      <c r="W952" s="1">
        <v>66958.5</v>
      </c>
      <c r="X952" s="1">
        <v>4.5999999999999996</v>
      </c>
      <c r="Y952" s="1">
        <v>1222</v>
      </c>
      <c r="Z952" s="1">
        <v>431759.7</v>
      </c>
      <c r="AA952" s="1">
        <v>4.41</v>
      </c>
      <c r="AB952" s="1">
        <v>8000</v>
      </c>
    </row>
    <row r="953" spans="1:28" x14ac:dyDescent="0.4">
      <c r="A953" s="1" t="s">
        <v>111</v>
      </c>
      <c r="B953" s="1">
        <v>8000</v>
      </c>
      <c r="C953" s="1">
        <v>0.2</v>
      </c>
      <c r="D953" s="1">
        <v>0.5</v>
      </c>
      <c r="E953" s="1">
        <v>1000</v>
      </c>
      <c r="F953" s="1">
        <v>2</v>
      </c>
      <c r="G953" s="1">
        <v>2</v>
      </c>
      <c r="H953" s="1" t="s">
        <v>595</v>
      </c>
      <c r="I953" s="1">
        <v>440100.8</v>
      </c>
      <c r="J953" s="1">
        <v>164654.6</v>
      </c>
      <c r="K953" s="1">
        <v>275446.2</v>
      </c>
      <c r="L953" s="1">
        <v>2400</v>
      </c>
      <c r="M953" s="1">
        <v>4.2699999999999996</v>
      </c>
      <c r="N953" s="1">
        <v>135393.5</v>
      </c>
      <c r="O953" s="1">
        <v>229980.4</v>
      </c>
      <c r="P953" s="1">
        <v>365373.9</v>
      </c>
      <c r="Q953" s="1">
        <v>41525.1</v>
      </c>
      <c r="R953" s="1">
        <v>9663.2000000000007</v>
      </c>
      <c r="S953" s="1">
        <v>51188.3</v>
      </c>
      <c r="T953" s="1">
        <v>5.35</v>
      </c>
      <c r="U953" s="1">
        <v>0.03</v>
      </c>
      <c r="V953" s="1">
        <v>8931.9</v>
      </c>
      <c r="W953" s="1">
        <v>50457</v>
      </c>
      <c r="X953" s="1">
        <v>4.3</v>
      </c>
      <c r="Y953" s="1">
        <v>877</v>
      </c>
      <c r="Z953" s="1">
        <v>415830.9</v>
      </c>
      <c r="AA953" s="1">
        <v>5.51</v>
      </c>
      <c r="AB953" s="1">
        <v>8000</v>
      </c>
    </row>
    <row r="954" spans="1:28" x14ac:dyDescent="0.4">
      <c r="A954" s="1" t="s">
        <v>112</v>
      </c>
      <c r="B954" s="1">
        <v>8000</v>
      </c>
      <c r="C954" s="1">
        <v>0.2</v>
      </c>
      <c r="D954" s="1">
        <v>0.5</v>
      </c>
      <c r="E954" s="1">
        <v>1000</v>
      </c>
      <c r="F954" s="1">
        <v>2</v>
      </c>
      <c r="G954" s="1">
        <v>3</v>
      </c>
      <c r="H954" s="1" t="s">
        <v>595</v>
      </c>
      <c r="I954" s="1">
        <v>437246.5</v>
      </c>
      <c r="J954" s="1">
        <v>162976.70000000001</v>
      </c>
      <c r="K954" s="1">
        <v>274269.8</v>
      </c>
      <c r="L954" s="1">
        <v>2400</v>
      </c>
      <c r="M954" s="1">
        <v>4.25</v>
      </c>
      <c r="N954" s="1">
        <v>149572.79999999999</v>
      </c>
      <c r="O954" s="1">
        <v>252890.2</v>
      </c>
      <c r="P954" s="1">
        <v>402463</v>
      </c>
      <c r="Q954" s="1">
        <v>14000.8</v>
      </c>
      <c r="R954" s="1">
        <v>3522</v>
      </c>
      <c r="S954" s="1">
        <v>17522.8</v>
      </c>
      <c r="T954" s="1">
        <v>3.95</v>
      </c>
      <c r="U954" s="1">
        <v>0</v>
      </c>
      <c r="V954" s="1">
        <v>3186.8</v>
      </c>
      <c r="W954" s="1">
        <v>17187.599999999999</v>
      </c>
      <c r="X954" s="1">
        <v>4.26</v>
      </c>
      <c r="Y954" s="1">
        <v>314</v>
      </c>
      <c r="Z954" s="1">
        <v>419650.6</v>
      </c>
      <c r="AA954" s="1">
        <v>4.0199999999999996</v>
      </c>
      <c r="AB954" s="1">
        <v>8000</v>
      </c>
    </row>
    <row r="955" spans="1:28" x14ac:dyDescent="0.4">
      <c r="A955" s="1" t="s">
        <v>113</v>
      </c>
      <c r="B955" s="1">
        <v>8000</v>
      </c>
      <c r="C955" s="1">
        <v>0.2</v>
      </c>
      <c r="D955" s="1">
        <v>0.5</v>
      </c>
      <c r="E955" s="1">
        <v>1000</v>
      </c>
      <c r="F955" s="1">
        <v>2</v>
      </c>
      <c r="G955" s="1">
        <v>4</v>
      </c>
      <c r="H955" s="1" t="s">
        <v>595</v>
      </c>
      <c r="I955" s="1">
        <v>456550.1</v>
      </c>
      <c r="J955" s="1">
        <v>164153.29999999999</v>
      </c>
      <c r="K955" s="1">
        <v>292396.79999999999</v>
      </c>
      <c r="L955" s="1">
        <v>2400</v>
      </c>
      <c r="M955" s="1">
        <v>4.3600000000000003</v>
      </c>
      <c r="N955" s="1">
        <v>150421.79999999999</v>
      </c>
      <c r="O955" s="1">
        <v>270798.40000000002</v>
      </c>
      <c r="P955" s="1">
        <v>421220.2</v>
      </c>
      <c r="Q955" s="1">
        <v>16198.9</v>
      </c>
      <c r="R955" s="1">
        <v>4144.2</v>
      </c>
      <c r="S955" s="1">
        <v>20343.099999999999</v>
      </c>
      <c r="T955" s="1">
        <v>3.28</v>
      </c>
      <c r="U955" s="1">
        <v>0.01</v>
      </c>
      <c r="V955" s="1">
        <v>3711</v>
      </c>
      <c r="W955" s="1">
        <v>19909.900000000001</v>
      </c>
      <c r="X955" s="1">
        <v>4.3600000000000003</v>
      </c>
      <c r="Y955" s="1">
        <v>362</v>
      </c>
      <c r="Z955" s="1">
        <v>441130.1</v>
      </c>
      <c r="AA955" s="1">
        <v>3.38</v>
      </c>
      <c r="AB955" s="1">
        <v>8000</v>
      </c>
    </row>
    <row r="956" spans="1:28" x14ac:dyDescent="0.4">
      <c r="A956" s="1" t="s">
        <v>114</v>
      </c>
      <c r="B956" s="1">
        <v>8000</v>
      </c>
      <c r="C956" s="1">
        <v>0.2</v>
      </c>
      <c r="D956" s="1">
        <v>0.5</v>
      </c>
      <c r="E956" s="1">
        <v>1000</v>
      </c>
      <c r="F956" s="1">
        <v>2</v>
      </c>
      <c r="G956" s="1">
        <v>5</v>
      </c>
      <c r="H956" s="1" t="s">
        <v>595</v>
      </c>
      <c r="I956" s="1">
        <v>457523.20000000001</v>
      </c>
      <c r="J956" s="1">
        <v>176183.7</v>
      </c>
      <c r="K956" s="1">
        <v>281339.5</v>
      </c>
      <c r="L956" s="1">
        <v>2400</v>
      </c>
      <c r="M956" s="1">
        <v>3.97</v>
      </c>
      <c r="N956" s="1">
        <v>144516</v>
      </c>
      <c r="O956" s="1">
        <v>234898.4</v>
      </c>
      <c r="P956" s="1">
        <v>379414.4</v>
      </c>
      <c r="Q956" s="1">
        <v>45807.4</v>
      </c>
      <c r="R956" s="1">
        <v>11219.4</v>
      </c>
      <c r="S956" s="1">
        <v>57026.8</v>
      </c>
      <c r="T956" s="1">
        <v>4.6100000000000003</v>
      </c>
      <c r="U956" s="1">
        <v>7.0000000000000007E-2</v>
      </c>
      <c r="V956" s="1">
        <v>10367.799999999999</v>
      </c>
      <c r="W956" s="1">
        <v>56175.199999999997</v>
      </c>
      <c r="X956" s="1">
        <v>4.05</v>
      </c>
      <c r="Y956" s="1">
        <v>980</v>
      </c>
      <c r="Z956" s="1">
        <v>435589.6</v>
      </c>
      <c r="AA956" s="1">
        <v>4.79</v>
      </c>
      <c r="AB956" s="1">
        <v>8000</v>
      </c>
    </row>
    <row r="957" spans="1:28" x14ac:dyDescent="0.4">
      <c r="A957" s="1" t="s">
        <v>115</v>
      </c>
      <c r="B957" s="1">
        <v>8000</v>
      </c>
      <c r="C957" s="1">
        <v>0.2</v>
      </c>
      <c r="D957" s="1">
        <v>0.5</v>
      </c>
      <c r="E957" s="1">
        <v>1000</v>
      </c>
      <c r="F957" s="1">
        <v>3</v>
      </c>
      <c r="G957" s="1">
        <v>1</v>
      </c>
      <c r="H957" s="1" t="s">
        <v>595</v>
      </c>
      <c r="I957" s="1">
        <v>593161.5</v>
      </c>
      <c r="J957" s="1">
        <v>215760</v>
      </c>
      <c r="K957" s="1">
        <v>377401.5</v>
      </c>
      <c r="L957" s="1">
        <v>2400</v>
      </c>
      <c r="M957" s="1">
        <v>6.16</v>
      </c>
      <c r="N957" s="1">
        <v>174390.8</v>
      </c>
      <c r="O957" s="1">
        <v>317992.40000000002</v>
      </c>
      <c r="P957" s="1">
        <v>492383.2</v>
      </c>
      <c r="Q957" s="1">
        <v>60192.2</v>
      </c>
      <c r="R957" s="1">
        <v>15430</v>
      </c>
      <c r="S957" s="1">
        <v>75622.2</v>
      </c>
      <c r="T957" s="1">
        <v>4.24</v>
      </c>
      <c r="U957" s="1">
        <v>0.19</v>
      </c>
      <c r="V957" s="1">
        <v>13981.9</v>
      </c>
      <c r="W957" s="1">
        <v>74174.100000000006</v>
      </c>
      <c r="X957" s="1">
        <v>6.35</v>
      </c>
      <c r="Y957" s="1">
        <v>1372</v>
      </c>
      <c r="Z957" s="1">
        <v>566557.30000000005</v>
      </c>
      <c r="AA957" s="1">
        <v>4.49</v>
      </c>
      <c r="AB957" s="1">
        <v>8000</v>
      </c>
    </row>
    <row r="958" spans="1:28" x14ac:dyDescent="0.4">
      <c r="A958" s="1" t="s">
        <v>116</v>
      </c>
      <c r="B958" s="1">
        <v>8000</v>
      </c>
      <c r="C958" s="1">
        <v>0.2</v>
      </c>
      <c r="D958" s="1">
        <v>0.5</v>
      </c>
      <c r="E958" s="1">
        <v>1000</v>
      </c>
      <c r="F958" s="1">
        <v>3</v>
      </c>
      <c r="G958" s="1">
        <v>2</v>
      </c>
      <c r="H958" s="1" t="s">
        <v>595</v>
      </c>
      <c r="I958" s="1">
        <v>597665.69999999995</v>
      </c>
      <c r="J958" s="1">
        <v>223856.5</v>
      </c>
      <c r="K958" s="1">
        <v>373809.2</v>
      </c>
      <c r="L958" s="1">
        <v>2400</v>
      </c>
      <c r="M958" s="1">
        <v>5.81</v>
      </c>
      <c r="N958" s="1">
        <v>173186.5</v>
      </c>
      <c r="O958" s="1">
        <v>297001</v>
      </c>
      <c r="P958" s="1">
        <v>470187.5</v>
      </c>
      <c r="Q958" s="1">
        <v>85020.3</v>
      </c>
      <c r="R958" s="1">
        <v>21408</v>
      </c>
      <c r="S958" s="1">
        <v>106428.3</v>
      </c>
      <c r="T958" s="1">
        <v>3.52</v>
      </c>
      <c r="U958" s="1">
        <v>0.35</v>
      </c>
      <c r="V958" s="1">
        <v>19532</v>
      </c>
      <c r="W958" s="1">
        <v>104552.3</v>
      </c>
      <c r="X958" s="1">
        <v>6.16</v>
      </c>
      <c r="Y958" s="1">
        <v>1958</v>
      </c>
      <c r="Z958" s="1">
        <v>574739.80000000005</v>
      </c>
      <c r="AA958" s="1">
        <v>3.84</v>
      </c>
      <c r="AB958" s="1">
        <v>8000</v>
      </c>
    </row>
    <row r="959" spans="1:28" x14ac:dyDescent="0.4">
      <c r="A959" s="1" t="s">
        <v>117</v>
      </c>
      <c r="B959" s="1">
        <v>8000</v>
      </c>
      <c r="C959" s="1">
        <v>0.2</v>
      </c>
      <c r="D959" s="1">
        <v>0.5</v>
      </c>
      <c r="E959" s="1">
        <v>1000</v>
      </c>
      <c r="F959" s="1">
        <v>3</v>
      </c>
      <c r="G959" s="1">
        <v>3</v>
      </c>
      <c r="H959" s="1" t="s">
        <v>595</v>
      </c>
      <c r="I959" s="1">
        <v>583722.1</v>
      </c>
      <c r="J959" s="1">
        <v>223799</v>
      </c>
      <c r="K959" s="1">
        <v>359923.1</v>
      </c>
      <c r="L959" s="1">
        <v>2400</v>
      </c>
      <c r="M959" s="1">
        <v>5.83</v>
      </c>
      <c r="N959" s="1">
        <v>168841</v>
      </c>
      <c r="O959" s="1">
        <v>278926.09999999998</v>
      </c>
      <c r="P959" s="1">
        <v>447767.1</v>
      </c>
      <c r="Q959" s="1">
        <v>89693.4</v>
      </c>
      <c r="R959" s="1">
        <v>22158.9</v>
      </c>
      <c r="S959" s="1">
        <v>111852.3</v>
      </c>
      <c r="T959" s="1">
        <v>4.13</v>
      </c>
      <c r="U959" s="1">
        <v>0.36</v>
      </c>
      <c r="V959" s="1">
        <v>20366.3</v>
      </c>
      <c r="W959" s="1">
        <v>110059.7</v>
      </c>
      <c r="X959" s="1">
        <v>6.19</v>
      </c>
      <c r="Y959" s="1">
        <v>2008</v>
      </c>
      <c r="Z959" s="1">
        <v>557826.80000000005</v>
      </c>
      <c r="AA959" s="1">
        <v>4.4400000000000004</v>
      </c>
      <c r="AB959" s="1">
        <v>8000</v>
      </c>
    </row>
    <row r="960" spans="1:28" x14ac:dyDescent="0.4">
      <c r="A960" s="1" t="s">
        <v>118</v>
      </c>
      <c r="B960" s="1">
        <v>8000</v>
      </c>
      <c r="C960" s="1">
        <v>0.2</v>
      </c>
      <c r="D960" s="1">
        <v>0.5</v>
      </c>
      <c r="E960" s="1">
        <v>1000</v>
      </c>
      <c r="F960" s="1">
        <v>3</v>
      </c>
      <c r="G960" s="1">
        <v>4</v>
      </c>
      <c r="H960" s="1" t="s">
        <v>595</v>
      </c>
      <c r="I960" s="1">
        <v>587036.19999999995</v>
      </c>
      <c r="J960" s="1">
        <v>229321.60000000001</v>
      </c>
      <c r="K960" s="1">
        <v>357714.6</v>
      </c>
      <c r="L960" s="1">
        <v>2400</v>
      </c>
      <c r="M960" s="1">
        <v>5.96</v>
      </c>
      <c r="N960" s="1">
        <v>181176.2</v>
      </c>
      <c r="O960" s="1">
        <v>294753.7</v>
      </c>
      <c r="P960" s="1">
        <v>475929.9</v>
      </c>
      <c r="Q960" s="1">
        <v>66437</v>
      </c>
      <c r="R960" s="1">
        <v>18054.5</v>
      </c>
      <c r="S960" s="1">
        <v>84491.5</v>
      </c>
      <c r="T960" s="1">
        <v>4.53</v>
      </c>
      <c r="U960" s="1">
        <v>0.23</v>
      </c>
      <c r="V960" s="1">
        <v>16770.2</v>
      </c>
      <c r="W960" s="1">
        <v>83207.199999999997</v>
      </c>
      <c r="X960" s="1">
        <v>6.19</v>
      </c>
      <c r="Y960" s="1">
        <v>1483</v>
      </c>
      <c r="Z960" s="1">
        <v>559137.1</v>
      </c>
      <c r="AA960" s="1">
        <v>4.75</v>
      </c>
      <c r="AB960" s="1">
        <v>8000</v>
      </c>
    </row>
    <row r="961" spans="1:28" x14ac:dyDescent="0.4">
      <c r="A961" s="1" t="s">
        <v>119</v>
      </c>
      <c r="B961" s="1">
        <v>8000</v>
      </c>
      <c r="C961" s="1">
        <v>0.2</v>
      </c>
      <c r="D961" s="1">
        <v>0.5</v>
      </c>
      <c r="E961" s="1">
        <v>1000</v>
      </c>
      <c r="F961" s="1">
        <v>3</v>
      </c>
      <c r="G961" s="1">
        <v>5</v>
      </c>
      <c r="H961" s="1" t="s">
        <v>595</v>
      </c>
      <c r="I961" s="1">
        <v>592275.9</v>
      </c>
      <c r="J961" s="1">
        <v>226754.8</v>
      </c>
      <c r="K961" s="1">
        <v>365521.1</v>
      </c>
      <c r="L961" s="1">
        <v>2400</v>
      </c>
      <c r="M961" s="1">
        <v>6.06</v>
      </c>
      <c r="N961" s="1">
        <v>188661</v>
      </c>
      <c r="O961" s="1">
        <v>311462.09999999998</v>
      </c>
      <c r="P961" s="1">
        <v>500123.1</v>
      </c>
      <c r="Q961" s="1">
        <v>53683.7</v>
      </c>
      <c r="R961" s="1">
        <v>15021.2</v>
      </c>
      <c r="S961" s="1">
        <v>68704.899999999994</v>
      </c>
      <c r="T961" s="1">
        <v>3.96</v>
      </c>
      <c r="U961" s="1">
        <v>0.15</v>
      </c>
      <c r="V961" s="1">
        <v>13655.1</v>
      </c>
      <c r="W961" s="1">
        <v>67338.8</v>
      </c>
      <c r="X961" s="1">
        <v>6.21</v>
      </c>
      <c r="Y961" s="1">
        <v>1131</v>
      </c>
      <c r="Z961" s="1">
        <v>567461.9</v>
      </c>
      <c r="AA961" s="1">
        <v>4.1900000000000004</v>
      </c>
      <c r="AB961" s="1">
        <v>8000</v>
      </c>
    </row>
    <row r="962" spans="1:28" x14ac:dyDescent="0.4">
      <c r="A962" s="1" t="s">
        <v>467</v>
      </c>
      <c r="B962" s="1">
        <v>8000</v>
      </c>
      <c r="C962" s="1">
        <v>0.2</v>
      </c>
      <c r="D962" s="1">
        <v>0.5</v>
      </c>
      <c r="E962" s="1">
        <v>2000</v>
      </c>
      <c r="F962" s="1">
        <v>1</v>
      </c>
      <c r="G962" s="1">
        <v>1</v>
      </c>
      <c r="H962" s="1" t="s">
        <v>595</v>
      </c>
      <c r="I962" s="1">
        <v>572946.6</v>
      </c>
      <c r="J962" s="1">
        <v>225821.5</v>
      </c>
      <c r="K962" s="1">
        <v>347125.1</v>
      </c>
      <c r="L962" s="1">
        <v>2400</v>
      </c>
      <c r="M962" s="1">
        <v>3.72</v>
      </c>
      <c r="N962" s="1">
        <v>153144</v>
      </c>
      <c r="O962" s="1">
        <v>247652.1</v>
      </c>
      <c r="P962" s="1">
        <v>400796.1</v>
      </c>
      <c r="Q962" s="1">
        <v>91196</v>
      </c>
      <c r="R962" s="1">
        <v>19383.099999999999</v>
      </c>
      <c r="S962" s="1">
        <v>110579.1</v>
      </c>
      <c r="T962" s="1">
        <v>10.75</v>
      </c>
      <c r="U962" s="1">
        <v>0.23</v>
      </c>
      <c r="V962" s="1">
        <v>18046.3</v>
      </c>
      <c r="W962" s="1">
        <v>109242.3</v>
      </c>
      <c r="X962" s="1">
        <v>3.94</v>
      </c>
      <c r="Y962" s="1">
        <v>1921</v>
      </c>
      <c r="Z962" s="1">
        <v>510038.4</v>
      </c>
      <c r="AA962" s="1">
        <v>10.98</v>
      </c>
      <c r="AB962" s="1">
        <v>8000</v>
      </c>
    </row>
    <row r="963" spans="1:28" x14ac:dyDescent="0.4">
      <c r="A963" s="1" t="s">
        <v>468</v>
      </c>
      <c r="B963" s="1">
        <v>8000</v>
      </c>
      <c r="C963" s="1">
        <v>0.2</v>
      </c>
      <c r="D963" s="1">
        <v>0.5</v>
      </c>
      <c r="E963" s="1">
        <v>2000</v>
      </c>
      <c r="F963" s="1">
        <v>1</v>
      </c>
      <c r="G963" s="1">
        <v>2</v>
      </c>
      <c r="H963" s="1" t="s">
        <v>595</v>
      </c>
      <c r="I963" s="1">
        <v>581428.4</v>
      </c>
      <c r="J963" s="1">
        <v>226042.1</v>
      </c>
      <c r="K963" s="1">
        <v>355386.3</v>
      </c>
      <c r="L963" s="1">
        <v>2400</v>
      </c>
      <c r="M963" s="1">
        <v>3.95</v>
      </c>
      <c r="N963" s="1">
        <v>157988.29999999999</v>
      </c>
      <c r="O963" s="1">
        <v>256641.9</v>
      </c>
      <c r="P963" s="1">
        <v>414630.2</v>
      </c>
      <c r="Q963" s="1">
        <v>93407</v>
      </c>
      <c r="R963" s="1">
        <v>19417.400000000001</v>
      </c>
      <c r="S963" s="1">
        <v>112824.4</v>
      </c>
      <c r="T963" s="1">
        <v>9.2799999999999994</v>
      </c>
      <c r="U963" s="1">
        <v>0.24</v>
      </c>
      <c r="V963" s="1">
        <v>18353.2</v>
      </c>
      <c r="W963" s="1">
        <v>111760.2</v>
      </c>
      <c r="X963" s="1">
        <v>4.1900000000000004</v>
      </c>
      <c r="Y963" s="1">
        <v>2040</v>
      </c>
      <c r="Z963" s="1">
        <v>526390.4</v>
      </c>
      <c r="AA963" s="1">
        <v>9.4700000000000006</v>
      </c>
      <c r="AB963" s="1">
        <v>8000</v>
      </c>
    </row>
    <row r="964" spans="1:28" x14ac:dyDescent="0.4">
      <c r="A964" s="1" t="s">
        <v>469</v>
      </c>
      <c r="B964" s="1">
        <v>8000</v>
      </c>
      <c r="C964" s="1">
        <v>0.2</v>
      </c>
      <c r="D964" s="1">
        <v>0.5</v>
      </c>
      <c r="E964" s="1">
        <v>2000</v>
      </c>
      <c r="F964" s="1">
        <v>1</v>
      </c>
      <c r="G964" s="1">
        <v>3</v>
      </c>
      <c r="H964" s="1" t="s">
        <v>595</v>
      </c>
      <c r="I964" s="1">
        <v>579172.6</v>
      </c>
      <c r="J964" s="1">
        <v>229614.6</v>
      </c>
      <c r="K964" s="1">
        <v>349558</v>
      </c>
      <c r="L964" s="1">
        <v>2400</v>
      </c>
      <c r="M964" s="1">
        <v>3.94</v>
      </c>
      <c r="N964" s="1">
        <v>160127.79999999999</v>
      </c>
      <c r="O964" s="1">
        <v>248997.9</v>
      </c>
      <c r="P964" s="1">
        <v>409125.7</v>
      </c>
      <c r="Q964" s="1">
        <v>94319.5</v>
      </c>
      <c r="R964" s="1">
        <v>19679.900000000001</v>
      </c>
      <c r="S964" s="1">
        <v>113999.4</v>
      </c>
      <c r="T964" s="1">
        <v>9.68</v>
      </c>
      <c r="U964" s="1">
        <v>0.27</v>
      </c>
      <c r="V964" s="1">
        <v>18291.5</v>
      </c>
      <c r="W964" s="1">
        <v>112611</v>
      </c>
      <c r="X964" s="1">
        <v>4.21</v>
      </c>
      <c r="Y964" s="1">
        <v>2041</v>
      </c>
      <c r="Z964" s="1">
        <v>521736.7</v>
      </c>
      <c r="AA964" s="1">
        <v>9.92</v>
      </c>
      <c r="AB964" s="1">
        <v>8000</v>
      </c>
    </row>
    <row r="965" spans="1:28" x14ac:dyDescent="0.4">
      <c r="A965" s="1" t="s">
        <v>470</v>
      </c>
      <c r="B965" s="1">
        <v>8000</v>
      </c>
      <c r="C965" s="1">
        <v>0.2</v>
      </c>
      <c r="D965" s="1">
        <v>0.5</v>
      </c>
      <c r="E965" s="1">
        <v>2000</v>
      </c>
      <c r="F965" s="1">
        <v>1</v>
      </c>
      <c r="G965" s="1">
        <v>4</v>
      </c>
      <c r="H965" s="1" t="s">
        <v>595</v>
      </c>
      <c r="I965" s="1">
        <v>566645.6</v>
      </c>
      <c r="J965" s="1">
        <v>222393.3</v>
      </c>
      <c r="K965" s="1">
        <v>344252.3</v>
      </c>
      <c r="L965" s="1">
        <v>2400</v>
      </c>
      <c r="M965" s="1">
        <v>3.55</v>
      </c>
      <c r="N965" s="1">
        <v>156844.1</v>
      </c>
      <c r="O965" s="1">
        <v>251112.5</v>
      </c>
      <c r="P965" s="1">
        <v>407956.6</v>
      </c>
      <c r="Q965" s="1">
        <v>85631.6</v>
      </c>
      <c r="R965" s="1">
        <v>19054</v>
      </c>
      <c r="S965" s="1">
        <v>104685.6</v>
      </c>
      <c r="T965" s="1">
        <v>9.5299999999999994</v>
      </c>
      <c r="U965" s="1">
        <v>0.23</v>
      </c>
      <c r="V965" s="1">
        <v>17859.400000000001</v>
      </c>
      <c r="W965" s="1">
        <v>103491</v>
      </c>
      <c r="X965" s="1">
        <v>3.78</v>
      </c>
      <c r="Y965" s="1">
        <v>1800</v>
      </c>
      <c r="Z965" s="1">
        <v>511447.6</v>
      </c>
      <c r="AA965" s="1">
        <v>9.74</v>
      </c>
      <c r="AB965" s="1">
        <v>8000</v>
      </c>
    </row>
    <row r="966" spans="1:28" x14ac:dyDescent="0.4">
      <c r="A966" s="1" t="s">
        <v>471</v>
      </c>
      <c r="B966" s="1">
        <v>8000</v>
      </c>
      <c r="C966" s="1">
        <v>0.2</v>
      </c>
      <c r="D966" s="1">
        <v>0.5</v>
      </c>
      <c r="E966" s="1">
        <v>2000</v>
      </c>
      <c r="F966" s="1">
        <v>1</v>
      </c>
      <c r="G966" s="1">
        <v>5</v>
      </c>
      <c r="H966" s="1" t="s">
        <v>595</v>
      </c>
      <c r="I966" s="1">
        <v>577946.30000000005</v>
      </c>
      <c r="J966" s="1">
        <v>226808.2</v>
      </c>
      <c r="K966" s="1">
        <v>351138.1</v>
      </c>
      <c r="L966" s="1">
        <v>2400</v>
      </c>
      <c r="M966" s="1">
        <v>3.64</v>
      </c>
      <c r="N966" s="1">
        <v>163673.60000000001</v>
      </c>
      <c r="O966" s="1">
        <v>259624.6</v>
      </c>
      <c r="P966" s="1">
        <v>423298.2</v>
      </c>
      <c r="Q966" s="1">
        <v>84909.2</v>
      </c>
      <c r="R966" s="1">
        <v>17566.5</v>
      </c>
      <c r="S966" s="1">
        <v>102475.7</v>
      </c>
      <c r="T966" s="1">
        <v>9.0299999999999994</v>
      </c>
      <c r="U966" s="1">
        <v>0.23</v>
      </c>
      <c r="V966" s="1">
        <v>16706.3</v>
      </c>
      <c r="W966" s="1">
        <v>101615.5</v>
      </c>
      <c r="X966" s="1">
        <v>3.87</v>
      </c>
      <c r="Y966" s="1">
        <v>1800</v>
      </c>
      <c r="Z966" s="1">
        <v>524913.69999999995</v>
      </c>
      <c r="AA966" s="1">
        <v>9.18</v>
      </c>
      <c r="AB966" s="1">
        <v>8000</v>
      </c>
    </row>
    <row r="967" spans="1:28" x14ac:dyDescent="0.4">
      <c r="A967" s="1" t="s">
        <v>472</v>
      </c>
      <c r="B967" s="1">
        <v>8000</v>
      </c>
      <c r="C967" s="1">
        <v>0.2</v>
      </c>
      <c r="D967" s="1">
        <v>0.5</v>
      </c>
      <c r="E967" s="1">
        <v>2000</v>
      </c>
      <c r="F967" s="1">
        <v>2</v>
      </c>
      <c r="G967" s="1">
        <v>1</v>
      </c>
      <c r="H967" s="1" t="s">
        <v>595</v>
      </c>
      <c r="I967" s="1">
        <v>886233.1</v>
      </c>
      <c r="J967" s="1">
        <v>345610.9</v>
      </c>
      <c r="K967" s="1">
        <v>540622.19999999995</v>
      </c>
      <c r="L967" s="1">
        <v>2400</v>
      </c>
      <c r="M967" s="1">
        <v>7.63</v>
      </c>
      <c r="N967" s="1">
        <v>249970.6</v>
      </c>
      <c r="O967" s="1">
        <v>408560.9</v>
      </c>
      <c r="P967" s="1">
        <v>658531.5</v>
      </c>
      <c r="Q967" s="1">
        <v>105323.6</v>
      </c>
      <c r="R967" s="1">
        <v>27917.4</v>
      </c>
      <c r="S967" s="1">
        <v>133241</v>
      </c>
      <c r="T967" s="1">
        <v>10.66</v>
      </c>
      <c r="U967" s="1">
        <v>0.56000000000000005</v>
      </c>
      <c r="V967" s="1">
        <v>25738.5</v>
      </c>
      <c r="W967" s="1">
        <v>131062.1</v>
      </c>
      <c r="X967" s="1">
        <v>8.19</v>
      </c>
      <c r="Y967" s="1">
        <v>2400</v>
      </c>
      <c r="Z967" s="1">
        <v>789593.59999999998</v>
      </c>
      <c r="AA967" s="1">
        <v>10.9</v>
      </c>
      <c r="AB967" s="1">
        <v>8000</v>
      </c>
    </row>
    <row r="968" spans="1:28" x14ac:dyDescent="0.4">
      <c r="A968" s="1" t="s">
        <v>473</v>
      </c>
      <c r="B968" s="1">
        <v>8000</v>
      </c>
      <c r="C968" s="1">
        <v>0.2</v>
      </c>
      <c r="D968" s="1">
        <v>0.5</v>
      </c>
      <c r="E968" s="1">
        <v>2000</v>
      </c>
      <c r="F968" s="1">
        <v>2</v>
      </c>
      <c r="G968" s="1">
        <v>2</v>
      </c>
      <c r="H968" s="1" t="s">
        <v>595</v>
      </c>
      <c r="I968" s="1">
        <v>892256.8</v>
      </c>
      <c r="J968" s="1">
        <v>337135.3</v>
      </c>
      <c r="K968" s="1">
        <v>555121.5</v>
      </c>
      <c r="L968" s="1">
        <v>2400</v>
      </c>
      <c r="M968" s="1">
        <v>7.05</v>
      </c>
      <c r="N968" s="1">
        <v>250596.8</v>
      </c>
      <c r="O968" s="1">
        <v>422131.5</v>
      </c>
      <c r="P968" s="1">
        <v>672728.3</v>
      </c>
      <c r="Q968" s="1">
        <v>101693.7</v>
      </c>
      <c r="R968" s="1">
        <v>26882.1</v>
      </c>
      <c r="S968" s="1">
        <v>128575.8</v>
      </c>
      <c r="T968" s="1">
        <v>10.19</v>
      </c>
      <c r="U968" s="1">
        <v>0.54</v>
      </c>
      <c r="V968" s="1">
        <v>24788.7</v>
      </c>
      <c r="W968" s="1">
        <v>126482.4</v>
      </c>
      <c r="X968" s="1">
        <v>7.59</v>
      </c>
      <c r="Y968" s="1">
        <v>2281</v>
      </c>
      <c r="Z968" s="1">
        <v>799210.7</v>
      </c>
      <c r="AA968" s="1">
        <v>10.43</v>
      </c>
      <c r="AB968" s="1">
        <v>8000</v>
      </c>
    </row>
    <row r="969" spans="1:28" x14ac:dyDescent="0.4">
      <c r="A969" s="1" t="s">
        <v>474</v>
      </c>
      <c r="B969" s="1">
        <v>8000</v>
      </c>
      <c r="C969" s="1">
        <v>0.2</v>
      </c>
      <c r="D969" s="1">
        <v>0.5</v>
      </c>
      <c r="E969" s="1">
        <v>2000</v>
      </c>
      <c r="F969" s="1">
        <v>2</v>
      </c>
      <c r="G969" s="1">
        <v>3</v>
      </c>
      <c r="H969" s="1" t="s">
        <v>595</v>
      </c>
      <c r="I969" s="1">
        <v>915025.1</v>
      </c>
      <c r="J969" s="1">
        <v>344856.5</v>
      </c>
      <c r="K969" s="1">
        <v>570168.6</v>
      </c>
      <c r="L969" s="1">
        <v>2400</v>
      </c>
      <c r="M969" s="1">
        <v>6.88</v>
      </c>
      <c r="N969" s="1">
        <v>249937.8</v>
      </c>
      <c r="O969" s="1">
        <v>432039.7</v>
      </c>
      <c r="P969" s="1">
        <v>681977.5</v>
      </c>
      <c r="Q969" s="1">
        <v>101127.6</v>
      </c>
      <c r="R969" s="1">
        <v>26168.7</v>
      </c>
      <c r="S969" s="1">
        <v>127296.3</v>
      </c>
      <c r="T969" s="1">
        <v>11.56</v>
      </c>
      <c r="U969" s="1">
        <v>0.48</v>
      </c>
      <c r="V969" s="1">
        <v>24445.7</v>
      </c>
      <c r="W969" s="1">
        <v>125573.3</v>
      </c>
      <c r="X969" s="1">
        <v>7.36</v>
      </c>
      <c r="Y969" s="1">
        <v>2281</v>
      </c>
      <c r="Z969" s="1">
        <v>807550.8</v>
      </c>
      <c r="AA969" s="1">
        <v>11.75</v>
      </c>
      <c r="AB969" s="1">
        <v>8000</v>
      </c>
    </row>
    <row r="970" spans="1:28" x14ac:dyDescent="0.4">
      <c r="A970" s="1" t="s">
        <v>475</v>
      </c>
      <c r="B970" s="1">
        <v>8000</v>
      </c>
      <c r="C970" s="1">
        <v>0.2</v>
      </c>
      <c r="D970" s="1">
        <v>0.5</v>
      </c>
      <c r="E970" s="1">
        <v>2000</v>
      </c>
      <c r="F970" s="1">
        <v>2</v>
      </c>
      <c r="G970" s="1">
        <v>4</v>
      </c>
      <c r="H970" s="1" t="s">
        <v>595</v>
      </c>
      <c r="I970" s="1">
        <v>904841.1</v>
      </c>
      <c r="J970" s="1">
        <v>328939.59999999998</v>
      </c>
      <c r="K970" s="1">
        <v>575901.5</v>
      </c>
      <c r="L970" s="1">
        <v>2400</v>
      </c>
      <c r="M970" s="1">
        <v>6.8</v>
      </c>
      <c r="N970" s="1">
        <v>245382.7</v>
      </c>
      <c r="O970" s="1">
        <v>442243.1</v>
      </c>
      <c r="P970" s="1">
        <v>687625.8</v>
      </c>
      <c r="Q970" s="1">
        <v>103521.3</v>
      </c>
      <c r="R970" s="1">
        <v>26567.4</v>
      </c>
      <c r="S970" s="1">
        <v>130088.7</v>
      </c>
      <c r="T970" s="1">
        <v>9.6300000000000008</v>
      </c>
      <c r="U970" s="1">
        <v>0.53</v>
      </c>
      <c r="V970" s="1">
        <v>24636.2</v>
      </c>
      <c r="W970" s="1">
        <v>128157.5</v>
      </c>
      <c r="X970" s="1">
        <v>7.33</v>
      </c>
      <c r="Y970" s="1">
        <v>2399</v>
      </c>
      <c r="Z970" s="1">
        <v>815783.3</v>
      </c>
      <c r="AA970" s="1">
        <v>9.84</v>
      </c>
      <c r="AB970" s="1">
        <v>8000</v>
      </c>
    </row>
    <row r="971" spans="1:28" x14ac:dyDescent="0.4">
      <c r="A971" s="1" t="s">
        <v>476</v>
      </c>
      <c r="B971" s="1">
        <v>8000</v>
      </c>
      <c r="C971" s="1">
        <v>0.2</v>
      </c>
      <c r="D971" s="1">
        <v>0.5</v>
      </c>
      <c r="E971" s="1">
        <v>2000</v>
      </c>
      <c r="F971" s="1">
        <v>2</v>
      </c>
      <c r="G971" s="1">
        <v>5</v>
      </c>
      <c r="H971" s="1" t="s">
        <v>595</v>
      </c>
      <c r="I971" s="1">
        <v>914600.1</v>
      </c>
      <c r="J971" s="1">
        <v>350446.2</v>
      </c>
      <c r="K971" s="1">
        <v>564153.9</v>
      </c>
      <c r="L971" s="1">
        <v>2400</v>
      </c>
      <c r="M971" s="1">
        <v>7.53</v>
      </c>
      <c r="N971" s="1">
        <v>267285.3</v>
      </c>
      <c r="O971" s="1">
        <v>431953.7</v>
      </c>
      <c r="P971" s="1">
        <v>699239</v>
      </c>
      <c r="Q971" s="1">
        <v>94803.3</v>
      </c>
      <c r="R971" s="1">
        <v>25456.7</v>
      </c>
      <c r="S971" s="1">
        <v>120260</v>
      </c>
      <c r="T971" s="1">
        <v>10.4</v>
      </c>
      <c r="U971" s="1">
        <v>0.52</v>
      </c>
      <c r="V971" s="1">
        <v>23179.1</v>
      </c>
      <c r="W971" s="1">
        <v>117982.39999999999</v>
      </c>
      <c r="X971" s="1">
        <v>8.0500000000000007</v>
      </c>
      <c r="Y971" s="1">
        <v>2161</v>
      </c>
      <c r="Z971" s="1">
        <v>817221.4</v>
      </c>
      <c r="AA971" s="1">
        <v>10.65</v>
      </c>
      <c r="AB971" s="1">
        <v>8000</v>
      </c>
    </row>
    <row r="972" spans="1:28" x14ac:dyDescent="0.4">
      <c r="A972" s="1" t="s">
        <v>477</v>
      </c>
      <c r="B972" s="1">
        <v>8000</v>
      </c>
      <c r="C972" s="1">
        <v>0.2</v>
      </c>
      <c r="D972" s="1">
        <v>0.5</v>
      </c>
      <c r="E972" s="1">
        <v>2000</v>
      </c>
      <c r="F972" s="1">
        <v>3</v>
      </c>
      <c r="G972" s="1">
        <v>1</v>
      </c>
      <c r="H972" s="1" t="s">
        <v>595</v>
      </c>
      <c r="I972" s="1">
        <v>1177757.2</v>
      </c>
      <c r="J972" s="1">
        <v>449352.6</v>
      </c>
      <c r="K972" s="1">
        <v>728404.6</v>
      </c>
      <c r="L972" s="1">
        <v>2400</v>
      </c>
      <c r="M972" s="1">
        <v>10.23</v>
      </c>
      <c r="N972" s="1">
        <v>348972.4</v>
      </c>
      <c r="O972" s="1">
        <v>575690.69999999995</v>
      </c>
      <c r="P972" s="1">
        <v>924663.1</v>
      </c>
      <c r="Q972" s="1">
        <v>102471.5</v>
      </c>
      <c r="R972" s="1">
        <v>29433.3</v>
      </c>
      <c r="S972" s="1">
        <v>131904.79999999999</v>
      </c>
      <c r="T972" s="1">
        <v>10.29</v>
      </c>
      <c r="U972" s="1">
        <v>0.71</v>
      </c>
      <c r="V972" s="1">
        <v>26924.6</v>
      </c>
      <c r="W972" s="1">
        <v>129396.1</v>
      </c>
      <c r="X972" s="1">
        <v>10.95</v>
      </c>
      <c r="Y972" s="1">
        <v>2399</v>
      </c>
      <c r="Z972" s="1">
        <v>1054059.2</v>
      </c>
      <c r="AA972" s="1">
        <v>10.5</v>
      </c>
      <c r="AB972" s="1">
        <v>8000</v>
      </c>
    </row>
    <row r="973" spans="1:28" x14ac:dyDescent="0.4">
      <c r="A973" s="1" t="s">
        <v>478</v>
      </c>
      <c r="B973" s="1">
        <v>8000</v>
      </c>
      <c r="C973" s="1">
        <v>0.2</v>
      </c>
      <c r="D973" s="1">
        <v>0.5</v>
      </c>
      <c r="E973" s="1">
        <v>2000</v>
      </c>
      <c r="F973" s="1">
        <v>3</v>
      </c>
      <c r="G973" s="1">
        <v>2</v>
      </c>
      <c r="H973" s="1" t="s">
        <v>595</v>
      </c>
      <c r="I973" s="1">
        <v>1164215.3999999999</v>
      </c>
      <c r="J973" s="1">
        <v>455176.9</v>
      </c>
      <c r="K973" s="1">
        <v>709038.5</v>
      </c>
      <c r="L973" s="1">
        <v>2400</v>
      </c>
      <c r="M973" s="1">
        <v>9.6199999999999992</v>
      </c>
      <c r="N973" s="1">
        <v>350952</v>
      </c>
      <c r="O973" s="1">
        <v>559604.4</v>
      </c>
      <c r="P973" s="1">
        <v>910556.4</v>
      </c>
      <c r="Q973" s="1">
        <v>101434.4</v>
      </c>
      <c r="R973" s="1">
        <v>29194.400000000001</v>
      </c>
      <c r="S973" s="1">
        <v>130628.8</v>
      </c>
      <c r="T973" s="1">
        <v>10.57</v>
      </c>
      <c r="U973" s="1">
        <v>0.71</v>
      </c>
      <c r="V973" s="1">
        <v>26324.3</v>
      </c>
      <c r="W973" s="1">
        <v>127758.7</v>
      </c>
      <c r="X973" s="1">
        <v>10.33</v>
      </c>
      <c r="Y973" s="1">
        <v>2397</v>
      </c>
      <c r="Z973" s="1">
        <v>1038315.1</v>
      </c>
      <c r="AA973" s="1">
        <v>10.81</v>
      </c>
      <c r="AB973" s="1">
        <v>8000</v>
      </c>
    </row>
    <row r="974" spans="1:28" x14ac:dyDescent="0.4">
      <c r="A974" s="1" t="s">
        <v>479</v>
      </c>
      <c r="B974" s="1">
        <v>8000</v>
      </c>
      <c r="C974" s="1">
        <v>0.2</v>
      </c>
      <c r="D974" s="1">
        <v>0.5</v>
      </c>
      <c r="E974" s="1">
        <v>2000</v>
      </c>
      <c r="F974" s="1">
        <v>3</v>
      </c>
      <c r="G974" s="1">
        <v>3</v>
      </c>
      <c r="H974" s="1" t="s">
        <v>595</v>
      </c>
      <c r="I974" s="1">
        <v>1186733.8999999999</v>
      </c>
      <c r="J974" s="1">
        <v>435508.8</v>
      </c>
      <c r="K974" s="1">
        <v>751225.1</v>
      </c>
      <c r="L974" s="1">
        <v>2400</v>
      </c>
      <c r="M974" s="1">
        <v>9.83</v>
      </c>
      <c r="N974" s="1">
        <v>338054.8</v>
      </c>
      <c r="O974" s="1">
        <v>590076.9</v>
      </c>
      <c r="P974" s="1">
        <v>928131.7</v>
      </c>
      <c r="Q974" s="1">
        <v>95991</v>
      </c>
      <c r="R974" s="1">
        <v>27645.4</v>
      </c>
      <c r="S974" s="1">
        <v>123636.4</v>
      </c>
      <c r="T974" s="1">
        <v>11.37</v>
      </c>
      <c r="U974" s="1">
        <v>0.67</v>
      </c>
      <c r="V974" s="1">
        <v>25069.7</v>
      </c>
      <c r="W974" s="1">
        <v>121060.7</v>
      </c>
      <c r="X974" s="1">
        <v>10.5</v>
      </c>
      <c r="Y974" s="1">
        <v>2278</v>
      </c>
      <c r="Z974" s="1">
        <v>1049192.3999999999</v>
      </c>
      <c r="AA974" s="1">
        <v>11.59</v>
      </c>
      <c r="AB974" s="1">
        <v>8000</v>
      </c>
    </row>
    <row r="975" spans="1:28" x14ac:dyDescent="0.4">
      <c r="A975" s="1" t="s">
        <v>480</v>
      </c>
      <c r="B975" s="1">
        <v>8000</v>
      </c>
      <c r="C975" s="1">
        <v>0.2</v>
      </c>
      <c r="D975" s="1">
        <v>0.5</v>
      </c>
      <c r="E975" s="1">
        <v>2000</v>
      </c>
      <c r="F975" s="1">
        <v>3</v>
      </c>
      <c r="G975" s="1">
        <v>4</v>
      </c>
      <c r="H975" s="1" t="s">
        <v>595</v>
      </c>
      <c r="I975" s="1">
        <v>1163514.6000000001</v>
      </c>
      <c r="J975" s="1">
        <v>442546.5</v>
      </c>
      <c r="K975" s="1">
        <v>720968.1</v>
      </c>
      <c r="L975" s="1">
        <v>2400</v>
      </c>
      <c r="M975" s="1">
        <v>9.34</v>
      </c>
      <c r="N975" s="1">
        <v>342814.1</v>
      </c>
      <c r="O975" s="1">
        <v>572598.19999999995</v>
      </c>
      <c r="P975" s="1">
        <v>915412.3</v>
      </c>
      <c r="Q975" s="1">
        <v>96352.1</v>
      </c>
      <c r="R975" s="1">
        <v>28916</v>
      </c>
      <c r="S975" s="1">
        <v>125268.1</v>
      </c>
      <c r="T975" s="1">
        <v>10.56</v>
      </c>
      <c r="U975" s="1">
        <v>0.74</v>
      </c>
      <c r="V975" s="1">
        <v>26609</v>
      </c>
      <c r="W975" s="1">
        <v>122961.1</v>
      </c>
      <c r="X975" s="1">
        <v>10.08</v>
      </c>
      <c r="Y975" s="1">
        <v>2281</v>
      </c>
      <c r="Z975" s="1">
        <v>1038373.4</v>
      </c>
      <c r="AA975" s="1">
        <v>10.76</v>
      </c>
      <c r="AB975" s="1">
        <v>8000</v>
      </c>
    </row>
    <row r="976" spans="1:28" x14ac:dyDescent="0.4">
      <c r="A976" s="1" t="s">
        <v>481</v>
      </c>
      <c r="B976" s="1">
        <v>8000</v>
      </c>
      <c r="C976" s="1">
        <v>0.2</v>
      </c>
      <c r="D976" s="1">
        <v>0.5</v>
      </c>
      <c r="E976" s="1">
        <v>2000</v>
      </c>
      <c r="F976" s="1">
        <v>3</v>
      </c>
      <c r="G976" s="1">
        <v>5</v>
      </c>
      <c r="H976" s="1" t="s">
        <v>595</v>
      </c>
      <c r="I976" s="1">
        <v>1171444.5</v>
      </c>
      <c r="J976" s="1">
        <v>445181.7</v>
      </c>
      <c r="K976" s="1">
        <v>726262.8</v>
      </c>
      <c r="L976" s="1">
        <v>2400</v>
      </c>
      <c r="M976" s="1">
        <v>9.9700000000000006</v>
      </c>
      <c r="N976" s="1">
        <v>343231.2</v>
      </c>
      <c r="O976" s="1">
        <v>577333.5</v>
      </c>
      <c r="P976" s="1">
        <v>920564.7</v>
      </c>
      <c r="Q976" s="1">
        <v>97274.4</v>
      </c>
      <c r="R976" s="1">
        <v>28717.8</v>
      </c>
      <c r="S976" s="1">
        <v>125992.2</v>
      </c>
      <c r="T976" s="1">
        <v>10.66</v>
      </c>
      <c r="U976" s="1">
        <v>0.65</v>
      </c>
      <c r="V976" s="1">
        <v>26578.9</v>
      </c>
      <c r="W976" s="1">
        <v>123853.3</v>
      </c>
      <c r="X976" s="1">
        <v>10.63</v>
      </c>
      <c r="Y976" s="1">
        <v>2276</v>
      </c>
      <c r="Z976" s="1">
        <v>1044418</v>
      </c>
      <c r="AA976" s="1">
        <v>10.84</v>
      </c>
      <c r="AB976" s="1">
        <v>8000</v>
      </c>
    </row>
    <row r="977" spans="1:28" x14ac:dyDescent="0.4">
      <c r="A977" s="1" t="s">
        <v>482</v>
      </c>
      <c r="B977" s="1">
        <v>8000</v>
      </c>
      <c r="C977" s="1">
        <v>0.2</v>
      </c>
      <c r="D977" s="1">
        <v>0.5</v>
      </c>
      <c r="E977" s="1">
        <v>500</v>
      </c>
      <c r="F977" s="1">
        <v>1</v>
      </c>
      <c r="G977" s="1">
        <v>1</v>
      </c>
      <c r="H977" s="1" t="s">
        <v>595</v>
      </c>
      <c r="I977" s="1">
        <v>147087</v>
      </c>
      <c r="J977" s="1">
        <v>56509.5</v>
      </c>
      <c r="K977" s="1">
        <v>90577.5</v>
      </c>
      <c r="L977" s="1">
        <v>2400</v>
      </c>
      <c r="M977" s="1">
        <v>3.69</v>
      </c>
      <c r="N977" s="1">
        <v>45550.1</v>
      </c>
      <c r="O977" s="1">
        <v>75330.8</v>
      </c>
      <c r="P977" s="1">
        <v>120880.9</v>
      </c>
      <c r="Q977" s="1">
        <v>16802.5</v>
      </c>
      <c r="R977" s="1">
        <v>2668.2</v>
      </c>
      <c r="S977" s="1">
        <v>19470.7</v>
      </c>
      <c r="T977" s="1">
        <v>4.58</v>
      </c>
      <c r="U977" s="1">
        <v>0</v>
      </c>
      <c r="V977" s="1">
        <v>2516.1</v>
      </c>
      <c r="W977" s="1">
        <v>19318.599999999999</v>
      </c>
      <c r="X977" s="1">
        <v>3.69</v>
      </c>
      <c r="Y977" s="1">
        <v>358</v>
      </c>
      <c r="Z977" s="1">
        <v>140199.5</v>
      </c>
      <c r="AA977" s="1">
        <v>4.68</v>
      </c>
      <c r="AB977" s="1">
        <v>8000</v>
      </c>
    </row>
    <row r="978" spans="1:28" x14ac:dyDescent="0.4">
      <c r="A978" s="1" t="s">
        <v>483</v>
      </c>
      <c r="B978" s="1">
        <v>8000</v>
      </c>
      <c r="C978" s="1">
        <v>0.2</v>
      </c>
      <c r="D978" s="1">
        <v>0.5</v>
      </c>
      <c r="E978" s="1">
        <v>500</v>
      </c>
      <c r="F978" s="1">
        <v>1</v>
      </c>
      <c r="G978" s="1">
        <v>2</v>
      </c>
      <c r="H978" s="1" t="s">
        <v>595</v>
      </c>
      <c r="I978" s="1">
        <v>140233.70000000001</v>
      </c>
      <c r="J978" s="1">
        <v>55542.9</v>
      </c>
      <c r="K978" s="1">
        <v>84690.8</v>
      </c>
      <c r="L978" s="1">
        <v>2400</v>
      </c>
      <c r="M978" s="1">
        <v>3.57</v>
      </c>
      <c r="N978" s="1">
        <v>48120.1</v>
      </c>
      <c r="O978" s="1">
        <v>74557.100000000006</v>
      </c>
      <c r="P978" s="1">
        <v>122677.2</v>
      </c>
      <c r="Q978" s="1">
        <v>11613.3</v>
      </c>
      <c r="R978" s="1">
        <v>1617.9</v>
      </c>
      <c r="S978" s="1">
        <v>13231.2</v>
      </c>
      <c r="T978" s="1">
        <v>3.08</v>
      </c>
      <c r="U978" s="1">
        <v>0</v>
      </c>
      <c r="V978" s="1">
        <v>1533.7</v>
      </c>
      <c r="W978" s="1">
        <v>13147</v>
      </c>
      <c r="X978" s="1">
        <v>3.57</v>
      </c>
      <c r="Y978" s="1">
        <v>274</v>
      </c>
      <c r="Z978" s="1">
        <v>135824.20000000001</v>
      </c>
      <c r="AA978" s="1">
        <v>3.14</v>
      </c>
      <c r="AB978" s="1">
        <v>8000</v>
      </c>
    </row>
    <row r="979" spans="1:28" x14ac:dyDescent="0.4">
      <c r="A979" s="1" t="s">
        <v>484</v>
      </c>
      <c r="B979" s="1">
        <v>8000</v>
      </c>
      <c r="C979" s="1">
        <v>0.2</v>
      </c>
      <c r="D979" s="1">
        <v>0.5</v>
      </c>
      <c r="E979" s="1">
        <v>500</v>
      </c>
      <c r="F979" s="1">
        <v>1</v>
      </c>
      <c r="G979" s="1">
        <v>3</v>
      </c>
      <c r="H979" s="1" t="s">
        <v>595</v>
      </c>
      <c r="I979" s="1">
        <v>140525.6</v>
      </c>
      <c r="J979" s="1">
        <v>54367.5</v>
      </c>
      <c r="K979" s="1">
        <v>86158.1</v>
      </c>
      <c r="L979" s="1">
        <v>2400</v>
      </c>
      <c r="M979" s="1">
        <v>3.5</v>
      </c>
      <c r="N979" s="1">
        <v>45840.800000000003</v>
      </c>
      <c r="O979" s="1">
        <v>75213.5</v>
      </c>
      <c r="P979" s="1">
        <v>121054.3</v>
      </c>
      <c r="Q979" s="1">
        <v>12128.9</v>
      </c>
      <c r="R979" s="1">
        <v>2606.5</v>
      </c>
      <c r="S979" s="1">
        <v>14735.4</v>
      </c>
      <c r="T979" s="1">
        <v>3.37</v>
      </c>
      <c r="U979" s="1">
        <v>0</v>
      </c>
      <c r="V979" s="1">
        <v>2395.6999999999998</v>
      </c>
      <c r="W979" s="1">
        <v>14524.6</v>
      </c>
      <c r="X979" s="1">
        <v>3.51</v>
      </c>
      <c r="Y979" s="1">
        <v>270</v>
      </c>
      <c r="Z979" s="1">
        <v>135578.9</v>
      </c>
      <c r="AA979" s="1">
        <v>3.52</v>
      </c>
      <c r="AB979" s="1">
        <v>8000</v>
      </c>
    </row>
    <row r="980" spans="1:28" x14ac:dyDescent="0.4">
      <c r="A980" s="1" t="s">
        <v>485</v>
      </c>
      <c r="B980" s="1">
        <v>8000</v>
      </c>
      <c r="C980" s="1">
        <v>0.2</v>
      </c>
      <c r="D980" s="1">
        <v>0.5</v>
      </c>
      <c r="E980" s="1">
        <v>500</v>
      </c>
      <c r="F980" s="1">
        <v>1</v>
      </c>
      <c r="G980" s="1">
        <v>4</v>
      </c>
      <c r="H980" s="1" t="s">
        <v>595</v>
      </c>
      <c r="I980" s="1">
        <v>151849.20000000001</v>
      </c>
      <c r="J980" s="1">
        <v>56962.9</v>
      </c>
      <c r="K980" s="1">
        <v>94886.3</v>
      </c>
      <c r="L980" s="1">
        <v>2400</v>
      </c>
      <c r="M980" s="1">
        <v>3.71</v>
      </c>
      <c r="N980" s="1">
        <v>51205.9</v>
      </c>
      <c r="O980" s="1">
        <v>86321.4</v>
      </c>
      <c r="P980" s="1">
        <v>137527.29999999999</v>
      </c>
      <c r="Q980" s="1">
        <v>7586.6</v>
      </c>
      <c r="R980" s="1">
        <v>1529.6</v>
      </c>
      <c r="S980" s="1">
        <v>9116.2000000000007</v>
      </c>
      <c r="T980" s="1">
        <v>3.43</v>
      </c>
      <c r="U980" s="1">
        <v>0</v>
      </c>
      <c r="V980" s="1">
        <v>1472.7</v>
      </c>
      <c r="W980" s="1">
        <v>9059.2999999999993</v>
      </c>
      <c r="X980" s="1">
        <v>3.71</v>
      </c>
      <c r="Y980" s="1">
        <v>150</v>
      </c>
      <c r="Z980" s="1">
        <v>146586.6</v>
      </c>
      <c r="AA980" s="1">
        <v>3.47</v>
      </c>
      <c r="AB980" s="1">
        <v>8000</v>
      </c>
    </row>
    <row r="981" spans="1:28" x14ac:dyDescent="0.4">
      <c r="A981" s="1" t="s">
        <v>486</v>
      </c>
      <c r="B981" s="1">
        <v>8000</v>
      </c>
      <c r="C981" s="1">
        <v>0.2</v>
      </c>
      <c r="D981" s="1">
        <v>0.5</v>
      </c>
      <c r="E981" s="1">
        <v>500</v>
      </c>
      <c r="F981" s="1">
        <v>1</v>
      </c>
      <c r="G981" s="1">
        <v>5</v>
      </c>
      <c r="H981" s="1" t="s">
        <v>595</v>
      </c>
      <c r="I981" s="1">
        <v>148628.79999999999</v>
      </c>
      <c r="J981" s="1">
        <v>57255.199999999997</v>
      </c>
      <c r="K981" s="1">
        <v>91373.6</v>
      </c>
      <c r="L981" s="1">
        <v>2400</v>
      </c>
      <c r="M981" s="1">
        <v>3.62</v>
      </c>
      <c r="N981" s="1">
        <v>48020.4</v>
      </c>
      <c r="O981" s="1">
        <v>80312.3</v>
      </c>
      <c r="P981" s="1">
        <v>128332.7</v>
      </c>
      <c r="Q981" s="1">
        <v>12989.6</v>
      </c>
      <c r="R981" s="1">
        <v>2222.1999999999998</v>
      </c>
      <c r="S981" s="1">
        <v>15211.8</v>
      </c>
      <c r="T981" s="1">
        <v>3.42</v>
      </c>
      <c r="U981" s="1">
        <v>0</v>
      </c>
      <c r="V981" s="1">
        <v>2061.6</v>
      </c>
      <c r="W981" s="1">
        <v>15051.2</v>
      </c>
      <c r="X981" s="1">
        <v>3.62</v>
      </c>
      <c r="Y981" s="1">
        <v>280</v>
      </c>
      <c r="Z981" s="1">
        <v>143383.9</v>
      </c>
      <c r="AA981" s="1">
        <v>3.53</v>
      </c>
      <c r="AB981" s="1">
        <v>8000</v>
      </c>
    </row>
    <row r="982" spans="1:28" x14ac:dyDescent="0.4">
      <c r="A982" s="1" t="s">
        <v>487</v>
      </c>
      <c r="B982" s="1">
        <v>8000</v>
      </c>
      <c r="C982" s="1">
        <v>0.2</v>
      </c>
      <c r="D982" s="1">
        <v>0.5</v>
      </c>
      <c r="E982" s="1">
        <v>500</v>
      </c>
      <c r="F982" s="1">
        <v>2</v>
      </c>
      <c r="G982" s="1">
        <v>1</v>
      </c>
      <c r="H982" s="1" t="s">
        <v>595</v>
      </c>
      <c r="I982" s="1">
        <v>229302.1</v>
      </c>
      <c r="J982" s="1">
        <v>94901.2</v>
      </c>
      <c r="K982" s="1">
        <v>134400.9</v>
      </c>
      <c r="L982" s="1">
        <v>2400</v>
      </c>
      <c r="M982" s="1">
        <v>4.83</v>
      </c>
      <c r="N982" s="1">
        <v>85902.9</v>
      </c>
      <c r="O982" s="1">
        <v>122135.5</v>
      </c>
      <c r="P982" s="1">
        <v>208038.39999999999</v>
      </c>
      <c r="Q982" s="1">
        <v>12002.3</v>
      </c>
      <c r="R982" s="1">
        <v>2220.5</v>
      </c>
      <c r="S982" s="1">
        <v>14222.8</v>
      </c>
      <c r="T982" s="1">
        <v>3.07</v>
      </c>
      <c r="U982" s="1">
        <v>0</v>
      </c>
      <c r="V982" s="1">
        <v>1980.7</v>
      </c>
      <c r="W982" s="1">
        <v>13983</v>
      </c>
      <c r="X982" s="1">
        <v>4.83</v>
      </c>
      <c r="Y982" s="1">
        <v>265</v>
      </c>
      <c r="Z982" s="1">
        <v>222021.4</v>
      </c>
      <c r="AA982" s="1">
        <v>3.18</v>
      </c>
      <c r="AB982" s="1">
        <v>8000</v>
      </c>
    </row>
    <row r="983" spans="1:28" x14ac:dyDescent="0.4">
      <c r="A983" s="1" t="s">
        <v>488</v>
      </c>
      <c r="B983" s="1">
        <v>8000</v>
      </c>
      <c r="C983" s="1">
        <v>0.2</v>
      </c>
      <c r="D983" s="1">
        <v>0.5</v>
      </c>
      <c r="E983" s="1">
        <v>500</v>
      </c>
      <c r="F983" s="1">
        <v>2</v>
      </c>
      <c r="G983" s="1">
        <v>2</v>
      </c>
      <c r="H983" s="1" t="s">
        <v>595</v>
      </c>
      <c r="I983" s="1">
        <v>226447.5</v>
      </c>
      <c r="J983" s="1">
        <v>92815.2</v>
      </c>
      <c r="K983" s="1">
        <v>133632.29999999999</v>
      </c>
      <c r="L983" s="1">
        <v>2400</v>
      </c>
      <c r="M983" s="1">
        <v>4.76</v>
      </c>
      <c r="N983" s="1">
        <v>83166.600000000006</v>
      </c>
      <c r="O983" s="1">
        <v>123435.7</v>
      </c>
      <c r="P983" s="1">
        <v>206602.3</v>
      </c>
      <c r="Q983" s="1">
        <v>11099.7</v>
      </c>
      <c r="R983" s="1">
        <v>2411</v>
      </c>
      <c r="S983" s="1">
        <v>13510.7</v>
      </c>
      <c r="T983" s="1">
        <v>2.8</v>
      </c>
      <c r="U983" s="1">
        <v>0</v>
      </c>
      <c r="V983" s="1">
        <v>2253.1</v>
      </c>
      <c r="W983" s="1">
        <v>13352.8</v>
      </c>
      <c r="X983" s="1">
        <v>4.76</v>
      </c>
      <c r="Y983" s="1">
        <v>244</v>
      </c>
      <c r="Z983" s="1">
        <v>219955.1</v>
      </c>
      <c r="AA983" s="1">
        <v>2.87</v>
      </c>
      <c r="AB983" s="1">
        <v>8000</v>
      </c>
    </row>
    <row r="984" spans="1:28" x14ac:dyDescent="0.4">
      <c r="A984" s="1" t="s">
        <v>489</v>
      </c>
      <c r="B984" s="1">
        <v>8000</v>
      </c>
      <c r="C984" s="1">
        <v>0.2</v>
      </c>
      <c r="D984" s="1">
        <v>0.5</v>
      </c>
      <c r="E984" s="1">
        <v>500</v>
      </c>
      <c r="F984" s="1">
        <v>2</v>
      </c>
      <c r="G984" s="1">
        <v>3</v>
      </c>
      <c r="H984" s="1" t="s">
        <v>595</v>
      </c>
      <c r="I984" s="1">
        <v>222263.2</v>
      </c>
      <c r="J984" s="1">
        <v>93658.5</v>
      </c>
      <c r="K984" s="1">
        <v>128604.7</v>
      </c>
      <c r="L984" s="1">
        <v>2400</v>
      </c>
      <c r="M984" s="1">
        <v>4.7</v>
      </c>
      <c r="N984" s="1">
        <v>83692.800000000003</v>
      </c>
      <c r="O984" s="1">
        <v>117284.5</v>
      </c>
      <c r="P984" s="1">
        <v>200977.3</v>
      </c>
      <c r="Q984" s="1">
        <v>13275.6</v>
      </c>
      <c r="R984" s="1">
        <v>2555.5</v>
      </c>
      <c r="S984" s="1">
        <v>15831.1</v>
      </c>
      <c r="T984" s="1">
        <v>2.4500000000000002</v>
      </c>
      <c r="U984" s="1">
        <v>0</v>
      </c>
      <c r="V984" s="1">
        <v>2251.8000000000002</v>
      </c>
      <c r="W984" s="1">
        <v>15527.4</v>
      </c>
      <c r="X984" s="1">
        <v>4.71</v>
      </c>
      <c r="Y984" s="1">
        <v>300</v>
      </c>
      <c r="Z984" s="1">
        <v>216504.7</v>
      </c>
      <c r="AA984" s="1">
        <v>2.59</v>
      </c>
      <c r="AB984" s="1">
        <v>8000</v>
      </c>
    </row>
    <row r="985" spans="1:28" x14ac:dyDescent="0.4">
      <c r="A985" s="1" t="s">
        <v>490</v>
      </c>
      <c r="B985" s="1">
        <v>8000</v>
      </c>
      <c r="C985" s="1">
        <v>0.2</v>
      </c>
      <c r="D985" s="1">
        <v>0.5</v>
      </c>
      <c r="E985" s="1">
        <v>500</v>
      </c>
      <c r="F985" s="1">
        <v>2</v>
      </c>
      <c r="G985" s="1">
        <v>4</v>
      </c>
      <c r="H985" s="1" t="s">
        <v>595</v>
      </c>
      <c r="I985" s="1">
        <v>229297.3</v>
      </c>
      <c r="J985" s="1">
        <v>84967.3</v>
      </c>
      <c r="K985" s="1">
        <v>144330</v>
      </c>
      <c r="L985" s="1">
        <v>2400</v>
      </c>
      <c r="M985" s="1">
        <v>4.74</v>
      </c>
      <c r="N985" s="1">
        <v>77351.399999999994</v>
      </c>
      <c r="O985" s="1">
        <v>128735.6</v>
      </c>
      <c r="P985" s="1">
        <v>206087</v>
      </c>
      <c r="Q985" s="1">
        <v>12426.7</v>
      </c>
      <c r="R985" s="1">
        <v>2062.9</v>
      </c>
      <c r="S985" s="1">
        <v>14489.6</v>
      </c>
      <c r="T985" s="1">
        <v>3.8</v>
      </c>
      <c r="U985" s="1">
        <v>0</v>
      </c>
      <c r="V985" s="1">
        <v>1928.7</v>
      </c>
      <c r="W985" s="1">
        <v>14355.4</v>
      </c>
      <c r="X985" s="1">
        <v>4.74</v>
      </c>
      <c r="Y985" s="1">
        <v>270</v>
      </c>
      <c r="Z985" s="1">
        <v>220442.4</v>
      </c>
      <c r="AA985" s="1">
        <v>3.86</v>
      </c>
      <c r="AB985" s="1">
        <v>8000</v>
      </c>
    </row>
    <row r="986" spans="1:28" x14ac:dyDescent="0.4">
      <c r="A986" s="1" t="s">
        <v>491</v>
      </c>
      <c r="B986" s="1">
        <v>8000</v>
      </c>
      <c r="C986" s="1">
        <v>0.2</v>
      </c>
      <c r="D986" s="1">
        <v>0.5</v>
      </c>
      <c r="E986" s="1">
        <v>500</v>
      </c>
      <c r="F986" s="1">
        <v>2</v>
      </c>
      <c r="G986" s="1">
        <v>5</v>
      </c>
      <c r="H986" s="1" t="s">
        <v>595</v>
      </c>
      <c r="I986" s="1">
        <v>224542.5</v>
      </c>
      <c r="J986" s="1">
        <v>82787.3</v>
      </c>
      <c r="K986" s="1">
        <v>141755.20000000001</v>
      </c>
      <c r="L986" s="1">
        <v>2400</v>
      </c>
      <c r="M986" s="1">
        <v>4.62</v>
      </c>
      <c r="N986" s="1">
        <v>72699.7</v>
      </c>
      <c r="O986" s="1">
        <v>127930.4</v>
      </c>
      <c r="P986" s="1">
        <v>200630.1</v>
      </c>
      <c r="Q986" s="1">
        <v>13410.9</v>
      </c>
      <c r="R986" s="1">
        <v>2379.9</v>
      </c>
      <c r="S986" s="1">
        <v>15790.8</v>
      </c>
      <c r="T986" s="1">
        <v>3.62</v>
      </c>
      <c r="U986" s="1">
        <v>0</v>
      </c>
      <c r="V986" s="1">
        <v>2235.6</v>
      </c>
      <c r="W986" s="1">
        <v>15646.5</v>
      </c>
      <c r="X986" s="1">
        <v>4.62</v>
      </c>
      <c r="Y986" s="1">
        <v>293</v>
      </c>
      <c r="Z986" s="1">
        <v>216276.6</v>
      </c>
      <c r="AA986" s="1">
        <v>3.68</v>
      </c>
      <c r="AB986" s="1">
        <v>8000</v>
      </c>
    </row>
    <row r="987" spans="1:28" x14ac:dyDescent="0.4">
      <c r="A987" s="1" t="s">
        <v>492</v>
      </c>
      <c r="B987" s="1">
        <v>8000</v>
      </c>
      <c r="C987" s="1">
        <v>0.2</v>
      </c>
      <c r="D987" s="1">
        <v>0.5</v>
      </c>
      <c r="E987" s="1">
        <v>500</v>
      </c>
      <c r="F987" s="1">
        <v>3</v>
      </c>
      <c r="G987" s="1">
        <v>1</v>
      </c>
      <c r="H987" s="1" t="s">
        <v>595</v>
      </c>
      <c r="I987" s="1">
        <v>292420.09999999998</v>
      </c>
      <c r="J987" s="1">
        <v>108941.2</v>
      </c>
      <c r="K987" s="1">
        <v>183478.9</v>
      </c>
      <c r="L987" s="1">
        <v>2400</v>
      </c>
      <c r="M987" s="1">
        <v>5.76</v>
      </c>
      <c r="N987" s="1">
        <v>97862.1</v>
      </c>
      <c r="O987" s="1">
        <v>169017</v>
      </c>
      <c r="P987" s="1">
        <v>266879.09999999998</v>
      </c>
      <c r="Q987" s="1">
        <v>12936.1</v>
      </c>
      <c r="R987" s="1">
        <v>3321.1</v>
      </c>
      <c r="S987" s="1">
        <v>16257.2</v>
      </c>
      <c r="T987" s="1">
        <v>3.17</v>
      </c>
      <c r="U987" s="1">
        <v>0</v>
      </c>
      <c r="V987" s="1">
        <v>2762.5</v>
      </c>
      <c r="W987" s="1">
        <v>15698.6</v>
      </c>
      <c r="X987" s="1">
        <v>5.76</v>
      </c>
      <c r="Y987" s="1">
        <v>317</v>
      </c>
      <c r="Z987" s="1">
        <v>282577.7</v>
      </c>
      <c r="AA987" s="1">
        <v>3.37</v>
      </c>
      <c r="AB987" s="1">
        <v>8000</v>
      </c>
    </row>
    <row r="988" spans="1:28" x14ac:dyDescent="0.4">
      <c r="A988" s="1" t="s">
        <v>493</v>
      </c>
      <c r="B988" s="1">
        <v>8000</v>
      </c>
      <c r="C988" s="1">
        <v>0.2</v>
      </c>
      <c r="D988" s="1">
        <v>0.5</v>
      </c>
      <c r="E988" s="1">
        <v>500</v>
      </c>
      <c r="F988" s="1">
        <v>3</v>
      </c>
      <c r="G988" s="1">
        <v>2</v>
      </c>
      <c r="H988" s="1" t="s">
        <v>595</v>
      </c>
      <c r="I988" s="1">
        <v>282153.40000000002</v>
      </c>
      <c r="J988" s="1">
        <v>107647.8</v>
      </c>
      <c r="K988" s="1">
        <v>174505.60000000001</v>
      </c>
      <c r="L988" s="1">
        <v>2400</v>
      </c>
      <c r="M988" s="1">
        <v>5.31</v>
      </c>
      <c r="N988" s="1">
        <v>99644.5</v>
      </c>
      <c r="O988" s="1">
        <v>161541.9</v>
      </c>
      <c r="P988" s="1">
        <v>261186.4</v>
      </c>
      <c r="Q988" s="1">
        <v>10475.4</v>
      </c>
      <c r="R988" s="1">
        <v>2392.1</v>
      </c>
      <c r="S988" s="1">
        <v>12867.5</v>
      </c>
      <c r="T988" s="1">
        <v>2.87</v>
      </c>
      <c r="U988" s="1">
        <v>0</v>
      </c>
      <c r="V988" s="1">
        <v>2118.9</v>
      </c>
      <c r="W988" s="1">
        <v>12594.3</v>
      </c>
      <c r="X988" s="1">
        <v>5.31</v>
      </c>
      <c r="Y988" s="1">
        <v>275</v>
      </c>
      <c r="Z988" s="1">
        <v>273780.7</v>
      </c>
      <c r="AA988" s="1">
        <v>2.97</v>
      </c>
      <c r="AB988" s="1">
        <v>8000</v>
      </c>
    </row>
    <row r="989" spans="1:28" x14ac:dyDescent="0.4">
      <c r="A989" s="1" t="s">
        <v>494</v>
      </c>
      <c r="B989" s="1">
        <v>8000</v>
      </c>
      <c r="C989" s="1">
        <v>0.2</v>
      </c>
      <c r="D989" s="1">
        <v>0.5</v>
      </c>
      <c r="E989" s="1">
        <v>500</v>
      </c>
      <c r="F989" s="1">
        <v>3</v>
      </c>
      <c r="G989" s="1">
        <v>3</v>
      </c>
      <c r="H989" s="1" t="s">
        <v>595</v>
      </c>
      <c r="I989" s="1">
        <v>286274.09999999998</v>
      </c>
      <c r="J989" s="1">
        <v>110452.9</v>
      </c>
      <c r="K989" s="1">
        <v>175821.2</v>
      </c>
      <c r="L989" s="1">
        <v>2400</v>
      </c>
      <c r="M989" s="1">
        <v>5.49</v>
      </c>
      <c r="N989" s="1">
        <v>101407.4</v>
      </c>
      <c r="O989" s="1">
        <v>163825.79999999999</v>
      </c>
      <c r="P989" s="1">
        <v>265233.2</v>
      </c>
      <c r="Q989" s="1">
        <v>10827</v>
      </c>
      <c r="R989" s="1">
        <v>2345.3000000000002</v>
      </c>
      <c r="S989" s="1">
        <v>13172.3</v>
      </c>
      <c r="T989" s="1">
        <v>2.75</v>
      </c>
      <c r="U989" s="1">
        <v>0</v>
      </c>
      <c r="V989" s="1">
        <v>2019.3</v>
      </c>
      <c r="W989" s="1">
        <v>12846.3</v>
      </c>
      <c r="X989" s="1">
        <v>5.5</v>
      </c>
      <c r="Y989" s="1">
        <v>280</v>
      </c>
      <c r="Z989" s="1">
        <v>278079.5</v>
      </c>
      <c r="AA989" s="1">
        <v>2.86</v>
      </c>
      <c r="AB989" s="1">
        <v>8000</v>
      </c>
    </row>
    <row r="990" spans="1:28" x14ac:dyDescent="0.4">
      <c r="A990" s="1" t="s">
        <v>495</v>
      </c>
      <c r="B990" s="1">
        <v>8000</v>
      </c>
      <c r="C990" s="1">
        <v>0.2</v>
      </c>
      <c r="D990" s="1">
        <v>0.5</v>
      </c>
      <c r="E990" s="1">
        <v>500</v>
      </c>
      <c r="F990" s="1">
        <v>3</v>
      </c>
      <c r="G990" s="1">
        <v>4</v>
      </c>
      <c r="H990" s="1" t="s">
        <v>595</v>
      </c>
      <c r="I990" s="1">
        <v>295932.79999999999</v>
      </c>
      <c r="J990" s="1">
        <v>120245.7</v>
      </c>
      <c r="K990" s="1">
        <v>175687.1</v>
      </c>
      <c r="L990" s="1">
        <v>2400</v>
      </c>
      <c r="M990" s="1">
        <v>5.26</v>
      </c>
      <c r="N990" s="1">
        <v>112864.1</v>
      </c>
      <c r="O990" s="1">
        <v>164080.1</v>
      </c>
      <c r="P990" s="1">
        <v>276944.2</v>
      </c>
      <c r="Q990" s="1">
        <v>8391.1</v>
      </c>
      <c r="R990" s="1">
        <v>2224.9</v>
      </c>
      <c r="S990" s="1">
        <v>10616</v>
      </c>
      <c r="T990" s="1">
        <v>2.83</v>
      </c>
      <c r="U990" s="1">
        <v>0</v>
      </c>
      <c r="V990" s="1">
        <v>2093.8000000000002</v>
      </c>
      <c r="W990" s="1">
        <v>10484.9</v>
      </c>
      <c r="X990" s="1">
        <v>5.27</v>
      </c>
      <c r="Y990" s="1">
        <v>183</v>
      </c>
      <c r="Z990" s="1">
        <v>287429.09999999998</v>
      </c>
      <c r="AA990" s="1">
        <v>2.87</v>
      </c>
      <c r="AB990" s="1">
        <v>8000</v>
      </c>
    </row>
    <row r="991" spans="1:28" x14ac:dyDescent="0.4">
      <c r="A991" s="1" t="s">
        <v>496</v>
      </c>
      <c r="B991" s="1">
        <v>8000</v>
      </c>
      <c r="C991" s="1">
        <v>0.2</v>
      </c>
      <c r="D991" s="1">
        <v>0.5</v>
      </c>
      <c r="E991" s="1">
        <v>500</v>
      </c>
      <c r="F991" s="1">
        <v>3</v>
      </c>
      <c r="G991" s="1">
        <v>5</v>
      </c>
      <c r="H991" s="1" t="s">
        <v>595</v>
      </c>
      <c r="I991" s="1">
        <v>298989.2</v>
      </c>
      <c r="J991" s="1">
        <v>113792.5</v>
      </c>
      <c r="K991" s="1">
        <v>185196.7</v>
      </c>
      <c r="L991" s="1">
        <v>2400</v>
      </c>
      <c r="M991" s="1">
        <v>5.36</v>
      </c>
      <c r="N991" s="1">
        <v>105169.2</v>
      </c>
      <c r="O991" s="1">
        <v>171401</v>
      </c>
      <c r="P991" s="1">
        <v>276570.2</v>
      </c>
      <c r="Q991" s="1">
        <v>12448.5</v>
      </c>
      <c r="R991" s="1">
        <v>3032.7</v>
      </c>
      <c r="S991" s="1">
        <v>15481.2</v>
      </c>
      <c r="T991" s="1">
        <v>2.3199999999999998</v>
      </c>
      <c r="U991" s="1">
        <v>0</v>
      </c>
      <c r="V991" s="1">
        <v>2722</v>
      </c>
      <c r="W991" s="1">
        <v>15170.5</v>
      </c>
      <c r="X991" s="1">
        <v>5.36</v>
      </c>
      <c r="Y991" s="1">
        <v>270</v>
      </c>
      <c r="Z991" s="1">
        <v>291740.7</v>
      </c>
      <c r="AA991" s="1">
        <v>2.42</v>
      </c>
      <c r="AB991" s="1">
        <v>8000</v>
      </c>
    </row>
    <row r="992" spans="1:28" x14ac:dyDescent="0.4">
      <c r="A992" s="1" t="s">
        <v>120</v>
      </c>
      <c r="B992" s="1">
        <v>8000</v>
      </c>
      <c r="C992" s="1">
        <v>0.3</v>
      </c>
      <c r="D992" s="1">
        <v>0.5</v>
      </c>
      <c r="E992" s="1">
        <v>1000</v>
      </c>
      <c r="F992" s="1">
        <v>1</v>
      </c>
      <c r="G992" s="1">
        <v>1</v>
      </c>
      <c r="H992" s="1" t="s">
        <v>595</v>
      </c>
      <c r="I992" s="1">
        <v>286040.5</v>
      </c>
      <c r="J992" s="1">
        <v>110201.1</v>
      </c>
      <c r="K992" s="1">
        <v>175839.4</v>
      </c>
      <c r="L992" s="1">
        <v>2400</v>
      </c>
      <c r="M992" s="1">
        <v>3.82</v>
      </c>
      <c r="N992" s="1">
        <v>90804.4</v>
      </c>
      <c r="O992" s="1">
        <v>147418.5</v>
      </c>
      <c r="P992" s="1">
        <v>238222.9</v>
      </c>
      <c r="Q992" s="1">
        <v>26611.7</v>
      </c>
      <c r="R992" s="1">
        <v>6856.2</v>
      </c>
      <c r="S992" s="1">
        <v>33467.9</v>
      </c>
      <c r="T992" s="1">
        <v>5.0199999999999996</v>
      </c>
      <c r="U992" s="1">
        <v>0.01</v>
      </c>
      <c r="V992" s="1">
        <v>6657.8</v>
      </c>
      <c r="W992" s="1">
        <v>33269.5</v>
      </c>
      <c r="X992" s="1">
        <v>3.84</v>
      </c>
      <c r="Y992" s="1">
        <v>527</v>
      </c>
      <c r="Z992" s="1">
        <v>271492.40000000002</v>
      </c>
      <c r="AA992" s="1">
        <v>5.09</v>
      </c>
      <c r="AB992" s="1">
        <v>8000</v>
      </c>
    </row>
    <row r="993" spans="1:28" x14ac:dyDescent="0.4">
      <c r="A993" s="1" t="s">
        <v>121</v>
      </c>
      <c r="B993" s="1">
        <v>8000</v>
      </c>
      <c r="C993" s="1">
        <v>0.3</v>
      </c>
      <c r="D993" s="1">
        <v>0.5</v>
      </c>
      <c r="E993" s="1">
        <v>1000</v>
      </c>
      <c r="F993" s="1">
        <v>1</v>
      </c>
      <c r="G993" s="1">
        <v>2</v>
      </c>
      <c r="H993" s="1" t="s">
        <v>595</v>
      </c>
      <c r="I993" s="1">
        <v>292003.40000000002</v>
      </c>
      <c r="J993" s="1">
        <v>110554.4</v>
      </c>
      <c r="K993" s="1">
        <v>181449</v>
      </c>
      <c r="L993" s="1">
        <v>2400</v>
      </c>
      <c r="M993" s="1">
        <v>3.94</v>
      </c>
      <c r="N993" s="1">
        <v>91748.1</v>
      </c>
      <c r="O993" s="1">
        <v>155591.79999999999</v>
      </c>
      <c r="P993" s="1">
        <v>247339.9</v>
      </c>
      <c r="Q993" s="1">
        <v>22823.3</v>
      </c>
      <c r="R993" s="1">
        <v>6920.5</v>
      </c>
      <c r="S993" s="1">
        <v>29743.8</v>
      </c>
      <c r="T993" s="1">
        <v>5.1100000000000003</v>
      </c>
      <c r="U993" s="1">
        <v>0.01</v>
      </c>
      <c r="V993" s="1">
        <v>6626.4</v>
      </c>
      <c r="W993" s="1">
        <v>29449.7</v>
      </c>
      <c r="X993" s="1">
        <v>3.95</v>
      </c>
      <c r="Y993" s="1">
        <v>439</v>
      </c>
      <c r="Z993" s="1">
        <v>276789.59999999998</v>
      </c>
      <c r="AA993" s="1">
        <v>5.21</v>
      </c>
      <c r="AB993" s="1">
        <v>8000</v>
      </c>
    </row>
    <row r="994" spans="1:28" x14ac:dyDescent="0.4">
      <c r="A994" s="1" t="s">
        <v>122</v>
      </c>
      <c r="B994" s="1">
        <v>8000</v>
      </c>
      <c r="C994" s="1">
        <v>0.3</v>
      </c>
      <c r="D994" s="1">
        <v>0.5</v>
      </c>
      <c r="E994" s="1">
        <v>1000</v>
      </c>
      <c r="F994" s="1">
        <v>1</v>
      </c>
      <c r="G994" s="1">
        <v>3</v>
      </c>
      <c r="H994" s="1" t="s">
        <v>595</v>
      </c>
      <c r="I994" s="1">
        <v>292940.79999999999</v>
      </c>
      <c r="J994" s="1">
        <v>116162.1</v>
      </c>
      <c r="K994" s="1">
        <v>176778.7</v>
      </c>
      <c r="L994" s="1">
        <v>2400</v>
      </c>
      <c r="M994" s="1">
        <v>3.87</v>
      </c>
      <c r="N994" s="1">
        <v>92321.2</v>
      </c>
      <c r="O994" s="1">
        <v>144652.6</v>
      </c>
      <c r="P994" s="1">
        <v>236973.8</v>
      </c>
      <c r="Q994" s="1">
        <v>30847.599999999999</v>
      </c>
      <c r="R994" s="1">
        <v>8412.7000000000007</v>
      </c>
      <c r="S994" s="1">
        <v>39260.300000000003</v>
      </c>
      <c r="T994" s="1">
        <v>5.7</v>
      </c>
      <c r="U994" s="1">
        <v>0.02</v>
      </c>
      <c r="V994" s="1">
        <v>7945.7</v>
      </c>
      <c r="W994" s="1">
        <v>38793.300000000003</v>
      </c>
      <c r="X994" s="1">
        <v>3.89</v>
      </c>
      <c r="Y994" s="1">
        <v>628</v>
      </c>
      <c r="Z994" s="1">
        <v>275767.09999999998</v>
      </c>
      <c r="AA994" s="1">
        <v>5.86</v>
      </c>
      <c r="AB994" s="1">
        <v>8000</v>
      </c>
    </row>
    <row r="995" spans="1:28" x14ac:dyDescent="0.4">
      <c r="A995" s="1" t="s">
        <v>123</v>
      </c>
      <c r="B995" s="1">
        <v>8000</v>
      </c>
      <c r="C995" s="1">
        <v>0.3</v>
      </c>
      <c r="D995" s="1">
        <v>0.5</v>
      </c>
      <c r="E995" s="1">
        <v>1000</v>
      </c>
      <c r="F995" s="1">
        <v>1</v>
      </c>
      <c r="G995" s="1">
        <v>4</v>
      </c>
      <c r="H995" s="1" t="s">
        <v>595</v>
      </c>
      <c r="I995" s="1">
        <v>280335.2</v>
      </c>
      <c r="J995" s="1">
        <v>111676</v>
      </c>
      <c r="K995" s="1">
        <v>168659.20000000001</v>
      </c>
      <c r="L995" s="1">
        <v>2400</v>
      </c>
      <c r="M995" s="1">
        <v>3.92</v>
      </c>
      <c r="N995" s="1">
        <v>97021.1</v>
      </c>
      <c r="O995" s="1">
        <v>150402.4</v>
      </c>
      <c r="P995" s="1">
        <v>247423.5</v>
      </c>
      <c r="Q995" s="1">
        <v>15566.9</v>
      </c>
      <c r="R995" s="1">
        <v>3974.1</v>
      </c>
      <c r="S995" s="1">
        <v>19541</v>
      </c>
      <c r="T995" s="1">
        <v>4.7699999999999996</v>
      </c>
      <c r="U995" s="1">
        <v>0</v>
      </c>
      <c r="V995" s="1">
        <v>3769.4</v>
      </c>
      <c r="W995" s="1">
        <v>19336.3</v>
      </c>
      <c r="X995" s="1">
        <v>3.93</v>
      </c>
      <c r="Y995" s="1">
        <v>308</v>
      </c>
      <c r="Z995" s="1">
        <v>266759.8</v>
      </c>
      <c r="AA995" s="1">
        <v>4.84</v>
      </c>
      <c r="AB995" s="1">
        <v>8000</v>
      </c>
    </row>
    <row r="996" spans="1:28" x14ac:dyDescent="0.4">
      <c r="A996" s="1" t="s">
        <v>124</v>
      </c>
      <c r="B996" s="1">
        <v>8000</v>
      </c>
      <c r="C996" s="1">
        <v>0.3</v>
      </c>
      <c r="D996" s="1">
        <v>0.5</v>
      </c>
      <c r="E996" s="1">
        <v>1000</v>
      </c>
      <c r="F996" s="1">
        <v>1</v>
      </c>
      <c r="G996" s="1">
        <v>5</v>
      </c>
      <c r="H996" s="1" t="s">
        <v>595</v>
      </c>
      <c r="I996" s="1">
        <v>286002.59999999998</v>
      </c>
      <c r="J996" s="1">
        <v>115303.6</v>
      </c>
      <c r="K996" s="1">
        <v>170699</v>
      </c>
      <c r="L996" s="1">
        <v>2400</v>
      </c>
      <c r="M996" s="1">
        <v>4.08</v>
      </c>
      <c r="N996" s="1">
        <v>101008</v>
      </c>
      <c r="O996" s="1">
        <v>151105.5</v>
      </c>
      <c r="P996" s="1">
        <v>252113.5</v>
      </c>
      <c r="Q996" s="1">
        <v>15530.3</v>
      </c>
      <c r="R996" s="1">
        <v>5704.4</v>
      </c>
      <c r="S996" s="1">
        <v>21234.7</v>
      </c>
      <c r="T996" s="1">
        <v>4.42</v>
      </c>
      <c r="U996" s="1">
        <v>0.01</v>
      </c>
      <c r="V996" s="1">
        <v>5509.8</v>
      </c>
      <c r="W996" s="1">
        <v>21040.1</v>
      </c>
      <c r="X996" s="1">
        <v>4.09</v>
      </c>
      <c r="Y996" s="1">
        <v>293</v>
      </c>
      <c r="Z996" s="1">
        <v>273153.59999999998</v>
      </c>
      <c r="AA996" s="1">
        <v>4.49</v>
      </c>
      <c r="AB996" s="1">
        <v>8000</v>
      </c>
    </row>
    <row r="997" spans="1:28" x14ac:dyDescent="0.4">
      <c r="A997" s="1" t="s">
        <v>125</v>
      </c>
      <c r="B997" s="1">
        <v>8000</v>
      </c>
      <c r="C997" s="1">
        <v>0.3</v>
      </c>
      <c r="D997" s="1">
        <v>0.5</v>
      </c>
      <c r="E997" s="1">
        <v>1000</v>
      </c>
      <c r="F997" s="1">
        <v>2</v>
      </c>
      <c r="G997" s="1">
        <v>1</v>
      </c>
      <c r="H997" s="1" t="s">
        <v>595</v>
      </c>
      <c r="I997" s="1">
        <v>450971.9</v>
      </c>
      <c r="J997" s="1">
        <v>169991.9</v>
      </c>
      <c r="K997" s="1">
        <v>280980</v>
      </c>
      <c r="L997" s="1">
        <v>2400</v>
      </c>
      <c r="M997" s="1">
        <v>4.43</v>
      </c>
      <c r="N997" s="1">
        <v>119532.4</v>
      </c>
      <c r="O997" s="1">
        <v>206252.1</v>
      </c>
      <c r="P997" s="1">
        <v>325784.5</v>
      </c>
      <c r="Q997" s="1">
        <v>75088.399999999994</v>
      </c>
      <c r="R997" s="1">
        <v>24478</v>
      </c>
      <c r="S997" s="1">
        <v>99566.399999999994</v>
      </c>
      <c r="T997" s="1">
        <v>5.68</v>
      </c>
      <c r="U997" s="1">
        <v>0.39</v>
      </c>
      <c r="V997" s="1">
        <v>23242.2</v>
      </c>
      <c r="W997" s="1">
        <v>98330.6</v>
      </c>
      <c r="X997" s="1">
        <v>4.82</v>
      </c>
      <c r="Y997" s="1">
        <v>1604</v>
      </c>
      <c r="Z997" s="1">
        <v>424115.1</v>
      </c>
      <c r="AA997" s="1">
        <v>5.96</v>
      </c>
      <c r="AB997" s="1">
        <v>8000</v>
      </c>
    </row>
    <row r="998" spans="1:28" x14ac:dyDescent="0.4">
      <c r="A998" s="1" t="s">
        <v>126</v>
      </c>
      <c r="B998" s="1">
        <v>8000</v>
      </c>
      <c r="C998" s="1">
        <v>0.3</v>
      </c>
      <c r="D998" s="1">
        <v>0.5</v>
      </c>
      <c r="E998" s="1">
        <v>1000</v>
      </c>
      <c r="F998" s="1">
        <v>2</v>
      </c>
      <c r="G998" s="1">
        <v>2</v>
      </c>
      <c r="H998" s="1" t="s">
        <v>595</v>
      </c>
      <c r="I998" s="1">
        <v>447112</v>
      </c>
      <c r="J998" s="1">
        <v>171904</v>
      </c>
      <c r="K998" s="1">
        <v>275208</v>
      </c>
      <c r="L998" s="1">
        <v>2400</v>
      </c>
      <c r="M998" s="1">
        <v>4.2699999999999996</v>
      </c>
      <c r="N998" s="1">
        <v>123654.2</v>
      </c>
      <c r="O998" s="1">
        <v>202060</v>
      </c>
      <c r="P998" s="1">
        <v>325714.2</v>
      </c>
      <c r="Q998" s="1">
        <v>77986.8</v>
      </c>
      <c r="R998" s="1">
        <v>26482.6</v>
      </c>
      <c r="S998" s="1">
        <v>104469.4</v>
      </c>
      <c r="T998" s="1">
        <v>3.79</v>
      </c>
      <c r="U998" s="1">
        <v>0.44</v>
      </c>
      <c r="V998" s="1">
        <v>24821.5</v>
      </c>
      <c r="W998" s="1">
        <v>102808.3</v>
      </c>
      <c r="X998" s="1">
        <v>4.7</v>
      </c>
      <c r="Y998" s="1">
        <v>1670</v>
      </c>
      <c r="Z998" s="1">
        <v>428522.5</v>
      </c>
      <c r="AA998" s="1">
        <v>4.16</v>
      </c>
      <c r="AB998" s="1">
        <v>8000</v>
      </c>
    </row>
    <row r="999" spans="1:28" x14ac:dyDescent="0.4">
      <c r="A999" s="1" t="s">
        <v>127</v>
      </c>
      <c r="B999" s="1">
        <v>8000</v>
      </c>
      <c r="C999" s="1">
        <v>0.3</v>
      </c>
      <c r="D999" s="1">
        <v>0.5</v>
      </c>
      <c r="E999" s="1">
        <v>1000</v>
      </c>
      <c r="F999" s="1">
        <v>2</v>
      </c>
      <c r="G999" s="1">
        <v>3</v>
      </c>
      <c r="H999" s="1" t="s">
        <v>595</v>
      </c>
      <c r="I999" s="1">
        <v>447008.9</v>
      </c>
      <c r="J999" s="1">
        <v>167665.79999999999</v>
      </c>
      <c r="K999" s="1">
        <v>279343.09999999998</v>
      </c>
      <c r="L999" s="1">
        <v>2400</v>
      </c>
      <c r="M999" s="1">
        <v>4.33</v>
      </c>
      <c r="N999" s="1">
        <v>145098.4</v>
      </c>
      <c r="O999" s="1">
        <v>248227.3</v>
      </c>
      <c r="P999" s="1">
        <v>393325.7</v>
      </c>
      <c r="Q999" s="1">
        <v>25325.4</v>
      </c>
      <c r="R999" s="1">
        <v>9213.7000000000007</v>
      </c>
      <c r="S999" s="1">
        <v>34539.1</v>
      </c>
      <c r="T999" s="1">
        <v>4.28</v>
      </c>
      <c r="U999" s="1">
        <v>0.02</v>
      </c>
      <c r="V999" s="1">
        <v>8829.6</v>
      </c>
      <c r="W999" s="1">
        <v>34155</v>
      </c>
      <c r="X999" s="1">
        <v>4.3499999999999996</v>
      </c>
      <c r="Y999" s="1">
        <v>512</v>
      </c>
      <c r="Z999" s="1">
        <v>427480.7</v>
      </c>
      <c r="AA999" s="1">
        <v>4.37</v>
      </c>
      <c r="AB999" s="1">
        <v>8000</v>
      </c>
    </row>
    <row r="1000" spans="1:28" x14ac:dyDescent="0.4">
      <c r="A1000" s="1" t="s">
        <v>128</v>
      </c>
      <c r="B1000" s="1">
        <v>8000</v>
      </c>
      <c r="C1000" s="1">
        <v>0.3</v>
      </c>
      <c r="D1000" s="1">
        <v>0.5</v>
      </c>
      <c r="E1000" s="1">
        <v>1000</v>
      </c>
      <c r="F1000" s="1">
        <v>2</v>
      </c>
      <c r="G1000" s="1">
        <v>4</v>
      </c>
      <c r="H1000" s="1" t="s">
        <v>595</v>
      </c>
      <c r="I1000" s="1">
        <v>441673.7</v>
      </c>
      <c r="J1000" s="1">
        <v>172616.6</v>
      </c>
      <c r="K1000" s="1">
        <v>269057.09999999998</v>
      </c>
      <c r="L1000" s="1">
        <v>2400</v>
      </c>
      <c r="M1000" s="1">
        <v>3.96</v>
      </c>
      <c r="N1000" s="1">
        <v>135098.4</v>
      </c>
      <c r="O1000" s="1">
        <v>218027.6</v>
      </c>
      <c r="P1000" s="1">
        <v>353126</v>
      </c>
      <c r="Q1000" s="1">
        <v>47841.3</v>
      </c>
      <c r="R1000" s="1">
        <v>16270.9</v>
      </c>
      <c r="S1000" s="1">
        <v>64112.2</v>
      </c>
      <c r="T1000" s="1">
        <v>5.53</v>
      </c>
      <c r="U1000" s="1">
        <v>0.18</v>
      </c>
      <c r="V1000" s="1">
        <v>15349.2</v>
      </c>
      <c r="W1000" s="1">
        <v>63190.5</v>
      </c>
      <c r="X1000" s="1">
        <v>4.13</v>
      </c>
      <c r="Y1000" s="1">
        <v>994</v>
      </c>
      <c r="Z1000" s="1">
        <v>416316.5</v>
      </c>
      <c r="AA1000" s="1">
        <v>5.74</v>
      </c>
      <c r="AB1000" s="1">
        <v>8000</v>
      </c>
    </row>
    <row r="1001" spans="1:28" x14ac:dyDescent="0.4">
      <c r="A1001" s="1" t="s">
        <v>129</v>
      </c>
      <c r="B1001" s="1">
        <v>8000</v>
      </c>
      <c r="C1001" s="1">
        <v>0.3</v>
      </c>
      <c r="D1001" s="1">
        <v>0.5</v>
      </c>
      <c r="E1001" s="1">
        <v>1000</v>
      </c>
      <c r="F1001" s="1">
        <v>2</v>
      </c>
      <c r="G1001" s="1">
        <v>5</v>
      </c>
      <c r="H1001" s="1" t="s">
        <v>595</v>
      </c>
      <c r="I1001" s="1">
        <v>441622.8</v>
      </c>
      <c r="J1001" s="1">
        <v>175651.8</v>
      </c>
      <c r="K1001" s="1">
        <v>265971</v>
      </c>
      <c r="L1001" s="1">
        <v>2400</v>
      </c>
      <c r="M1001" s="1">
        <v>3.88</v>
      </c>
      <c r="N1001" s="1">
        <v>139808.6</v>
      </c>
      <c r="O1001" s="1">
        <v>222243.9</v>
      </c>
      <c r="P1001" s="1">
        <v>362052.5</v>
      </c>
      <c r="Q1001" s="1">
        <v>41972.6</v>
      </c>
      <c r="R1001" s="1">
        <v>14583</v>
      </c>
      <c r="S1001" s="1">
        <v>56555.6</v>
      </c>
      <c r="T1001" s="1">
        <v>5.21</v>
      </c>
      <c r="U1001" s="1">
        <v>0.13</v>
      </c>
      <c r="V1001" s="1">
        <v>13970.8</v>
      </c>
      <c r="W1001" s="1">
        <v>55943.4</v>
      </c>
      <c r="X1001" s="1">
        <v>4.01</v>
      </c>
      <c r="Y1001" s="1">
        <v>853</v>
      </c>
      <c r="Z1001" s="1">
        <v>417995.9</v>
      </c>
      <c r="AA1001" s="1">
        <v>5.35</v>
      </c>
      <c r="AB1001" s="1">
        <v>8000</v>
      </c>
    </row>
    <row r="1002" spans="1:28" x14ac:dyDescent="0.4">
      <c r="A1002" s="1" t="s">
        <v>130</v>
      </c>
      <c r="B1002" s="1">
        <v>8000</v>
      </c>
      <c r="C1002" s="1">
        <v>0.3</v>
      </c>
      <c r="D1002" s="1">
        <v>0.5</v>
      </c>
      <c r="E1002" s="1">
        <v>1000</v>
      </c>
      <c r="F1002" s="1">
        <v>3</v>
      </c>
      <c r="G1002" s="1">
        <v>1</v>
      </c>
      <c r="H1002" s="1" t="s">
        <v>595</v>
      </c>
      <c r="I1002" s="1">
        <v>601966.4</v>
      </c>
      <c r="J1002" s="1">
        <v>222890</v>
      </c>
      <c r="K1002" s="1">
        <v>379076.4</v>
      </c>
      <c r="L1002" s="1">
        <v>2400</v>
      </c>
      <c r="M1002" s="1">
        <v>5.74</v>
      </c>
      <c r="N1002" s="1">
        <v>152924</v>
      </c>
      <c r="O1002" s="1">
        <v>264637</v>
      </c>
      <c r="P1002" s="1">
        <v>417561</v>
      </c>
      <c r="Q1002" s="1">
        <v>105070.1</v>
      </c>
      <c r="R1002" s="1">
        <v>37587.4</v>
      </c>
      <c r="S1002" s="1">
        <v>142657.5</v>
      </c>
      <c r="T1002" s="1">
        <v>6.94</v>
      </c>
      <c r="U1002" s="1">
        <v>1.03</v>
      </c>
      <c r="V1002" s="1">
        <v>34939.199999999997</v>
      </c>
      <c r="W1002" s="1">
        <v>140009.29999999999</v>
      </c>
      <c r="X1002" s="1">
        <v>6.77</v>
      </c>
      <c r="Y1002" s="1">
        <v>2400</v>
      </c>
      <c r="Z1002" s="1">
        <v>557570.30000000005</v>
      </c>
      <c r="AA1002" s="1">
        <v>7.38</v>
      </c>
      <c r="AB1002" s="1">
        <v>8000</v>
      </c>
    </row>
    <row r="1003" spans="1:28" x14ac:dyDescent="0.4">
      <c r="A1003" s="1" t="s">
        <v>131</v>
      </c>
      <c r="B1003" s="1">
        <v>8000</v>
      </c>
      <c r="C1003" s="1">
        <v>0.3</v>
      </c>
      <c r="D1003" s="1">
        <v>0.5</v>
      </c>
      <c r="E1003" s="1">
        <v>1000</v>
      </c>
      <c r="F1003" s="1">
        <v>3</v>
      </c>
      <c r="G1003" s="1">
        <v>2</v>
      </c>
      <c r="H1003" s="1" t="s">
        <v>595</v>
      </c>
      <c r="I1003" s="1">
        <v>565282.6</v>
      </c>
      <c r="J1003" s="1">
        <v>215214.2</v>
      </c>
      <c r="K1003" s="1">
        <v>350068.4</v>
      </c>
      <c r="L1003" s="1">
        <v>2400</v>
      </c>
      <c r="M1003" s="1">
        <v>5.43</v>
      </c>
      <c r="N1003" s="1">
        <v>158084.9</v>
      </c>
      <c r="O1003" s="1">
        <v>260502.39999999999</v>
      </c>
      <c r="P1003" s="1">
        <v>418587.3</v>
      </c>
      <c r="Q1003" s="1">
        <v>83359.7</v>
      </c>
      <c r="R1003" s="1">
        <v>28747.5</v>
      </c>
      <c r="S1003" s="1">
        <v>112107.2</v>
      </c>
      <c r="T1003" s="1">
        <v>6.12</v>
      </c>
      <c r="U1003" s="1">
        <v>0.61</v>
      </c>
      <c r="V1003" s="1">
        <v>26317.599999999999</v>
      </c>
      <c r="W1003" s="1">
        <v>109677.3</v>
      </c>
      <c r="X1003" s="1">
        <v>6.04</v>
      </c>
      <c r="Y1003" s="1">
        <v>1903</v>
      </c>
      <c r="Z1003" s="1">
        <v>528264.6</v>
      </c>
      <c r="AA1003" s="1">
        <v>6.55</v>
      </c>
      <c r="AB1003" s="1">
        <v>8000</v>
      </c>
    </row>
    <row r="1004" spans="1:28" x14ac:dyDescent="0.4">
      <c r="A1004" s="1" t="s">
        <v>132</v>
      </c>
      <c r="B1004" s="1">
        <v>8000</v>
      </c>
      <c r="C1004" s="1">
        <v>0.3</v>
      </c>
      <c r="D1004" s="1">
        <v>0.5</v>
      </c>
      <c r="E1004" s="1">
        <v>1000</v>
      </c>
      <c r="F1004" s="1">
        <v>3</v>
      </c>
      <c r="G1004" s="1">
        <v>3</v>
      </c>
      <c r="H1004" s="1" t="s">
        <v>595</v>
      </c>
      <c r="I1004" s="1">
        <v>586619.6</v>
      </c>
      <c r="J1004" s="1">
        <v>224384.6</v>
      </c>
      <c r="K1004" s="1">
        <v>362235</v>
      </c>
      <c r="L1004" s="1">
        <v>2400</v>
      </c>
      <c r="M1004" s="1">
        <v>4.67</v>
      </c>
      <c r="N1004" s="1">
        <v>151452.29999999999</v>
      </c>
      <c r="O1004" s="1">
        <v>248050.9</v>
      </c>
      <c r="P1004" s="1">
        <v>399503.2</v>
      </c>
      <c r="Q1004" s="1">
        <v>105466.2</v>
      </c>
      <c r="R1004" s="1">
        <v>36173</v>
      </c>
      <c r="S1004" s="1">
        <v>141639.20000000001</v>
      </c>
      <c r="T1004" s="1">
        <v>7.75</v>
      </c>
      <c r="U1004" s="1">
        <v>0.87</v>
      </c>
      <c r="V1004" s="1">
        <v>34113.9</v>
      </c>
      <c r="W1004" s="1">
        <v>139580.1</v>
      </c>
      <c r="X1004" s="1">
        <v>5.53</v>
      </c>
      <c r="Y1004" s="1">
        <v>2400</v>
      </c>
      <c r="Z1004" s="1">
        <v>539083.30000000005</v>
      </c>
      <c r="AA1004" s="1">
        <v>8.1</v>
      </c>
      <c r="AB1004" s="1">
        <v>8000</v>
      </c>
    </row>
    <row r="1005" spans="1:28" x14ac:dyDescent="0.4">
      <c r="A1005" s="1" t="s">
        <v>133</v>
      </c>
      <c r="B1005" s="1">
        <v>8000</v>
      </c>
      <c r="C1005" s="1">
        <v>0.3</v>
      </c>
      <c r="D1005" s="1">
        <v>0.5</v>
      </c>
      <c r="E1005" s="1">
        <v>1000</v>
      </c>
      <c r="F1005" s="1">
        <v>3</v>
      </c>
      <c r="G1005" s="1">
        <v>4</v>
      </c>
      <c r="H1005" s="1" t="s">
        <v>595</v>
      </c>
      <c r="I1005" s="1">
        <v>588648.9</v>
      </c>
      <c r="J1005" s="1">
        <v>222740.3</v>
      </c>
      <c r="K1005" s="1">
        <v>365908.6</v>
      </c>
      <c r="L1005" s="1">
        <v>2400</v>
      </c>
      <c r="M1005" s="1">
        <v>5.36</v>
      </c>
      <c r="N1005" s="1">
        <v>152526.29999999999</v>
      </c>
      <c r="O1005" s="1">
        <v>264976.90000000002</v>
      </c>
      <c r="P1005" s="1">
        <v>417503.2</v>
      </c>
      <c r="Q1005" s="1">
        <v>100782.39999999999</v>
      </c>
      <c r="R1005" s="1">
        <v>36174</v>
      </c>
      <c r="S1005" s="1">
        <v>136956.4</v>
      </c>
      <c r="T1005" s="1">
        <v>5.81</v>
      </c>
      <c r="U1005" s="1">
        <v>1</v>
      </c>
      <c r="V1005" s="1">
        <v>33516</v>
      </c>
      <c r="W1005" s="1">
        <v>134298.4</v>
      </c>
      <c r="X1005" s="1">
        <v>6.36</v>
      </c>
      <c r="Y1005" s="1">
        <v>2370</v>
      </c>
      <c r="Z1005" s="1">
        <v>551801.59999999998</v>
      </c>
      <c r="AA1005" s="1">
        <v>6.26</v>
      </c>
      <c r="AB1005" s="1">
        <v>8000</v>
      </c>
    </row>
    <row r="1006" spans="1:28" x14ac:dyDescent="0.4">
      <c r="A1006" s="1" t="s">
        <v>134</v>
      </c>
      <c r="B1006" s="1">
        <v>8000</v>
      </c>
      <c r="C1006" s="1">
        <v>0.3</v>
      </c>
      <c r="D1006" s="1">
        <v>0.5</v>
      </c>
      <c r="E1006" s="1">
        <v>1000</v>
      </c>
      <c r="F1006" s="1">
        <v>3</v>
      </c>
      <c r="G1006" s="1">
        <v>5</v>
      </c>
      <c r="H1006" s="1" t="s">
        <v>595</v>
      </c>
      <c r="I1006" s="1">
        <v>594008.5</v>
      </c>
      <c r="J1006" s="1">
        <v>227482.3</v>
      </c>
      <c r="K1006" s="1">
        <v>366526.2</v>
      </c>
      <c r="L1006" s="1">
        <v>2400</v>
      </c>
      <c r="M1006" s="1">
        <v>5.3</v>
      </c>
      <c r="N1006" s="1">
        <v>152801.20000000001</v>
      </c>
      <c r="O1006" s="1">
        <v>256985.60000000001</v>
      </c>
      <c r="P1006" s="1">
        <v>409786.8</v>
      </c>
      <c r="Q1006" s="1">
        <v>104189.6</v>
      </c>
      <c r="R1006" s="1">
        <v>35262.9</v>
      </c>
      <c r="S1006" s="1">
        <v>139452.5</v>
      </c>
      <c r="T1006" s="1">
        <v>7.54</v>
      </c>
      <c r="U1006" s="1">
        <v>0.9</v>
      </c>
      <c r="V1006" s="1">
        <v>33322.5</v>
      </c>
      <c r="W1006" s="1">
        <v>137512.1</v>
      </c>
      <c r="X1006" s="1">
        <v>6.19</v>
      </c>
      <c r="Y1006" s="1">
        <v>2382</v>
      </c>
      <c r="Z1006" s="1">
        <v>547298.9</v>
      </c>
      <c r="AA1006" s="1">
        <v>7.86</v>
      </c>
      <c r="AB1006" s="1">
        <v>8000</v>
      </c>
    </row>
    <row r="1007" spans="1:28" x14ac:dyDescent="0.4">
      <c r="A1007" s="1" t="s">
        <v>497</v>
      </c>
      <c r="B1007" s="1">
        <v>8000</v>
      </c>
      <c r="C1007" s="1">
        <v>0.3</v>
      </c>
      <c r="D1007" s="1">
        <v>0.5</v>
      </c>
      <c r="E1007" s="1">
        <v>2000</v>
      </c>
      <c r="F1007" s="1">
        <v>1</v>
      </c>
      <c r="G1007" s="1">
        <v>1</v>
      </c>
      <c r="H1007" s="1" t="s">
        <v>595</v>
      </c>
      <c r="I1007" s="1">
        <v>568393.69999999995</v>
      </c>
      <c r="J1007" s="1">
        <v>226327.4</v>
      </c>
      <c r="K1007" s="1">
        <v>342066.3</v>
      </c>
      <c r="L1007" s="1">
        <v>2400</v>
      </c>
      <c r="M1007" s="1">
        <v>3.64</v>
      </c>
      <c r="N1007" s="1">
        <v>156554.70000000001</v>
      </c>
      <c r="O1007" s="1">
        <v>242392.4</v>
      </c>
      <c r="P1007" s="1">
        <v>398947.1</v>
      </c>
      <c r="Q1007" s="1">
        <v>82655.5</v>
      </c>
      <c r="R1007" s="1">
        <v>27639.1</v>
      </c>
      <c r="S1007" s="1">
        <v>110294.6</v>
      </c>
      <c r="T1007" s="1">
        <v>10.41</v>
      </c>
      <c r="U1007" s="1">
        <v>0.49</v>
      </c>
      <c r="V1007" s="1">
        <v>26253.7</v>
      </c>
      <c r="W1007" s="1">
        <v>108909.2</v>
      </c>
      <c r="X1007" s="1">
        <v>4.12</v>
      </c>
      <c r="Y1007" s="1">
        <v>1796</v>
      </c>
      <c r="Z1007" s="1">
        <v>507856.3</v>
      </c>
      <c r="AA1007" s="1">
        <v>10.65</v>
      </c>
      <c r="AB1007" s="1">
        <v>8000</v>
      </c>
    </row>
    <row r="1008" spans="1:28" x14ac:dyDescent="0.4">
      <c r="A1008" s="1" t="s">
        <v>498</v>
      </c>
      <c r="B1008" s="1">
        <v>8000</v>
      </c>
      <c r="C1008" s="1">
        <v>0.3</v>
      </c>
      <c r="D1008" s="1">
        <v>0.5</v>
      </c>
      <c r="E1008" s="1">
        <v>2000</v>
      </c>
      <c r="F1008" s="1">
        <v>1</v>
      </c>
      <c r="G1008" s="1">
        <v>2</v>
      </c>
      <c r="H1008" s="1" t="s">
        <v>595</v>
      </c>
      <c r="I1008" s="1">
        <v>563271</v>
      </c>
      <c r="J1008" s="1">
        <v>221108.7</v>
      </c>
      <c r="K1008" s="1">
        <v>342162.3</v>
      </c>
      <c r="L1008" s="1">
        <v>2400</v>
      </c>
      <c r="M1008" s="1">
        <v>3.48</v>
      </c>
      <c r="N1008" s="1">
        <v>142494.9</v>
      </c>
      <c r="O1008" s="1">
        <v>229804.79999999999</v>
      </c>
      <c r="P1008" s="1">
        <v>372299.7</v>
      </c>
      <c r="Q1008" s="1">
        <v>99310.6</v>
      </c>
      <c r="R1008" s="1">
        <v>29907</v>
      </c>
      <c r="S1008" s="1">
        <v>129217.60000000001</v>
      </c>
      <c r="T1008" s="1">
        <v>10.96</v>
      </c>
      <c r="U1008" s="1">
        <v>0.64</v>
      </c>
      <c r="V1008" s="1">
        <v>28062.400000000001</v>
      </c>
      <c r="W1008" s="1">
        <v>127373</v>
      </c>
      <c r="X1008" s="1">
        <v>4.1100000000000003</v>
      </c>
      <c r="Y1008" s="1">
        <v>2160</v>
      </c>
      <c r="Z1008" s="1">
        <v>499672.7</v>
      </c>
      <c r="AA1008" s="1">
        <v>11.29</v>
      </c>
      <c r="AB1008" s="1">
        <v>8000</v>
      </c>
    </row>
    <row r="1009" spans="1:28" x14ac:dyDescent="0.4">
      <c r="A1009" s="1" t="s">
        <v>499</v>
      </c>
      <c r="B1009" s="1">
        <v>8000</v>
      </c>
      <c r="C1009" s="1">
        <v>0.3</v>
      </c>
      <c r="D1009" s="1">
        <v>0.5</v>
      </c>
      <c r="E1009" s="1">
        <v>2000</v>
      </c>
      <c r="F1009" s="1">
        <v>1</v>
      </c>
      <c r="G1009" s="1">
        <v>3</v>
      </c>
      <c r="H1009" s="1" t="s">
        <v>595</v>
      </c>
      <c r="I1009" s="1">
        <v>563771</v>
      </c>
      <c r="J1009" s="1">
        <v>216097</v>
      </c>
      <c r="K1009" s="1">
        <v>347674</v>
      </c>
      <c r="L1009" s="1">
        <v>2400</v>
      </c>
      <c r="M1009" s="1">
        <v>3.09</v>
      </c>
      <c r="N1009" s="1">
        <v>144698.6</v>
      </c>
      <c r="O1009" s="1">
        <v>239731.1</v>
      </c>
      <c r="P1009" s="1">
        <v>384429.7</v>
      </c>
      <c r="Q1009" s="1">
        <v>88000.2</v>
      </c>
      <c r="R1009" s="1">
        <v>28512.1</v>
      </c>
      <c r="S1009" s="1">
        <v>116512.3</v>
      </c>
      <c r="T1009" s="1">
        <v>11.14</v>
      </c>
      <c r="U1009" s="1">
        <v>0.55000000000000004</v>
      </c>
      <c r="V1009" s="1">
        <v>26994.1</v>
      </c>
      <c r="W1009" s="1">
        <v>114994.3</v>
      </c>
      <c r="X1009" s="1">
        <v>3.64</v>
      </c>
      <c r="Y1009" s="1">
        <v>1921</v>
      </c>
      <c r="Z1009" s="1">
        <v>499424</v>
      </c>
      <c r="AA1009" s="1">
        <v>11.41</v>
      </c>
      <c r="AB1009" s="1">
        <v>8000</v>
      </c>
    </row>
    <row r="1010" spans="1:28" x14ac:dyDescent="0.4">
      <c r="A1010" s="1" t="s">
        <v>500</v>
      </c>
      <c r="B1010" s="1">
        <v>8000</v>
      </c>
      <c r="C1010" s="1">
        <v>0.3</v>
      </c>
      <c r="D1010" s="1">
        <v>0.5</v>
      </c>
      <c r="E1010" s="1">
        <v>2000</v>
      </c>
      <c r="F1010" s="1">
        <v>1</v>
      </c>
      <c r="G1010" s="1">
        <v>4</v>
      </c>
      <c r="H1010" s="1" t="s">
        <v>595</v>
      </c>
      <c r="I1010" s="1">
        <v>563641.4</v>
      </c>
      <c r="J1010" s="1">
        <v>223729.6</v>
      </c>
      <c r="K1010" s="1">
        <v>339911.8</v>
      </c>
      <c r="L1010" s="1">
        <v>2400</v>
      </c>
      <c r="M1010" s="1">
        <v>3.43</v>
      </c>
      <c r="N1010" s="1">
        <v>139110</v>
      </c>
      <c r="O1010" s="1">
        <v>217978.2</v>
      </c>
      <c r="P1010" s="1">
        <v>357088.2</v>
      </c>
      <c r="Q1010" s="1">
        <v>105880.8</v>
      </c>
      <c r="R1010" s="1">
        <v>31846.3</v>
      </c>
      <c r="S1010" s="1">
        <v>137727.1</v>
      </c>
      <c r="T1010" s="1">
        <v>12.21</v>
      </c>
      <c r="U1010" s="1">
        <v>0.71</v>
      </c>
      <c r="V1010" s="1">
        <v>29665.4</v>
      </c>
      <c r="W1010" s="1">
        <v>135546.20000000001</v>
      </c>
      <c r="X1010" s="1">
        <v>4.1500000000000004</v>
      </c>
      <c r="Y1010" s="1">
        <v>2388</v>
      </c>
      <c r="Z1010" s="1">
        <v>492634.4</v>
      </c>
      <c r="AA1010" s="1">
        <v>12.6</v>
      </c>
      <c r="AB1010" s="1">
        <v>8000</v>
      </c>
    </row>
    <row r="1011" spans="1:28" x14ac:dyDescent="0.4">
      <c r="A1011" s="1" t="s">
        <v>501</v>
      </c>
      <c r="B1011" s="1">
        <v>8000</v>
      </c>
      <c r="C1011" s="1">
        <v>0.3</v>
      </c>
      <c r="D1011" s="1">
        <v>0.5</v>
      </c>
      <c r="E1011" s="1">
        <v>2000</v>
      </c>
      <c r="F1011" s="1">
        <v>1</v>
      </c>
      <c r="G1011" s="1">
        <v>5</v>
      </c>
      <c r="H1011" s="1" t="s">
        <v>595</v>
      </c>
      <c r="I1011" s="1">
        <v>569884.69999999995</v>
      </c>
      <c r="J1011" s="1">
        <v>222990.1</v>
      </c>
      <c r="K1011" s="1">
        <v>346894.6</v>
      </c>
      <c r="L1011" s="1">
        <v>2400</v>
      </c>
      <c r="M1011" s="1">
        <v>3.44</v>
      </c>
      <c r="N1011" s="1">
        <v>148456.70000000001</v>
      </c>
      <c r="O1011" s="1">
        <v>243516.79999999999</v>
      </c>
      <c r="P1011" s="1">
        <v>391973.5</v>
      </c>
      <c r="Q1011" s="1">
        <v>82716</v>
      </c>
      <c r="R1011" s="1">
        <v>27501.5</v>
      </c>
      <c r="S1011" s="1">
        <v>110217.5</v>
      </c>
      <c r="T1011" s="1">
        <v>11.88</v>
      </c>
      <c r="U1011" s="1">
        <v>0.52</v>
      </c>
      <c r="V1011" s="1">
        <v>25888.7</v>
      </c>
      <c r="W1011" s="1">
        <v>108604.7</v>
      </c>
      <c r="X1011" s="1">
        <v>3.95</v>
      </c>
      <c r="Y1011" s="1">
        <v>1800</v>
      </c>
      <c r="Z1011" s="1">
        <v>500578.2</v>
      </c>
      <c r="AA1011" s="1">
        <v>12.16</v>
      </c>
      <c r="AB1011" s="1">
        <v>8000</v>
      </c>
    </row>
    <row r="1012" spans="1:28" x14ac:dyDescent="0.4">
      <c r="A1012" s="1" t="s">
        <v>502</v>
      </c>
      <c r="B1012" s="1">
        <v>8000</v>
      </c>
      <c r="C1012" s="1">
        <v>0.3</v>
      </c>
      <c r="D1012" s="1">
        <v>0.5</v>
      </c>
      <c r="E1012" s="1">
        <v>2000</v>
      </c>
      <c r="F1012" s="1">
        <v>2</v>
      </c>
      <c r="G1012" s="1">
        <v>1</v>
      </c>
      <c r="H1012" s="1" t="s">
        <v>595</v>
      </c>
      <c r="I1012" s="1">
        <v>889423.3</v>
      </c>
      <c r="J1012" s="1">
        <v>336772</v>
      </c>
      <c r="K1012" s="1">
        <v>552651.30000000005</v>
      </c>
      <c r="L1012" s="1">
        <v>2400</v>
      </c>
      <c r="M1012" s="1">
        <v>6.98</v>
      </c>
      <c r="N1012" s="1">
        <v>231431.9</v>
      </c>
      <c r="O1012" s="1">
        <v>388549.2</v>
      </c>
      <c r="P1012" s="1">
        <v>619981.1</v>
      </c>
      <c r="Q1012" s="1">
        <v>105351.1</v>
      </c>
      <c r="R1012" s="1">
        <v>38481.300000000003</v>
      </c>
      <c r="S1012" s="1">
        <v>143832.4</v>
      </c>
      <c r="T1012" s="1">
        <v>14.12</v>
      </c>
      <c r="U1012" s="1">
        <v>1.1000000000000001</v>
      </c>
      <c r="V1012" s="1">
        <v>35818.800000000003</v>
      </c>
      <c r="W1012" s="1">
        <v>141169.9</v>
      </c>
      <c r="X1012" s="1">
        <v>8.08</v>
      </c>
      <c r="Y1012" s="1">
        <v>2400</v>
      </c>
      <c r="Z1012" s="1">
        <v>761151</v>
      </c>
      <c r="AA1012" s="1">
        <v>14.42</v>
      </c>
      <c r="AB1012" s="1">
        <v>8000</v>
      </c>
    </row>
    <row r="1013" spans="1:28" x14ac:dyDescent="0.4">
      <c r="A1013" s="1" t="s">
        <v>503</v>
      </c>
      <c r="B1013" s="1">
        <v>8000</v>
      </c>
      <c r="C1013" s="1">
        <v>0.3</v>
      </c>
      <c r="D1013" s="1">
        <v>0.5</v>
      </c>
      <c r="E1013" s="1">
        <v>2000</v>
      </c>
      <c r="F1013" s="1">
        <v>2</v>
      </c>
      <c r="G1013" s="1">
        <v>2</v>
      </c>
      <c r="H1013" s="1" t="s">
        <v>595</v>
      </c>
      <c r="I1013" s="1">
        <v>876499.4</v>
      </c>
      <c r="J1013" s="1">
        <v>335114.40000000002</v>
      </c>
      <c r="K1013" s="1">
        <v>541385</v>
      </c>
      <c r="L1013" s="1">
        <v>2400</v>
      </c>
      <c r="M1013" s="1">
        <v>6.79</v>
      </c>
      <c r="N1013" s="1">
        <v>230296.4</v>
      </c>
      <c r="O1013" s="1">
        <v>380539.2</v>
      </c>
      <c r="P1013" s="1">
        <v>610835.6</v>
      </c>
      <c r="Q1013" s="1">
        <v>103380.6</v>
      </c>
      <c r="R1013" s="1">
        <v>37783.4</v>
      </c>
      <c r="S1013" s="1">
        <v>141164</v>
      </c>
      <c r="T1013" s="1">
        <v>14.2</v>
      </c>
      <c r="U1013" s="1">
        <v>1.1599999999999999</v>
      </c>
      <c r="V1013" s="1">
        <v>35097.5</v>
      </c>
      <c r="W1013" s="1">
        <v>138478.1</v>
      </c>
      <c r="X1013" s="1">
        <v>7.95</v>
      </c>
      <c r="Y1013" s="1">
        <v>2399</v>
      </c>
      <c r="Z1013" s="1">
        <v>749313.7</v>
      </c>
      <c r="AA1013" s="1">
        <v>14.51</v>
      </c>
      <c r="AB1013" s="1">
        <v>8000</v>
      </c>
    </row>
    <row r="1014" spans="1:28" x14ac:dyDescent="0.4">
      <c r="A1014" s="1" t="s">
        <v>504</v>
      </c>
      <c r="B1014" s="1">
        <v>8000</v>
      </c>
      <c r="C1014" s="1">
        <v>0.3</v>
      </c>
      <c r="D1014" s="1">
        <v>0.5</v>
      </c>
      <c r="E1014" s="1">
        <v>2000</v>
      </c>
      <c r="F1014" s="1">
        <v>2</v>
      </c>
      <c r="G1014" s="1">
        <v>3</v>
      </c>
      <c r="H1014" s="1" t="s">
        <v>595</v>
      </c>
      <c r="I1014" s="1">
        <v>929101.5</v>
      </c>
      <c r="J1014" s="1">
        <v>344356.1</v>
      </c>
      <c r="K1014" s="1">
        <v>584745.4</v>
      </c>
      <c r="L1014" s="1">
        <v>2400</v>
      </c>
      <c r="M1014" s="1">
        <v>7.26</v>
      </c>
      <c r="N1014" s="1">
        <v>232835.8</v>
      </c>
      <c r="O1014" s="1">
        <v>406805.5</v>
      </c>
      <c r="P1014" s="1">
        <v>639641.30000000005</v>
      </c>
      <c r="Q1014" s="1">
        <v>106713.60000000001</v>
      </c>
      <c r="R1014" s="1">
        <v>39300.699999999997</v>
      </c>
      <c r="S1014" s="1">
        <v>146014.29999999999</v>
      </c>
      <c r="T1014" s="1">
        <v>15.44</v>
      </c>
      <c r="U1014" s="1">
        <v>1.1499999999999999</v>
      </c>
      <c r="V1014" s="1">
        <v>36696.699999999997</v>
      </c>
      <c r="W1014" s="1">
        <v>143410.29999999999</v>
      </c>
      <c r="X1014" s="1">
        <v>8.41</v>
      </c>
      <c r="Y1014" s="1">
        <v>2400</v>
      </c>
      <c r="Z1014" s="1">
        <v>783051.6</v>
      </c>
      <c r="AA1014" s="1">
        <v>15.72</v>
      </c>
      <c r="AB1014" s="1">
        <v>8000</v>
      </c>
    </row>
    <row r="1015" spans="1:28" x14ac:dyDescent="0.4">
      <c r="A1015" s="1" t="s">
        <v>505</v>
      </c>
      <c r="B1015" s="1">
        <v>8000</v>
      </c>
      <c r="C1015" s="1">
        <v>0.3</v>
      </c>
      <c r="D1015" s="1">
        <v>0.5</v>
      </c>
      <c r="E1015" s="1">
        <v>2000</v>
      </c>
      <c r="F1015" s="1">
        <v>2</v>
      </c>
      <c r="G1015" s="1">
        <v>4</v>
      </c>
      <c r="H1015" s="1" t="s">
        <v>595</v>
      </c>
      <c r="I1015" s="1">
        <v>919221.2</v>
      </c>
      <c r="J1015" s="1">
        <v>344486.5</v>
      </c>
      <c r="K1015" s="1">
        <v>574734.69999999995</v>
      </c>
      <c r="L1015" s="1">
        <v>2400</v>
      </c>
      <c r="M1015" s="1">
        <v>7.42</v>
      </c>
      <c r="N1015" s="1">
        <v>231383.6</v>
      </c>
      <c r="O1015" s="1">
        <v>398394.9</v>
      </c>
      <c r="P1015" s="1">
        <v>629778.5</v>
      </c>
      <c r="Q1015" s="1">
        <v>106424</v>
      </c>
      <c r="R1015" s="1">
        <v>38638</v>
      </c>
      <c r="S1015" s="1">
        <v>145062</v>
      </c>
      <c r="T1015" s="1">
        <v>15.71</v>
      </c>
      <c r="U1015" s="1">
        <v>1.1000000000000001</v>
      </c>
      <c r="V1015" s="1">
        <v>36203.699999999997</v>
      </c>
      <c r="W1015" s="1">
        <v>142627.70000000001</v>
      </c>
      <c r="X1015" s="1">
        <v>8.51</v>
      </c>
      <c r="Y1015" s="1">
        <v>2399</v>
      </c>
      <c r="Z1015" s="1">
        <v>772406.2</v>
      </c>
      <c r="AA1015" s="1">
        <v>15.97</v>
      </c>
      <c r="AB1015" s="1">
        <v>8000</v>
      </c>
    </row>
    <row r="1016" spans="1:28" x14ac:dyDescent="0.4">
      <c r="A1016" s="1" t="s">
        <v>506</v>
      </c>
      <c r="B1016" s="1">
        <v>8000</v>
      </c>
      <c r="C1016" s="1">
        <v>0.3</v>
      </c>
      <c r="D1016" s="1">
        <v>0.5</v>
      </c>
      <c r="E1016" s="1">
        <v>2000</v>
      </c>
      <c r="F1016" s="1">
        <v>2</v>
      </c>
      <c r="G1016" s="1">
        <v>5</v>
      </c>
      <c r="H1016" s="1" t="s">
        <v>595</v>
      </c>
      <c r="I1016" s="1">
        <v>908955</v>
      </c>
      <c r="J1016" s="1">
        <v>343497.3</v>
      </c>
      <c r="K1016" s="1">
        <v>565457.69999999995</v>
      </c>
      <c r="L1016" s="1">
        <v>2400</v>
      </c>
      <c r="M1016" s="1">
        <v>7.12</v>
      </c>
      <c r="N1016" s="1">
        <v>236948.1</v>
      </c>
      <c r="O1016" s="1">
        <v>396624.8</v>
      </c>
      <c r="P1016" s="1">
        <v>633572.9</v>
      </c>
      <c r="Q1016" s="1">
        <v>105064.9</v>
      </c>
      <c r="R1016" s="1">
        <v>38907.5</v>
      </c>
      <c r="S1016" s="1">
        <v>143972.4</v>
      </c>
      <c r="T1016" s="1">
        <v>14.46</v>
      </c>
      <c r="U1016" s="1">
        <v>1.07</v>
      </c>
      <c r="V1016" s="1">
        <v>36428</v>
      </c>
      <c r="W1016" s="1">
        <v>141492.9</v>
      </c>
      <c r="X1016" s="1">
        <v>8.19</v>
      </c>
      <c r="Y1016" s="1">
        <v>2400</v>
      </c>
      <c r="Z1016" s="1">
        <v>775065.8</v>
      </c>
      <c r="AA1016" s="1">
        <v>14.73</v>
      </c>
      <c r="AB1016" s="1">
        <v>8000</v>
      </c>
    </row>
    <row r="1017" spans="1:28" x14ac:dyDescent="0.4">
      <c r="A1017" s="1" t="s">
        <v>507</v>
      </c>
      <c r="B1017" s="1">
        <v>8000</v>
      </c>
      <c r="C1017" s="1">
        <v>0.3</v>
      </c>
      <c r="D1017" s="1">
        <v>0.5</v>
      </c>
      <c r="E1017" s="1">
        <v>2000</v>
      </c>
      <c r="F1017" s="1">
        <v>3</v>
      </c>
      <c r="G1017" s="1">
        <v>1</v>
      </c>
      <c r="H1017" s="1" t="s">
        <v>595</v>
      </c>
      <c r="I1017" s="1">
        <v>1143126.3999999999</v>
      </c>
      <c r="J1017" s="1">
        <v>438006.9</v>
      </c>
      <c r="K1017" s="1">
        <v>705119.5</v>
      </c>
      <c r="L1017" s="1">
        <v>2400</v>
      </c>
      <c r="M1017" s="1">
        <v>9.27</v>
      </c>
      <c r="N1017" s="1">
        <v>312208.90000000002</v>
      </c>
      <c r="O1017" s="1">
        <v>520384.9</v>
      </c>
      <c r="P1017" s="1">
        <v>832593.8</v>
      </c>
      <c r="Q1017" s="1">
        <v>102963.3</v>
      </c>
      <c r="R1017" s="1">
        <v>40628.6</v>
      </c>
      <c r="S1017" s="1">
        <v>143591.9</v>
      </c>
      <c r="T1017" s="1">
        <v>14.6</v>
      </c>
      <c r="U1017" s="1">
        <v>1.35</v>
      </c>
      <c r="V1017" s="1">
        <v>38075.4</v>
      </c>
      <c r="W1017" s="1">
        <v>141038.70000000001</v>
      </c>
      <c r="X1017" s="1">
        <v>10.62</v>
      </c>
      <c r="Y1017" s="1">
        <v>2400</v>
      </c>
      <c r="Z1017" s="1">
        <v>973632.5</v>
      </c>
      <c r="AA1017" s="1">
        <v>14.83</v>
      </c>
      <c r="AB1017" s="1">
        <v>8000</v>
      </c>
    </row>
    <row r="1018" spans="1:28" x14ac:dyDescent="0.4">
      <c r="A1018" s="1" t="s">
        <v>508</v>
      </c>
      <c r="B1018" s="1">
        <v>8000</v>
      </c>
      <c r="C1018" s="1">
        <v>0.3</v>
      </c>
      <c r="D1018" s="1">
        <v>0.5</v>
      </c>
      <c r="E1018" s="1">
        <v>2000</v>
      </c>
      <c r="F1018" s="1">
        <v>3</v>
      </c>
      <c r="G1018" s="1">
        <v>2</v>
      </c>
      <c r="H1018" s="1" t="s">
        <v>595</v>
      </c>
      <c r="I1018" s="1">
        <v>1172864.3999999999</v>
      </c>
      <c r="J1018" s="1">
        <v>437807.1</v>
      </c>
      <c r="K1018" s="1">
        <v>735057.3</v>
      </c>
      <c r="L1018" s="1">
        <v>2400</v>
      </c>
      <c r="M1018" s="1">
        <v>10</v>
      </c>
      <c r="N1018" s="1">
        <v>313003.40000000002</v>
      </c>
      <c r="O1018" s="1">
        <v>544279.80000000005</v>
      </c>
      <c r="P1018" s="1">
        <v>857283.2</v>
      </c>
      <c r="Q1018" s="1">
        <v>103056.8</v>
      </c>
      <c r="R1018" s="1">
        <v>40527</v>
      </c>
      <c r="S1018" s="1">
        <v>143583.79999999999</v>
      </c>
      <c r="T1018" s="1">
        <v>14.66</v>
      </c>
      <c r="U1018" s="1">
        <v>1.37</v>
      </c>
      <c r="V1018" s="1">
        <v>37345.1</v>
      </c>
      <c r="W1018" s="1">
        <v>140401.9</v>
      </c>
      <c r="X1018" s="1">
        <v>11.37</v>
      </c>
      <c r="Y1018" s="1">
        <v>2393</v>
      </c>
      <c r="Z1018" s="1">
        <v>997685.1</v>
      </c>
      <c r="AA1018" s="1">
        <v>14.94</v>
      </c>
      <c r="AB1018" s="1">
        <v>8000</v>
      </c>
    </row>
    <row r="1019" spans="1:28" x14ac:dyDescent="0.4">
      <c r="A1019" s="1" t="s">
        <v>509</v>
      </c>
      <c r="B1019" s="1">
        <v>8000</v>
      </c>
      <c r="C1019" s="1">
        <v>0.3</v>
      </c>
      <c r="D1019" s="1">
        <v>0.5</v>
      </c>
      <c r="E1019" s="1">
        <v>2000</v>
      </c>
      <c r="F1019" s="1">
        <v>3</v>
      </c>
      <c r="G1019" s="1">
        <v>3</v>
      </c>
      <c r="H1019" s="1" t="s">
        <v>595</v>
      </c>
      <c r="I1019" s="1">
        <v>1164182</v>
      </c>
      <c r="J1019" s="1">
        <v>438255.1</v>
      </c>
      <c r="K1019" s="1">
        <v>725926.9</v>
      </c>
      <c r="L1019" s="1">
        <v>2400</v>
      </c>
      <c r="M1019" s="1">
        <v>10.17</v>
      </c>
      <c r="N1019" s="1">
        <v>313217.2</v>
      </c>
      <c r="O1019" s="1">
        <v>540971.30000000005</v>
      </c>
      <c r="P1019" s="1">
        <v>854188.5</v>
      </c>
      <c r="Q1019" s="1">
        <v>103330.4</v>
      </c>
      <c r="R1019" s="1">
        <v>40004.9</v>
      </c>
      <c r="S1019" s="1">
        <v>143335.29999999999</v>
      </c>
      <c r="T1019" s="1">
        <v>14.32</v>
      </c>
      <c r="U1019" s="1">
        <v>1.25</v>
      </c>
      <c r="V1019" s="1">
        <v>37595.699999999997</v>
      </c>
      <c r="W1019" s="1">
        <v>140926.1</v>
      </c>
      <c r="X1019" s="1">
        <v>11.42</v>
      </c>
      <c r="Y1019" s="1">
        <v>2398</v>
      </c>
      <c r="Z1019" s="1">
        <v>995114.6</v>
      </c>
      <c r="AA1019" s="1">
        <v>14.52</v>
      </c>
      <c r="AB1019" s="1">
        <v>8000</v>
      </c>
    </row>
    <row r="1020" spans="1:28" x14ac:dyDescent="0.4">
      <c r="A1020" s="1" t="s">
        <v>510</v>
      </c>
      <c r="B1020" s="1">
        <v>8000</v>
      </c>
      <c r="C1020" s="1">
        <v>0.3</v>
      </c>
      <c r="D1020" s="1">
        <v>0.5</v>
      </c>
      <c r="E1020" s="1">
        <v>2000</v>
      </c>
      <c r="F1020" s="1">
        <v>3</v>
      </c>
      <c r="G1020" s="1">
        <v>4</v>
      </c>
      <c r="H1020" s="1" t="s">
        <v>595</v>
      </c>
      <c r="I1020" s="1">
        <v>1185376.8</v>
      </c>
      <c r="J1020" s="1">
        <v>453914.9</v>
      </c>
      <c r="K1020" s="1">
        <v>731461.9</v>
      </c>
      <c r="L1020" s="1">
        <v>2400</v>
      </c>
      <c r="M1020" s="1">
        <v>9.1</v>
      </c>
      <c r="N1020" s="1">
        <v>323439.90000000002</v>
      </c>
      <c r="O1020" s="1">
        <v>544161</v>
      </c>
      <c r="P1020" s="1">
        <v>867600.9</v>
      </c>
      <c r="Q1020" s="1">
        <v>101807.6</v>
      </c>
      <c r="R1020" s="1">
        <v>40878.199999999997</v>
      </c>
      <c r="S1020" s="1">
        <v>142685.79999999999</v>
      </c>
      <c r="T1020" s="1">
        <v>14.77</v>
      </c>
      <c r="U1020" s="1">
        <v>1.3</v>
      </c>
      <c r="V1020" s="1">
        <v>38289</v>
      </c>
      <c r="W1020" s="1">
        <v>140096.6</v>
      </c>
      <c r="X1020" s="1">
        <v>10.4</v>
      </c>
      <c r="Y1020" s="1">
        <v>2400</v>
      </c>
      <c r="Z1020" s="1">
        <v>1007697.5</v>
      </c>
      <c r="AA1020" s="1">
        <v>14.99</v>
      </c>
      <c r="AB1020" s="1">
        <v>8000</v>
      </c>
    </row>
    <row r="1021" spans="1:28" x14ac:dyDescent="0.4">
      <c r="A1021" s="1" t="s">
        <v>511</v>
      </c>
      <c r="B1021" s="1">
        <v>8000</v>
      </c>
      <c r="C1021" s="1">
        <v>0.3</v>
      </c>
      <c r="D1021" s="1">
        <v>0.5</v>
      </c>
      <c r="E1021" s="1">
        <v>2000</v>
      </c>
      <c r="F1021" s="1">
        <v>3</v>
      </c>
      <c r="G1021" s="1">
        <v>5</v>
      </c>
      <c r="H1021" s="1" t="s">
        <v>595</v>
      </c>
      <c r="I1021" s="1">
        <v>1186138</v>
      </c>
      <c r="J1021" s="1">
        <v>453406.1</v>
      </c>
      <c r="K1021" s="1">
        <v>732731.9</v>
      </c>
      <c r="L1021" s="1">
        <v>2400</v>
      </c>
      <c r="M1021" s="1">
        <v>9.4499999999999993</v>
      </c>
      <c r="N1021" s="1">
        <v>325213.90000000002</v>
      </c>
      <c r="O1021" s="1">
        <v>545776.6</v>
      </c>
      <c r="P1021" s="1">
        <v>870990.5</v>
      </c>
      <c r="Q1021" s="1">
        <v>101958.39999999999</v>
      </c>
      <c r="R1021" s="1">
        <v>40146.400000000001</v>
      </c>
      <c r="S1021" s="1">
        <v>142104.79999999999</v>
      </c>
      <c r="T1021" s="1">
        <v>14.59</v>
      </c>
      <c r="U1021" s="1">
        <v>1.27</v>
      </c>
      <c r="V1021" s="1">
        <v>36937.199999999997</v>
      </c>
      <c r="W1021" s="1">
        <v>138895.6</v>
      </c>
      <c r="X1021" s="1">
        <v>10.72</v>
      </c>
      <c r="Y1021" s="1">
        <v>2371</v>
      </c>
      <c r="Z1021" s="1">
        <v>1009886.1</v>
      </c>
      <c r="AA1021" s="1">
        <v>14.86</v>
      </c>
      <c r="AB1021" s="1">
        <v>8000</v>
      </c>
    </row>
    <row r="1022" spans="1:28" x14ac:dyDescent="0.4">
      <c r="A1022" s="1" t="s">
        <v>512</v>
      </c>
      <c r="B1022" s="1">
        <v>8000</v>
      </c>
      <c r="C1022" s="1">
        <v>0.3</v>
      </c>
      <c r="D1022" s="1">
        <v>0.5</v>
      </c>
      <c r="E1022" s="1">
        <v>500</v>
      </c>
      <c r="F1022" s="1">
        <v>1</v>
      </c>
      <c r="G1022" s="1">
        <v>1</v>
      </c>
      <c r="H1022" s="1" t="s">
        <v>595</v>
      </c>
      <c r="I1022" s="1">
        <v>144108.1</v>
      </c>
      <c r="J1022" s="1">
        <v>59553.1</v>
      </c>
      <c r="K1022" s="1">
        <v>84555</v>
      </c>
      <c r="L1022" s="1">
        <v>2400</v>
      </c>
      <c r="M1022" s="1">
        <v>3.34</v>
      </c>
      <c r="N1022" s="1">
        <v>51313.4</v>
      </c>
      <c r="O1022" s="1">
        <v>73433.7</v>
      </c>
      <c r="P1022" s="1">
        <v>124747.1</v>
      </c>
      <c r="Q1022" s="1">
        <v>11859.2</v>
      </c>
      <c r="R1022" s="1">
        <v>3002.2</v>
      </c>
      <c r="S1022" s="1">
        <v>14861.4</v>
      </c>
      <c r="T1022" s="1">
        <v>3.12</v>
      </c>
      <c r="U1022" s="1">
        <v>0</v>
      </c>
      <c r="V1022" s="1">
        <v>2816</v>
      </c>
      <c r="W1022" s="1">
        <v>14675.2</v>
      </c>
      <c r="X1022" s="1">
        <v>3.35</v>
      </c>
      <c r="Y1022" s="1">
        <v>247</v>
      </c>
      <c r="Z1022" s="1">
        <v>139422.29999999999</v>
      </c>
      <c r="AA1022" s="1">
        <v>3.25</v>
      </c>
      <c r="AB1022" s="1">
        <v>8000</v>
      </c>
    </row>
    <row r="1023" spans="1:28" x14ac:dyDescent="0.4">
      <c r="A1023" s="1" t="s">
        <v>513</v>
      </c>
      <c r="B1023" s="1">
        <v>8000</v>
      </c>
      <c r="C1023" s="1">
        <v>0.3</v>
      </c>
      <c r="D1023" s="1">
        <v>0.5</v>
      </c>
      <c r="E1023" s="1">
        <v>500</v>
      </c>
      <c r="F1023" s="1">
        <v>1</v>
      </c>
      <c r="G1023" s="1">
        <v>2</v>
      </c>
      <c r="H1023" s="1" t="s">
        <v>595</v>
      </c>
      <c r="I1023" s="1">
        <v>148634.9</v>
      </c>
      <c r="J1023" s="1">
        <v>56161.1</v>
      </c>
      <c r="K1023" s="1">
        <v>92473.8</v>
      </c>
      <c r="L1023" s="1">
        <v>2400</v>
      </c>
      <c r="M1023" s="1">
        <v>3.55</v>
      </c>
      <c r="N1023" s="1">
        <v>47338.5</v>
      </c>
      <c r="O1023" s="1">
        <v>80666.399999999994</v>
      </c>
      <c r="P1023" s="1">
        <v>128004.9</v>
      </c>
      <c r="Q1023" s="1">
        <v>11254.2</v>
      </c>
      <c r="R1023" s="1">
        <v>3519.3</v>
      </c>
      <c r="S1023" s="1">
        <v>14773.5</v>
      </c>
      <c r="T1023" s="1">
        <v>3.94</v>
      </c>
      <c r="U1023" s="1">
        <v>0</v>
      </c>
      <c r="V1023" s="1">
        <v>3427</v>
      </c>
      <c r="W1023" s="1">
        <v>14681.2</v>
      </c>
      <c r="X1023" s="1">
        <v>3.55</v>
      </c>
      <c r="Y1023" s="1">
        <v>225</v>
      </c>
      <c r="Z1023" s="1">
        <v>142686.1</v>
      </c>
      <c r="AA1023" s="1">
        <v>4</v>
      </c>
      <c r="AB1023" s="1">
        <v>8000</v>
      </c>
    </row>
    <row r="1024" spans="1:28" x14ac:dyDescent="0.4">
      <c r="A1024" s="1" t="s">
        <v>514</v>
      </c>
      <c r="B1024" s="1">
        <v>8000</v>
      </c>
      <c r="C1024" s="1">
        <v>0.3</v>
      </c>
      <c r="D1024" s="1">
        <v>0.5</v>
      </c>
      <c r="E1024" s="1">
        <v>500</v>
      </c>
      <c r="F1024" s="1">
        <v>1</v>
      </c>
      <c r="G1024" s="1">
        <v>3</v>
      </c>
      <c r="H1024" s="1" t="s">
        <v>595</v>
      </c>
      <c r="I1024" s="1">
        <v>144262.39999999999</v>
      </c>
      <c r="J1024" s="1">
        <v>58086.3</v>
      </c>
      <c r="K1024" s="1">
        <v>86176.1</v>
      </c>
      <c r="L1024" s="1">
        <v>2400</v>
      </c>
      <c r="M1024" s="1">
        <v>3.47</v>
      </c>
      <c r="N1024" s="1">
        <v>47410.5</v>
      </c>
      <c r="O1024" s="1">
        <v>73513.2</v>
      </c>
      <c r="P1024" s="1">
        <v>120923.7</v>
      </c>
      <c r="Q1024" s="1">
        <v>14294.2</v>
      </c>
      <c r="R1024" s="1">
        <v>4284</v>
      </c>
      <c r="S1024" s="1">
        <v>18578.2</v>
      </c>
      <c r="T1024" s="1">
        <v>3.3</v>
      </c>
      <c r="U1024" s="1">
        <v>0</v>
      </c>
      <c r="V1024" s="1">
        <v>4109.8</v>
      </c>
      <c r="W1024" s="1">
        <v>18404</v>
      </c>
      <c r="X1024" s="1">
        <v>3.47</v>
      </c>
      <c r="Y1024" s="1">
        <v>282</v>
      </c>
      <c r="Z1024" s="1">
        <v>139327.70000000001</v>
      </c>
      <c r="AA1024" s="1">
        <v>3.42</v>
      </c>
      <c r="AB1024" s="1">
        <v>8000</v>
      </c>
    </row>
    <row r="1025" spans="1:28" x14ac:dyDescent="0.4">
      <c r="A1025" s="1" t="s">
        <v>515</v>
      </c>
      <c r="B1025" s="1">
        <v>8000</v>
      </c>
      <c r="C1025" s="1">
        <v>0.3</v>
      </c>
      <c r="D1025" s="1">
        <v>0.5</v>
      </c>
      <c r="E1025" s="1">
        <v>500</v>
      </c>
      <c r="F1025" s="1">
        <v>1</v>
      </c>
      <c r="G1025" s="1">
        <v>4</v>
      </c>
      <c r="H1025" s="1" t="s">
        <v>595</v>
      </c>
      <c r="I1025" s="1">
        <v>148149.79999999999</v>
      </c>
      <c r="J1025" s="1">
        <v>57952.5</v>
      </c>
      <c r="K1025" s="1">
        <v>90197.3</v>
      </c>
      <c r="L1025" s="1">
        <v>2400</v>
      </c>
      <c r="M1025" s="1">
        <v>3.5</v>
      </c>
      <c r="N1025" s="1">
        <v>47854.6</v>
      </c>
      <c r="O1025" s="1">
        <v>76865.899999999994</v>
      </c>
      <c r="P1025" s="1">
        <v>124720.5</v>
      </c>
      <c r="Q1025" s="1">
        <v>14502.5</v>
      </c>
      <c r="R1025" s="1">
        <v>3394.3</v>
      </c>
      <c r="S1025" s="1">
        <v>17896.8</v>
      </c>
      <c r="T1025" s="1">
        <v>3.73</v>
      </c>
      <c r="U1025" s="1">
        <v>0</v>
      </c>
      <c r="V1025" s="1">
        <v>3261.2</v>
      </c>
      <c r="W1025" s="1">
        <v>17763.7</v>
      </c>
      <c r="X1025" s="1">
        <v>3.51</v>
      </c>
      <c r="Y1025" s="1">
        <v>294</v>
      </c>
      <c r="Z1025" s="1">
        <v>142484.20000000001</v>
      </c>
      <c r="AA1025" s="1">
        <v>3.82</v>
      </c>
      <c r="AB1025" s="1">
        <v>8000</v>
      </c>
    </row>
    <row r="1026" spans="1:28" x14ac:dyDescent="0.4">
      <c r="A1026" s="1" t="s">
        <v>516</v>
      </c>
      <c r="B1026" s="1">
        <v>8000</v>
      </c>
      <c r="C1026" s="1">
        <v>0.3</v>
      </c>
      <c r="D1026" s="1">
        <v>0.5</v>
      </c>
      <c r="E1026" s="1">
        <v>500</v>
      </c>
      <c r="F1026" s="1">
        <v>1</v>
      </c>
      <c r="G1026" s="1">
        <v>5</v>
      </c>
      <c r="H1026" s="1" t="s">
        <v>595</v>
      </c>
      <c r="I1026" s="1">
        <v>141610.70000000001</v>
      </c>
      <c r="J1026" s="1">
        <v>56169.4</v>
      </c>
      <c r="K1026" s="1">
        <v>85441.3</v>
      </c>
      <c r="L1026" s="1">
        <v>2400</v>
      </c>
      <c r="M1026" s="1">
        <v>3.32</v>
      </c>
      <c r="N1026" s="1">
        <v>46864.5</v>
      </c>
      <c r="O1026" s="1">
        <v>72577</v>
      </c>
      <c r="P1026" s="1">
        <v>119441.5</v>
      </c>
      <c r="Q1026" s="1">
        <v>13867.4</v>
      </c>
      <c r="R1026" s="1">
        <v>3460.9</v>
      </c>
      <c r="S1026" s="1">
        <v>17328.3</v>
      </c>
      <c r="T1026" s="1">
        <v>3.42</v>
      </c>
      <c r="U1026" s="1">
        <v>0</v>
      </c>
      <c r="V1026" s="1">
        <v>3311.1</v>
      </c>
      <c r="W1026" s="1">
        <v>17178.5</v>
      </c>
      <c r="X1026" s="1">
        <v>3.32</v>
      </c>
      <c r="Y1026" s="1">
        <v>300</v>
      </c>
      <c r="Z1026" s="1">
        <v>136620</v>
      </c>
      <c r="AA1026" s="1">
        <v>3.52</v>
      </c>
      <c r="AB1026" s="1">
        <v>8000</v>
      </c>
    </row>
    <row r="1027" spans="1:28" x14ac:dyDescent="0.4">
      <c r="A1027" s="1" t="s">
        <v>517</v>
      </c>
      <c r="B1027" s="1">
        <v>8000</v>
      </c>
      <c r="C1027" s="1">
        <v>0.3</v>
      </c>
      <c r="D1027" s="1">
        <v>0.5</v>
      </c>
      <c r="E1027" s="1">
        <v>500</v>
      </c>
      <c r="F1027" s="1">
        <v>2</v>
      </c>
      <c r="G1027" s="1">
        <v>1</v>
      </c>
      <c r="H1027" s="1" t="s">
        <v>595</v>
      </c>
      <c r="I1027" s="1">
        <v>221975.5</v>
      </c>
      <c r="J1027" s="1">
        <v>84387.4</v>
      </c>
      <c r="K1027" s="1">
        <v>137588.1</v>
      </c>
      <c r="L1027" s="1">
        <v>2400</v>
      </c>
      <c r="M1027" s="1">
        <v>5.0599999999999996</v>
      </c>
      <c r="N1027" s="1">
        <v>73080.5</v>
      </c>
      <c r="O1027" s="1">
        <v>121760.2</v>
      </c>
      <c r="P1027" s="1">
        <v>194840.7</v>
      </c>
      <c r="Q1027" s="1">
        <v>16072.4</v>
      </c>
      <c r="R1027" s="1">
        <v>4599.3999999999996</v>
      </c>
      <c r="S1027" s="1">
        <v>20671.8</v>
      </c>
      <c r="T1027" s="1">
        <v>2.91</v>
      </c>
      <c r="U1027" s="1">
        <v>0.01</v>
      </c>
      <c r="V1027" s="1">
        <v>4351.8999999999996</v>
      </c>
      <c r="W1027" s="1">
        <v>20424.3</v>
      </c>
      <c r="X1027" s="1">
        <v>5.07</v>
      </c>
      <c r="Y1027" s="1">
        <v>338</v>
      </c>
      <c r="Z1027" s="1">
        <v>215265</v>
      </c>
      <c r="AA1027" s="1">
        <v>3.02</v>
      </c>
      <c r="AB1027" s="1">
        <v>8000</v>
      </c>
    </row>
    <row r="1028" spans="1:28" x14ac:dyDescent="0.4">
      <c r="A1028" s="1" t="s">
        <v>518</v>
      </c>
      <c r="B1028" s="1">
        <v>8000</v>
      </c>
      <c r="C1028" s="1">
        <v>0.3</v>
      </c>
      <c r="D1028" s="1">
        <v>0.5</v>
      </c>
      <c r="E1028" s="1">
        <v>500</v>
      </c>
      <c r="F1028" s="1">
        <v>2</v>
      </c>
      <c r="G1028" s="1">
        <v>2</v>
      </c>
      <c r="H1028" s="1" t="s">
        <v>595</v>
      </c>
      <c r="I1028" s="1">
        <v>226878.6</v>
      </c>
      <c r="J1028" s="1">
        <v>84179.7</v>
      </c>
      <c r="K1028" s="1">
        <v>142698.9</v>
      </c>
      <c r="L1028" s="1">
        <v>2400</v>
      </c>
      <c r="M1028" s="1">
        <v>5.39</v>
      </c>
      <c r="N1028" s="1">
        <v>72892.600000000006</v>
      </c>
      <c r="O1028" s="1">
        <v>126212.5</v>
      </c>
      <c r="P1028" s="1">
        <v>199105.1</v>
      </c>
      <c r="Q1028" s="1">
        <v>15455.7</v>
      </c>
      <c r="R1028" s="1">
        <v>4365.8</v>
      </c>
      <c r="S1028" s="1">
        <v>19821.5</v>
      </c>
      <c r="T1028" s="1">
        <v>3.5</v>
      </c>
      <c r="U1028" s="1">
        <v>0.01</v>
      </c>
      <c r="V1028" s="1">
        <v>3841.1</v>
      </c>
      <c r="W1028" s="1">
        <v>19296.8</v>
      </c>
      <c r="X1028" s="1">
        <v>5.4</v>
      </c>
      <c r="Y1028" s="1">
        <v>377</v>
      </c>
      <c r="Z1028" s="1">
        <v>218401.9</v>
      </c>
      <c r="AA1028" s="1">
        <v>3.74</v>
      </c>
      <c r="AB1028" s="1">
        <v>8000</v>
      </c>
    </row>
    <row r="1029" spans="1:28" x14ac:dyDescent="0.4">
      <c r="A1029" s="1" t="s">
        <v>519</v>
      </c>
      <c r="B1029" s="1">
        <v>8000</v>
      </c>
      <c r="C1029" s="1">
        <v>0.3</v>
      </c>
      <c r="D1029" s="1">
        <v>0.5</v>
      </c>
      <c r="E1029" s="1">
        <v>500</v>
      </c>
      <c r="F1029" s="1">
        <v>2</v>
      </c>
      <c r="G1029" s="1">
        <v>3</v>
      </c>
      <c r="H1029" s="1" t="s">
        <v>595</v>
      </c>
      <c r="I1029" s="1">
        <v>225127.8</v>
      </c>
      <c r="J1029" s="1">
        <v>86872.8</v>
      </c>
      <c r="K1029" s="1">
        <v>138255</v>
      </c>
      <c r="L1029" s="1">
        <v>2400</v>
      </c>
      <c r="M1029" s="1">
        <v>5.13</v>
      </c>
      <c r="N1029" s="1">
        <v>74618.100000000006</v>
      </c>
      <c r="O1029" s="1">
        <v>119028.8</v>
      </c>
      <c r="P1029" s="1">
        <v>193646.9</v>
      </c>
      <c r="Q1029" s="1">
        <v>19375.8</v>
      </c>
      <c r="R1029" s="1">
        <v>5269</v>
      </c>
      <c r="S1029" s="1">
        <v>24644.799999999999</v>
      </c>
      <c r="T1029" s="1">
        <v>3.04</v>
      </c>
      <c r="U1029" s="1">
        <v>0.01</v>
      </c>
      <c r="V1029" s="1">
        <v>4726.8</v>
      </c>
      <c r="W1029" s="1">
        <v>24102.6</v>
      </c>
      <c r="X1029" s="1">
        <v>5.14</v>
      </c>
      <c r="Y1029" s="1">
        <v>425</v>
      </c>
      <c r="Z1029" s="1">
        <v>217749.5</v>
      </c>
      <c r="AA1029" s="1">
        <v>3.28</v>
      </c>
      <c r="AB1029" s="1">
        <v>8000</v>
      </c>
    </row>
    <row r="1030" spans="1:28" x14ac:dyDescent="0.4">
      <c r="A1030" s="1" t="s">
        <v>520</v>
      </c>
      <c r="B1030" s="1">
        <v>8000</v>
      </c>
      <c r="C1030" s="1">
        <v>0.3</v>
      </c>
      <c r="D1030" s="1">
        <v>0.5</v>
      </c>
      <c r="E1030" s="1">
        <v>500</v>
      </c>
      <c r="F1030" s="1">
        <v>2</v>
      </c>
      <c r="G1030" s="1">
        <v>4</v>
      </c>
      <c r="H1030" s="1" t="s">
        <v>595</v>
      </c>
      <c r="I1030" s="1">
        <v>219934.7</v>
      </c>
      <c r="J1030" s="1">
        <v>80894.3</v>
      </c>
      <c r="K1030" s="1">
        <v>139040.4</v>
      </c>
      <c r="L1030" s="1">
        <v>2400</v>
      </c>
      <c r="M1030" s="1">
        <v>5.13</v>
      </c>
      <c r="N1030" s="1">
        <v>73673.8</v>
      </c>
      <c r="O1030" s="1">
        <v>127179.4</v>
      </c>
      <c r="P1030" s="1">
        <v>200853.2</v>
      </c>
      <c r="Q1030" s="1">
        <v>9774.7999999999993</v>
      </c>
      <c r="R1030" s="1">
        <v>2980.9</v>
      </c>
      <c r="S1030" s="1">
        <v>12755.7</v>
      </c>
      <c r="T1030" s="1">
        <v>2.88</v>
      </c>
      <c r="U1030" s="1">
        <v>0</v>
      </c>
      <c r="V1030" s="1">
        <v>2764.8</v>
      </c>
      <c r="W1030" s="1">
        <v>12539.6</v>
      </c>
      <c r="X1030" s="1">
        <v>5.13</v>
      </c>
      <c r="Y1030" s="1">
        <v>215</v>
      </c>
      <c r="Z1030" s="1">
        <v>213392.8</v>
      </c>
      <c r="AA1030" s="1">
        <v>2.97</v>
      </c>
      <c r="AB1030" s="1">
        <v>8000</v>
      </c>
    </row>
    <row r="1031" spans="1:28" x14ac:dyDescent="0.4">
      <c r="A1031" s="1" t="s">
        <v>521</v>
      </c>
      <c r="B1031" s="1">
        <v>8000</v>
      </c>
      <c r="C1031" s="1">
        <v>0.3</v>
      </c>
      <c r="D1031" s="1">
        <v>0.5</v>
      </c>
      <c r="E1031" s="1">
        <v>500</v>
      </c>
      <c r="F1031" s="1">
        <v>2</v>
      </c>
      <c r="G1031" s="1">
        <v>5</v>
      </c>
      <c r="H1031" s="1" t="s">
        <v>595</v>
      </c>
      <c r="I1031" s="1">
        <v>232193.7</v>
      </c>
      <c r="J1031" s="1">
        <v>89018.4</v>
      </c>
      <c r="K1031" s="1">
        <v>143175.29999999999</v>
      </c>
      <c r="L1031" s="1">
        <v>2400</v>
      </c>
      <c r="M1031" s="1">
        <v>5.2</v>
      </c>
      <c r="N1031" s="1">
        <v>81573.7</v>
      </c>
      <c r="O1031" s="1">
        <v>131972.4</v>
      </c>
      <c r="P1031" s="1">
        <v>213546.1</v>
      </c>
      <c r="Q1031" s="1">
        <v>7815.8</v>
      </c>
      <c r="R1031" s="1">
        <v>1993.8</v>
      </c>
      <c r="S1031" s="1">
        <v>9809.6</v>
      </c>
      <c r="T1031" s="1">
        <v>3.81</v>
      </c>
      <c r="U1031" s="1">
        <v>0</v>
      </c>
      <c r="V1031" s="1">
        <v>1907.1</v>
      </c>
      <c r="W1031" s="1">
        <v>9722.9</v>
      </c>
      <c r="X1031" s="1">
        <v>5.2</v>
      </c>
      <c r="Y1031" s="1">
        <v>175</v>
      </c>
      <c r="Z1031" s="1">
        <v>223269</v>
      </c>
      <c r="AA1031" s="1">
        <v>3.84</v>
      </c>
      <c r="AB1031" s="1">
        <v>8000</v>
      </c>
    </row>
    <row r="1032" spans="1:28" x14ac:dyDescent="0.4">
      <c r="A1032" s="1" t="s">
        <v>522</v>
      </c>
      <c r="B1032" s="1">
        <v>8000</v>
      </c>
      <c r="C1032" s="1">
        <v>0.3</v>
      </c>
      <c r="D1032" s="1">
        <v>0.5</v>
      </c>
      <c r="E1032" s="1">
        <v>500</v>
      </c>
      <c r="F1032" s="1">
        <v>3</v>
      </c>
      <c r="G1032" s="1">
        <v>1</v>
      </c>
      <c r="H1032" s="1" t="s">
        <v>595</v>
      </c>
      <c r="I1032" s="1">
        <v>286207.8</v>
      </c>
      <c r="J1032" s="1">
        <v>103330.3</v>
      </c>
      <c r="K1032" s="1">
        <v>182877.5</v>
      </c>
      <c r="L1032" s="1">
        <v>2400</v>
      </c>
      <c r="M1032" s="1">
        <v>6.56</v>
      </c>
      <c r="N1032" s="1">
        <v>94136.7</v>
      </c>
      <c r="O1032" s="1">
        <v>171355.3</v>
      </c>
      <c r="P1032" s="1">
        <v>265492</v>
      </c>
      <c r="Q1032" s="1">
        <v>8972.9</v>
      </c>
      <c r="R1032" s="1">
        <v>3392.5</v>
      </c>
      <c r="S1032" s="1">
        <v>12365.4</v>
      </c>
      <c r="T1032" s="1">
        <v>2.92</v>
      </c>
      <c r="U1032" s="1">
        <v>0</v>
      </c>
      <c r="V1032" s="1">
        <v>3007.7</v>
      </c>
      <c r="W1032" s="1">
        <v>11980.6</v>
      </c>
      <c r="X1032" s="1">
        <v>6.56</v>
      </c>
      <c r="Y1032" s="1">
        <v>203</v>
      </c>
      <c r="Z1032" s="1">
        <v>277472.59999999998</v>
      </c>
      <c r="AA1032" s="1">
        <v>3.05</v>
      </c>
      <c r="AB1032" s="1">
        <v>8000</v>
      </c>
    </row>
    <row r="1033" spans="1:28" x14ac:dyDescent="0.4">
      <c r="A1033" s="1" t="s">
        <v>523</v>
      </c>
      <c r="B1033" s="1">
        <v>8000</v>
      </c>
      <c r="C1033" s="1">
        <v>0.3</v>
      </c>
      <c r="D1033" s="1">
        <v>0.5</v>
      </c>
      <c r="E1033" s="1">
        <v>500</v>
      </c>
      <c r="F1033" s="1">
        <v>3</v>
      </c>
      <c r="G1033" s="1">
        <v>2</v>
      </c>
      <c r="H1033" s="1" t="s">
        <v>595</v>
      </c>
      <c r="I1033" s="1">
        <v>292783.7</v>
      </c>
      <c r="J1033" s="1">
        <v>109648.3</v>
      </c>
      <c r="K1033" s="1">
        <v>183135.4</v>
      </c>
      <c r="L1033" s="1">
        <v>2400</v>
      </c>
      <c r="M1033" s="1">
        <v>6.35</v>
      </c>
      <c r="N1033" s="1">
        <v>96340.3</v>
      </c>
      <c r="O1033" s="1">
        <v>165948.70000000001</v>
      </c>
      <c r="P1033" s="1">
        <v>262289</v>
      </c>
      <c r="Q1033" s="1">
        <v>15580.4</v>
      </c>
      <c r="R1033" s="1">
        <v>5276.6</v>
      </c>
      <c r="S1033" s="1">
        <v>20857</v>
      </c>
      <c r="T1033" s="1">
        <v>3.29</v>
      </c>
      <c r="U1033" s="1">
        <v>0.01</v>
      </c>
      <c r="V1033" s="1">
        <v>4540</v>
      </c>
      <c r="W1033" s="1">
        <v>20120.400000000001</v>
      </c>
      <c r="X1033" s="1">
        <v>6.36</v>
      </c>
      <c r="Y1033" s="1">
        <v>348</v>
      </c>
      <c r="Z1033" s="1">
        <v>282409.40000000002</v>
      </c>
      <c r="AA1033" s="1">
        <v>3.54</v>
      </c>
      <c r="AB1033" s="1">
        <v>8000</v>
      </c>
    </row>
    <row r="1034" spans="1:28" x14ac:dyDescent="0.4">
      <c r="A1034" s="1" t="s">
        <v>524</v>
      </c>
      <c r="B1034" s="1">
        <v>8000</v>
      </c>
      <c r="C1034" s="1">
        <v>0.3</v>
      </c>
      <c r="D1034" s="1">
        <v>0.5</v>
      </c>
      <c r="E1034" s="1">
        <v>500</v>
      </c>
      <c r="F1034" s="1">
        <v>3</v>
      </c>
      <c r="G1034" s="1">
        <v>3</v>
      </c>
      <c r="H1034" s="1" t="s">
        <v>595</v>
      </c>
      <c r="I1034" s="1">
        <v>279304.09999999998</v>
      </c>
      <c r="J1034" s="1">
        <v>97293.7</v>
      </c>
      <c r="K1034" s="1">
        <v>182010.4</v>
      </c>
      <c r="L1034" s="1">
        <v>2400</v>
      </c>
      <c r="M1034" s="1">
        <v>5.95</v>
      </c>
      <c r="N1034" s="1">
        <v>85651</v>
      </c>
      <c r="O1034" s="1">
        <v>165381.6</v>
      </c>
      <c r="P1034" s="1">
        <v>251032.6</v>
      </c>
      <c r="Q1034" s="1">
        <v>14058.6</v>
      </c>
      <c r="R1034" s="1">
        <v>4800.6000000000004</v>
      </c>
      <c r="S1034" s="1">
        <v>18859.2</v>
      </c>
      <c r="T1034" s="1">
        <v>3.37</v>
      </c>
      <c r="U1034" s="1">
        <v>0.01</v>
      </c>
      <c r="V1034" s="1">
        <v>4229.6000000000004</v>
      </c>
      <c r="W1034" s="1">
        <v>18288.2</v>
      </c>
      <c r="X1034" s="1">
        <v>5.96</v>
      </c>
      <c r="Y1034" s="1">
        <v>346</v>
      </c>
      <c r="Z1034" s="1">
        <v>269320.8</v>
      </c>
      <c r="AA1034" s="1">
        <v>3.57</v>
      </c>
      <c r="AB1034" s="1">
        <v>8000</v>
      </c>
    </row>
    <row r="1035" spans="1:28" x14ac:dyDescent="0.4">
      <c r="A1035" s="1" t="s">
        <v>525</v>
      </c>
      <c r="B1035" s="1">
        <v>8000</v>
      </c>
      <c r="C1035" s="1">
        <v>0.3</v>
      </c>
      <c r="D1035" s="1">
        <v>0.5</v>
      </c>
      <c r="E1035" s="1">
        <v>500</v>
      </c>
      <c r="F1035" s="1">
        <v>3</v>
      </c>
      <c r="G1035" s="1">
        <v>4</v>
      </c>
      <c r="H1035" s="1" t="s">
        <v>595</v>
      </c>
      <c r="I1035" s="1">
        <v>288972.40000000002</v>
      </c>
      <c r="J1035" s="1">
        <v>109882.8</v>
      </c>
      <c r="K1035" s="1">
        <v>179089.6</v>
      </c>
      <c r="L1035" s="1">
        <v>2400</v>
      </c>
      <c r="M1035" s="1">
        <v>5.33</v>
      </c>
      <c r="N1035" s="1">
        <v>98150.8</v>
      </c>
      <c r="O1035" s="1">
        <v>160457.4</v>
      </c>
      <c r="P1035" s="1">
        <v>258608.2</v>
      </c>
      <c r="Q1035" s="1">
        <v>15345.9</v>
      </c>
      <c r="R1035" s="1">
        <v>4920.2</v>
      </c>
      <c r="S1035" s="1">
        <v>20266.099999999999</v>
      </c>
      <c r="T1035" s="1">
        <v>3.49</v>
      </c>
      <c r="U1035" s="1">
        <v>0.01</v>
      </c>
      <c r="V1035" s="1">
        <v>4388.3999999999996</v>
      </c>
      <c r="W1035" s="1">
        <v>19734.3</v>
      </c>
      <c r="X1035" s="1">
        <v>5.34</v>
      </c>
      <c r="Y1035" s="1">
        <v>362</v>
      </c>
      <c r="Z1035" s="1">
        <v>278342.5</v>
      </c>
      <c r="AA1035" s="1">
        <v>3.68</v>
      </c>
      <c r="AB1035" s="1">
        <v>8000</v>
      </c>
    </row>
    <row r="1036" spans="1:28" x14ac:dyDescent="0.4">
      <c r="A1036" s="1" t="s">
        <v>526</v>
      </c>
      <c r="B1036" s="1">
        <v>8000</v>
      </c>
      <c r="C1036" s="1">
        <v>0.3</v>
      </c>
      <c r="D1036" s="1">
        <v>0.5</v>
      </c>
      <c r="E1036" s="1">
        <v>500</v>
      </c>
      <c r="F1036" s="1">
        <v>3</v>
      </c>
      <c r="G1036" s="1">
        <v>5</v>
      </c>
      <c r="H1036" s="1" t="s">
        <v>595</v>
      </c>
      <c r="I1036" s="1">
        <v>289757</v>
      </c>
      <c r="J1036" s="1">
        <v>106708</v>
      </c>
      <c r="K1036" s="1">
        <v>183049</v>
      </c>
      <c r="L1036" s="1">
        <v>2400</v>
      </c>
      <c r="M1036" s="1">
        <v>5.49</v>
      </c>
      <c r="N1036" s="1">
        <v>91980.9</v>
      </c>
      <c r="O1036" s="1">
        <v>161855.1</v>
      </c>
      <c r="P1036" s="1">
        <v>253836</v>
      </c>
      <c r="Q1036" s="1">
        <v>20080.2</v>
      </c>
      <c r="R1036" s="1">
        <v>6410.5</v>
      </c>
      <c r="S1036" s="1">
        <v>26490.7</v>
      </c>
      <c r="T1036" s="1">
        <v>3.25</v>
      </c>
      <c r="U1036" s="1">
        <v>0.01</v>
      </c>
      <c r="V1036" s="1">
        <v>5854.4</v>
      </c>
      <c r="W1036" s="1">
        <v>25934.6</v>
      </c>
      <c r="X1036" s="1">
        <v>5.5</v>
      </c>
      <c r="Y1036" s="1">
        <v>436</v>
      </c>
      <c r="Z1036" s="1">
        <v>279770.59999999998</v>
      </c>
      <c r="AA1036" s="1">
        <v>3.45</v>
      </c>
      <c r="AB1036" s="1">
        <v>8000</v>
      </c>
    </row>
    <row r="1037" spans="1:28" x14ac:dyDescent="0.4">
      <c r="A1037" s="1" t="s">
        <v>135</v>
      </c>
      <c r="B1037" s="1">
        <v>8000</v>
      </c>
      <c r="C1037" s="1">
        <v>0.4</v>
      </c>
      <c r="D1037" s="1">
        <v>0.5</v>
      </c>
      <c r="E1037" s="1">
        <v>1000</v>
      </c>
      <c r="F1037" s="1">
        <v>1</v>
      </c>
      <c r="G1037" s="1">
        <v>1</v>
      </c>
      <c r="H1037" s="1" t="s">
        <v>595</v>
      </c>
      <c r="I1037" s="1">
        <v>278509.5</v>
      </c>
      <c r="J1037" s="1">
        <v>112049.60000000001</v>
      </c>
      <c r="K1037" s="1">
        <v>166459.9</v>
      </c>
      <c r="L1037" s="1">
        <v>2400</v>
      </c>
      <c r="M1037" s="1">
        <v>3.44</v>
      </c>
      <c r="N1037" s="1">
        <v>87830.9</v>
      </c>
      <c r="O1037" s="1">
        <v>134969.70000000001</v>
      </c>
      <c r="P1037" s="1">
        <v>222800.6</v>
      </c>
      <c r="Q1037" s="1">
        <v>25777.200000000001</v>
      </c>
      <c r="R1037" s="1">
        <v>9712.6</v>
      </c>
      <c r="S1037" s="1">
        <v>35489.800000000003</v>
      </c>
      <c r="T1037" s="1">
        <v>7.26</v>
      </c>
      <c r="U1037" s="1">
        <v>0.02</v>
      </c>
      <c r="V1037" s="1">
        <v>9489.2000000000007</v>
      </c>
      <c r="W1037" s="1">
        <v>35266.400000000001</v>
      </c>
      <c r="X1037" s="1">
        <v>3.46</v>
      </c>
      <c r="Y1037" s="1">
        <v>502</v>
      </c>
      <c r="Z1037" s="1">
        <v>258067</v>
      </c>
      <c r="AA1037" s="1">
        <v>7.34</v>
      </c>
      <c r="AB1037" s="1">
        <v>8000</v>
      </c>
    </row>
    <row r="1038" spans="1:28" x14ac:dyDescent="0.4">
      <c r="A1038" s="1" t="s">
        <v>136</v>
      </c>
      <c r="B1038" s="1">
        <v>8000</v>
      </c>
      <c r="C1038" s="1">
        <v>0.4</v>
      </c>
      <c r="D1038" s="1">
        <v>0.5</v>
      </c>
      <c r="E1038" s="1">
        <v>1000</v>
      </c>
      <c r="F1038" s="1">
        <v>1</v>
      </c>
      <c r="G1038" s="1">
        <v>2</v>
      </c>
      <c r="H1038" s="1" t="s">
        <v>595</v>
      </c>
      <c r="I1038" s="1">
        <v>283492.90000000002</v>
      </c>
      <c r="J1038" s="1">
        <v>109140.8</v>
      </c>
      <c r="K1038" s="1">
        <v>174352.1</v>
      </c>
      <c r="L1038" s="1">
        <v>2400</v>
      </c>
      <c r="M1038" s="1">
        <v>3.62</v>
      </c>
      <c r="N1038" s="1">
        <v>82005.399999999994</v>
      </c>
      <c r="O1038" s="1">
        <v>137919.29999999999</v>
      </c>
      <c r="P1038" s="1">
        <v>219924.7</v>
      </c>
      <c r="Q1038" s="1">
        <v>34056.9</v>
      </c>
      <c r="R1038" s="1">
        <v>12214.2</v>
      </c>
      <c r="S1038" s="1">
        <v>46271.1</v>
      </c>
      <c r="T1038" s="1">
        <v>6.1</v>
      </c>
      <c r="U1038" s="1">
        <v>0.05</v>
      </c>
      <c r="V1038" s="1">
        <v>11723.7</v>
      </c>
      <c r="W1038" s="1">
        <v>45780.6</v>
      </c>
      <c r="X1038" s="1">
        <v>3.67</v>
      </c>
      <c r="Y1038" s="1">
        <v>656</v>
      </c>
      <c r="Z1038" s="1">
        <v>265705.3</v>
      </c>
      <c r="AA1038" s="1">
        <v>6.27</v>
      </c>
      <c r="AB1038" s="1">
        <v>8000</v>
      </c>
    </row>
    <row r="1039" spans="1:28" x14ac:dyDescent="0.4">
      <c r="A1039" s="1" t="s">
        <v>137</v>
      </c>
      <c r="B1039" s="1">
        <v>8000</v>
      </c>
      <c r="C1039" s="1">
        <v>0.4</v>
      </c>
      <c r="D1039" s="1">
        <v>0.5</v>
      </c>
      <c r="E1039" s="1">
        <v>1000</v>
      </c>
      <c r="F1039" s="1">
        <v>1</v>
      </c>
      <c r="G1039" s="1">
        <v>3</v>
      </c>
      <c r="H1039" s="1" t="s">
        <v>595</v>
      </c>
      <c r="I1039" s="1">
        <v>288322.90000000002</v>
      </c>
      <c r="J1039" s="1">
        <v>112088.6</v>
      </c>
      <c r="K1039" s="1">
        <v>176234.3</v>
      </c>
      <c r="L1039" s="1">
        <v>2400</v>
      </c>
      <c r="M1039" s="1">
        <v>3.65</v>
      </c>
      <c r="N1039" s="1">
        <v>83879.899999999994</v>
      </c>
      <c r="O1039" s="1">
        <v>134817</v>
      </c>
      <c r="P1039" s="1">
        <v>218696.9</v>
      </c>
      <c r="Q1039" s="1">
        <v>35568.699999999997</v>
      </c>
      <c r="R1039" s="1">
        <v>13858.1</v>
      </c>
      <c r="S1039" s="1">
        <v>49426.8</v>
      </c>
      <c r="T1039" s="1">
        <v>7.01</v>
      </c>
      <c r="U1039" s="1">
        <v>0.1</v>
      </c>
      <c r="V1039" s="1">
        <v>13136.4</v>
      </c>
      <c r="W1039" s="1">
        <v>48705.1</v>
      </c>
      <c r="X1039" s="1">
        <v>3.75</v>
      </c>
      <c r="Y1039" s="1">
        <v>704</v>
      </c>
      <c r="Z1039" s="1">
        <v>267402</v>
      </c>
      <c r="AA1039" s="1">
        <v>7.26</v>
      </c>
      <c r="AB1039" s="1">
        <v>8000</v>
      </c>
    </row>
    <row r="1040" spans="1:28" x14ac:dyDescent="0.4">
      <c r="A1040" s="1" t="s">
        <v>138</v>
      </c>
      <c r="B1040" s="1">
        <v>8000</v>
      </c>
      <c r="C1040" s="1">
        <v>0.4</v>
      </c>
      <c r="D1040" s="1">
        <v>0.5</v>
      </c>
      <c r="E1040" s="1">
        <v>1000</v>
      </c>
      <c r="F1040" s="1">
        <v>1</v>
      </c>
      <c r="G1040" s="1">
        <v>4</v>
      </c>
      <c r="H1040" s="1" t="s">
        <v>595</v>
      </c>
      <c r="I1040" s="1">
        <v>273858.09999999998</v>
      </c>
      <c r="J1040" s="1">
        <v>109017.3</v>
      </c>
      <c r="K1040" s="1">
        <v>164840.79999999999</v>
      </c>
      <c r="L1040" s="1">
        <v>2400</v>
      </c>
      <c r="M1040" s="1">
        <v>3.56</v>
      </c>
      <c r="N1040" s="1">
        <v>87883.1</v>
      </c>
      <c r="O1040" s="1">
        <v>138252.1</v>
      </c>
      <c r="P1040" s="1">
        <v>226135.2</v>
      </c>
      <c r="Q1040" s="1">
        <v>24353.200000000001</v>
      </c>
      <c r="R1040" s="1">
        <v>9411</v>
      </c>
      <c r="S1040" s="1">
        <v>33764.199999999997</v>
      </c>
      <c r="T1040" s="1">
        <v>5.0999999999999996</v>
      </c>
      <c r="U1040" s="1">
        <v>0.02</v>
      </c>
      <c r="V1040" s="1">
        <v>9056.5</v>
      </c>
      <c r="W1040" s="1">
        <v>33409.699999999997</v>
      </c>
      <c r="X1040" s="1">
        <v>3.58</v>
      </c>
      <c r="Y1040" s="1">
        <v>504</v>
      </c>
      <c r="Z1040" s="1">
        <v>259544.9</v>
      </c>
      <c r="AA1040" s="1">
        <v>5.23</v>
      </c>
      <c r="AB1040" s="1">
        <v>8000</v>
      </c>
    </row>
    <row r="1041" spans="1:28" x14ac:dyDescent="0.4">
      <c r="A1041" s="1" t="s">
        <v>139</v>
      </c>
      <c r="B1041" s="1">
        <v>8000</v>
      </c>
      <c r="C1041" s="1">
        <v>0.4</v>
      </c>
      <c r="D1041" s="1">
        <v>0.5</v>
      </c>
      <c r="E1041" s="1">
        <v>1000</v>
      </c>
      <c r="F1041" s="1">
        <v>1</v>
      </c>
      <c r="G1041" s="1">
        <v>5</v>
      </c>
      <c r="H1041" s="1" t="s">
        <v>595</v>
      </c>
      <c r="I1041" s="1">
        <v>283949.09999999998</v>
      </c>
      <c r="J1041" s="1">
        <v>113617.60000000001</v>
      </c>
      <c r="K1041" s="1">
        <v>170331.5</v>
      </c>
      <c r="L1041" s="1">
        <v>2400</v>
      </c>
      <c r="M1041" s="1">
        <v>3.38</v>
      </c>
      <c r="N1041" s="1">
        <v>86836.5</v>
      </c>
      <c r="O1041" s="1">
        <v>135175.1</v>
      </c>
      <c r="P1041" s="1">
        <v>222011.6</v>
      </c>
      <c r="Q1041" s="1">
        <v>30993.8</v>
      </c>
      <c r="R1041" s="1">
        <v>11758.4</v>
      </c>
      <c r="S1041" s="1">
        <v>42752.2</v>
      </c>
      <c r="T1041" s="1">
        <v>6.76</v>
      </c>
      <c r="U1041" s="1">
        <v>0.05</v>
      </c>
      <c r="V1041" s="1">
        <v>11248.7</v>
      </c>
      <c r="W1041" s="1">
        <v>42242.5</v>
      </c>
      <c r="X1041" s="1">
        <v>3.42</v>
      </c>
      <c r="Y1041" s="1">
        <v>629</v>
      </c>
      <c r="Z1041" s="1">
        <v>264254.09999999998</v>
      </c>
      <c r="AA1041" s="1">
        <v>6.94</v>
      </c>
      <c r="AB1041" s="1">
        <v>8000</v>
      </c>
    </row>
    <row r="1042" spans="1:28" x14ac:dyDescent="0.4">
      <c r="A1042" s="1" t="s">
        <v>140</v>
      </c>
      <c r="B1042" s="1">
        <v>8000</v>
      </c>
      <c r="C1042" s="1">
        <v>0.4</v>
      </c>
      <c r="D1042" s="1">
        <v>0.5</v>
      </c>
      <c r="E1042" s="1">
        <v>1000</v>
      </c>
      <c r="F1042" s="1">
        <v>2</v>
      </c>
      <c r="G1042" s="1">
        <v>1</v>
      </c>
      <c r="H1042" s="1" t="s">
        <v>595</v>
      </c>
      <c r="I1042" s="1">
        <v>435805.3</v>
      </c>
      <c r="J1042" s="1">
        <v>168093.4</v>
      </c>
      <c r="K1042" s="1">
        <v>267711.90000000002</v>
      </c>
      <c r="L1042" s="1">
        <v>2400</v>
      </c>
      <c r="M1042" s="1">
        <v>3.46</v>
      </c>
      <c r="N1042" s="1">
        <v>109354.4</v>
      </c>
      <c r="O1042" s="1">
        <v>179921.8</v>
      </c>
      <c r="P1042" s="1">
        <v>289276.2</v>
      </c>
      <c r="Q1042" s="1">
        <v>82822.8</v>
      </c>
      <c r="R1042" s="1">
        <v>33827</v>
      </c>
      <c r="S1042" s="1">
        <v>116649.8</v>
      </c>
      <c r="T1042" s="1">
        <v>6.86</v>
      </c>
      <c r="U1042" s="1">
        <v>0.76</v>
      </c>
      <c r="V1042" s="1">
        <v>31917.3</v>
      </c>
      <c r="W1042" s="1">
        <v>114740.1</v>
      </c>
      <c r="X1042" s="1">
        <v>4.22</v>
      </c>
      <c r="Y1042" s="1">
        <v>1756</v>
      </c>
      <c r="Z1042" s="1">
        <v>404016.3</v>
      </c>
      <c r="AA1042" s="1">
        <v>7.29</v>
      </c>
      <c r="AB1042" s="1">
        <v>8000</v>
      </c>
    </row>
    <row r="1043" spans="1:28" x14ac:dyDescent="0.4">
      <c r="A1043" s="1" t="s">
        <v>141</v>
      </c>
      <c r="B1043" s="1">
        <v>8000</v>
      </c>
      <c r="C1043" s="1">
        <v>0.4</v>
      </c>
      <c r="D1043" s="1">
        <v>0.5</v>
      </c>
      <c r="E1043" s="1">
        <v>1000</v>
      </c>
      <c r="F1043" s="1">
        <v>2</v>
      </c>
      <c r="G1043" s="1">
        <v>2</v>
      </c>
      <c r="H1043" s="1" t="s">
        <v>595</v>
      </c>
      <c r="I1043" s="1">
        <v>442496.5</v>
      </c>
      <c r="J1043" s="1">
        <v>166733.79999999999</v>
      </c>
      <c r="K1043" s="1">
        <v>275762.7</v>
      </c>
      <c r="L1043" s="1">
        <v>2400</v>
      </c>
      <c r="M1043" s="1">
        <v>3.26</v>
      </c>
      <c r="N1043" s="1">
        <v>106596.3</v>
      </c>
      <c r="O1043" s="1">
        <v>182867.3</v>
      </c>
      <c r="P1043" s="1">
        <v>289463.59999999998</v>
      </c>
      <c r="Q1043" s="1">
        <v>85354.7</v>
      </c>
      <c r="R1043" s="1">
        <v>35211.9</v>
      </c>
      <c r="S1043" s="1">
        <v>120566.6</v>
      </c>
      <c r="T1043" s="1">
        <v>7.34</v>
      </c>
      <c r="U1043" s="1">
        <v>0.86</v>
      </c>
      <c r="V1043" s="1">
        <v>33247.300000000003</v>
      </c>
      <c r="W1043" s="1">
        <v>118602</v>
      </c>
      <c r="X1043" s="1">
        <v>4.12</v>
      </c>
      <c r="Y1043" s="1">
        <v>1851</v>
      </c>
      <c r="Z1043" s="1">
        <v>408065.6</v>
      </c>
      <c r="AA1043" s="1">
        <v>7.78</v>
      </c>
      <c r="AB1043" s="1">
        <v>8000</v>
      </c>
    </row>
    <row r="1044" spans="1:28" x14ac:dyDescent="0.4">
      <c r="A1044" s="1" t="s">
        <v>142</v>
      </c>
      <c r="B1044" s="1">
        <v>8000</v>
      </c>
      <c r="C1044" s="1">
        <v>0.4</v>
      </c>
      <c r="D1044" s="1">
        <v>0.5</v>
      </c>
      <c r="E1044" s="1">
        <v>1000</v>
      </c>
      <c r="F1044" s="1">
        <v>2</v>
      </c>
      <c r="G1044" s="1">
        <v>3</v>
      </c>
      <c r="H1044" s="1" t="s">
        <v>595</v>
      </c>
      <c r="I1044" s="1">
        <v>452037.4</v>
      </c>
      <c r="J1044" s="1">
        <v>182112.7</v>
      </c>
      <c r="K1044" s="1">
        <v>269924.7</v>
      </c>
      <c r="L1044" s="1">
        <v>2400</v>
      </c>
      <c r="M1044" s="1">
        <v>3.41</v>
      </c>
      <c r="N1044" s="1">
        <v>118539.9</v>
      </c>
      <c r="O1044" s="1">
        <v>172757.5</v>
      </c>
      <c r="P1044" s="1">
        <v>291297.40000000002</v>
      </c>
      <c r="Q1044" s="1">
        <v>84919.6</v>
      </c>
      <c r="R1044" s="1">
        <v>36399.599999999999</v>
      </c>
      <c r="S1044" s="1">
        <v>121319.2</v>
      </c>
      <c r="T1044" s="1">
        <v>8.7200000000000006</v>
      </c>
      <c r="U1044" s="1">
        <v>0.9</v>
      </c>
      <c r="V1044" s="1">
        <v>34857.4</v>
      </c>
      <c r="W1044" s="1">
        <v>119777</v>
      </c>
      <c r="X1044" s="1">
        <v>4.3099999999999996</v>
      </c>
      <c r="Y1044" s="1">
        <v>1854</v>
      </c>
      <c r="Z1044" s="1">
        <v>411074.4</v>
      </c>
      <c r="AA1044" s="1">
        <v>9.06</v>
      </c>
      <c r="AB1044" s="1">
        <v>8000</v>
      </c>
    </row>
    <row r="1045" spans="1:28" x14ac:dyDescent="0.4">
      <c r="A1045" s="1" t="s">
        <v>143</v>
      </c>
      <c r="B1045" s="1">
        <v>8000</v>
      </c>
      <c r="C1045" s="1">
        <v>0.4</v>
      </c>
      <c r="D1045" s="1">
        <v>0.5</v>
      </c>
      <c r="E1045" s="1">
        <v>1000</v>
      </c>
      <c r="F1045" s="1">
        <v>2</v>
      </c>
      <c r="G1045" s="1">
        <v>4</v>
      </c>
      <c r="H1045" s="1" t="s">
        <v>595</v>
      </c>
      <c r="I1045" s="1">
        <v>441614.5</v>
      </c>
      <c r="J1045" s="1">
        <v>169950.8</v>
      </c>
      <c r="K1045" s="1">
        <v>271663.7</v>
      </c>
      <c r="L1045" s="1">
        <v>2400</v>
      </c>
      <c r="M1045" s="1">
        <v>3.65</v>
      </c>
      <c r="N1045" s="1">
        <v>120779.2</v>
      </c>
      <c r="O1045" s="1">
        <v>200662.9</v>
      </c>
      <c r="P1045" s="1">
        <v>321442.09999999998</v>
      </c>
      <c r="Q1045" s="1">
        <v>59904.5</v>
      </c>
      <c r="R1045" s="1">
        <v>26974.3</v>
      </c>
      <c r="S1045" s="1">
        <v>86878.8</v>
      </c>
      <c r="T1045" s="1">
        <v>7.54</v>
      </c>
      <c r="U1045" s="1">
        <v>0.47</v>
      </c>
      <c r="V1045" s="1">
        <v>25513.3</v>
      </c>
      <c r="W1045" s="1">
        <v>85417.8</v>
      </c>
      <c r="X1045" s="1">
        <v>4.1100000000000003</v>
      </c>
      <c r="Y1045" s="1">
        <v>1239</v>
      </c>
      <c r="Z1045" s="1">
        <v>406859.9</v>
      </c>
      <c r="AA1045" s="1">
        <v>7.87</v>
      </c>
      <c r="AB1045" s="1">
        <v>8000</v>
      </c>
    </row>
    <row r="1046" spans="1:28" x14ac:dyDescent="0.4">
      <c r="A1046" s="1" t="s">
        <v>144</v>
      </c>
      <c r="B1046" s="1">
        <v>8000</v>
      </c>
      <c r="C1046" s="1">
        <v>0.4</v>
      </c>
      <c r="D1046" s="1">
        <v>0.5</v>
      </c>
      <c r="E1046" s="1">
        <v>1000</v>
      </c>
      <c r="F1046" s="1">
        <v>2</v>
      </c>
      <c r="G1046" s="1">
        <v>5</v>
      </c>
      <c r="H1046" s="1" t="s">
        <v>595</v>
      </c>
      <c r="I1046" s="1">
        <v>456297.9</v>
      </c>
      <c r="J1046" s="1">
        <v>162777.9</v>
      </c>
      <c r="K1046" s="1">
        <v>293520</v>
      </c>
      <c r="L1046" s="1">
        <v>2400</v>
      </c>
      <c r="M1046" s="1">
        <v>3.61</v>
      </c>
      <c r="N1046" s="1">
        <v>118059.5</v>
      </c>
      <c r="O1046" s="1">
        <v>222225.6</v>
      </c>
      <c r="P1046" s="1">
        <v>340285.1</v>
      </c>
      <c r="Q1046" s="1">
        <v>56448.2</v>
      </c>
      <c r="R1046" s="1">
        <v>25857.7</v>
      </c>
      <c r="S1046" s="1">
        <v>82305.899999999994</v>
      </c>
      <c r="T1046" s="1">
        <v>7.39</v>
      </c>
      <c r="U1046" s="1">
        <v>0.37</v>
      </c>
      <c r="V1046" s="1">
        <v>24676.5</v>
      </c>
      <c r="W1046" s="1">
        <v>81124.7</v>
      </c>
      <c r="X1046" s="1">
        <v>3.97</v>
      </c>
      <c r="Y1046" s="1">
        <v>1141</v>
      </c>
      <c r="Z1046" s="1">
        <v>421409.8</v>
      </c>
      <c r="AA1046" s="1">
        <v>7.65</v>
      </c>
      <c r="AB1046" s="1">
        <v>8000</v>
      </c>
    </row>
    <row r="1047" spans="1:28" x14ac:dyDescent="0.4">
      <c r="A1047" s="1" t="s">
        <v>145</v>
      </c>
      <c r="B1047" s="1">
        <v>8000</v>
      </c>
      <c r="C1047" s="1">
        <v>0.4</v>
      </c>
      <c r="D1047" s="1">
        <v>0.5</v>
      </c>
      <c r="E1047" s="1">
        <v>1000</v>
      </c>
      <c r="F1047" s="1">
        <v>3</v>
      </c>
      <c r="G1047" s="1">
        <v>1</v>
      </c>
      <c r="H1047" s="1" t="s">
        <v>595</v>
      </c>
      <c r="I1047" s="1">
        <v>557435.6</v>
      </c>
      <c r="J1047" s="1">
        <v>222718.9</v>
      </c>
      <c r="K1047" s="1">
        <v>334716.7</v>
      </c>
      <c r="L1047" s="1">
        <v>2400</v>
      </c>
      <c r="M1047" s="1">
        <v>4.22</v>
      </c>
      <c r="N1047" s="1">
        <v>137464</v>
      </c>
      <c r="O1047" s="1">
        <v>214053.8</v>
      </c>
      <c r="P1047" s="1">
        <v>351517.8</v>
      </c>
      <c r="Q1047" s="1">
        <v>105072.3</v>
      </c>
      <c r="R1047" s="1">
        <v>44953.5</v>
      </c>
      <c r="S1047" s="1">
        <v>150025.79999999999</v>
      </c>
      <c r="T1047" s="1">
        <v>10.029999999999999</v>
      </c>
      <c r="U1047" s="1">
        <v>1.49</v>
      </c>
      <c r="V1047" s="1">
        <v>42547.8</v>
      </c>
      <c r="W1047" s="1">
        <v>147620.1</v>
      </c>
      <c r="X1047" s="1">
        <v>5.72</v>
      </c>
      <c r="Y1047" s="1">
        <v>2370</v>
      </c>
      <c r="Z1047" s="1">
        <v>499137.9</v>
      </c>
      <c r="AA1047" s="1">
        <v>10.46</v>
      </c>
      <c r="AB1047" s="1">
        <v>8000</v>
      </c>
    </row>
    <row r="1048" spans="1:28" x14ac:dyDescent="0.4">
      <c r="A1048" s="1" t="s">
        <v>146</v>
      </c>
      <c r="B1048" s="1">
        <v>8000</v>
      </c>
      <c r="C1048" s="1">
        <v>0.4</v>
      </c>
      <c r="D1048" s="1">
        <v>0.5</v>
      </c>
      <c r="E1048" s="1">
        <v>1000</v>
      </c>
      <c r="F1048" s="1">
        <v>3</v>
      </c>
      <c r="G1048" s="1">
        <v>2</v>
      </c>
      <c r="H1048" s="1" t="s">
        <v>595</v>
      </c>
      <c r="I1048" s="1">
        <v>581757.6</v>
      </c>
      <c r="J1048" s="1">
        <v>227255.3</v>
      </c>
      <c r="K1048" s="1">
        <v>354502.3</v>
      </c>
      <c r="L1048" s="1">
        <v>2400</v>
      </c>
      <c r="M1048" s="1">
        <v>5.14</v>
      </c>
      <c r="N1048" s="1">
        <v>140210</v>
      </c>
      <c r="O1048" s="1">
        <v>228495.1</v>
      </c>
      <c r="P1048" s="1">
        <v>368705.1</v>
      </c>
      <c r="Q1048" s="1">
        <v>102633.8</v>
      </c>
      <c r="R1048" s="1">
        <v>44997.599999999999</v>
      </c>
      <c r="S1048" s="1">
        <v>147631.4</v>
      </c>
      <c r="T1048" s="1">
        <v>11.25</v>
      </c>
      <c r="U1048" s="1">
        <v>1.46</v>
      </c>
      <c r="V1048" s="1">
        <v>43003.8</v>
      </c>
      <c r="W1048" s="1">
        <v>145637.6</v>
      </c>
      <c r="X1048" s="1">
        <v>6.6</v>
      </c>
      <c r="Y1048" s="1">
        <v>2311</v>
      </c>
      <c r="Z1048" s="1">
        <v>514342.7</v>
      </c>
      <c r="AA1048" s="1">
        <v>11.59</v>
      </c>
      <c r="AB1048" s="1">
        <v>8000</v>
      </c>
    </row>
    <row r="1049" spans="1:28" x14ac:dyDescent="0.4">
      <c r="A1049" s="1" t="s">
        <v>147</v>
      </c>
      <c r="B1049" s="1">
        <v>8000</v>
      </c>
      <c r="C1049" s="1">
        <v>0.4</v>
      </c>
      <c r="D1049" s="1">
        <v>0.5</v>
      </c>
      <c r="E1049" s="1">
        <v>1000</v>
      </c>
      <c r="F1049" s="1">
        <v>3</v>
      </c>
      <c r="G1049" s="1">
        <v>3</v>
      </c>
      <c r="H1049" s="1" t="s">
        <v>595</v>
      </c>
      <c r="I1049" s="1">
        <v>567769.5</v>
      </c>
      <c r="J1049" s="1">
        <v>226650.8</v>
      </c>
      <c r="K1049" s="1">
        <v>341118.7</v>
      </c>
      <c r="L1049" s="1">
        <v>2400</v>
      </c>
      <c r="M1049" s="1">
        <v>5.07</v>
      </c>
      <c r="N1049" s="1">
        <v>139396</v>
      </c>
      <c r="O1049" s="1">
        <v>217587.1</v>
      </c>
      <c r="P1049" s="1">
        <v>356983.1</v>
      </c>
      <c r="Q1049" s="1">
        <v>104233.1</v>
      </c>
      <c r="R1049" s="1">
        <v>45548.7</v>
      </c>
      <c r="S1049" s="1">
        <v>149781.79999999999</v>
      </c>
      <c r="T1049" s="1">
        <v>10.74</v>
      </c>
      <c r="U1049" s="1">
        <v>1.45</v>
      </c>
      <c r="V1049" s="1">
        <v>42864.9</v>
      </c>
      <c r="W1049" s="1">
        <v>147098</v>
      </c>
      <c r="X1049" s="1">
        <v>6.52</v>
      </c>
      <c r="Y1049" s="1">
        <v>2325</v>
      </c>
      <c r="Z1049" s="1">
        <v>504081.1</v>
      </c>
      <c r="AA1049" s="1">
        <v>11.22</v>
      </c>
      <c r="AB1049" s="1">
        <v>8000</v>
      </c>
    </row>
    <row r="1050" spans="1:28" x14ac:dyDescent="0.4">
      <c r="A1050" s="1" t="s">
        <v>148</v>
      </c>
      <c r="B1050" s="1">
        <v>8000</v>
      </c>
      <c r="C1050" s="1">
        <v>0.4</v>
      </c>
      <c r="D1050" s="1">
        <v>0.5</v>
      </c>
      <c r="E1050" s="1">
        <v>1000</v>
      </c>
      <c r="F1050" s="1">
        <v>3</v>
      </c>
      <c r="G1050" s="1">
        <v>4</v>
      </c>
      <c r="H1050" s="1" t="s">
        <v>595</v>
      </c>
      <c r="I1050" s="1">
        <v>578695.1</v>
      </c>
      <c r="J1050" s="1">
        <v>220248.4</v>
      </c>
      <c r="K1050" s="1">
        <v>358446.7</v>
      </c>
      <c r="L1050" s="1">
        <v>2400</v>
      </c>
      <c r="M1050" s="1">
        <v>5.0199999999999996</v>
      </c>
      <c r="N1050" s="1">
        <v>136151.4</v>
      </c>
      <c r="O1050" s="1">
        <v>228834.2</v>
      </c>
      <c r="P1050" s="1">
        <v>364985.59999999998</v>
      </c>
      <c r="Q1050" s="1">
        <v>105502.7</v>
      </c>
      <c r="R1050" s="1">
        <v>45428.800000000003</v>
      </c>
      <c r="S1050" s="1">
        <v>150931.5</v>
      </c>
      <c r="T1050" s="1">
        <v>10.85</v>
      </c>
      <c r="U1050" s="1">
        <v>1.45</v>
      </c>
      <c r="V1050" s="1">
        <v>43428.5</v>
      </c>
      <c r="W1050" s="1">
        <v>148931.20000000001</v>
      </c>
      <c r="X1050" s="1">
        <v>6.47</v>
      </c>
      <c r="Y1050" s="1">
        <v>2378</v>
      </c>
      <c r="Z1050" s="1">
        <v>513916.8</v>
      </c>
      <c r="AA1050" s="1">
        <v>11.19</v>
      </c>
      <c r="AB1050" s="1">
        <v>8000</v>
      </c>
    </row>
    <row r="1051" spans="1:28" x14ac:dyDescent="0.4">
      <c r="A1051" s="1" t="s">
        <v>149</v>
      </c>
      <c r="B1051" s="1">
        <v>8000</v>
      </c>
      <c r="C1051" s="1">
        <v>0.4</v>
      </c>
      <c r="D1051" s="1">
        <v>0.5</v>
      </c>
      <c r="E1051" s="1">
        <v>1000</v>
      </c>
      <c r="F1051" s="1">
        <v>3</v>
      </c>
      <c r="G1051" s="1">
        <v>5</v>
      </c>
      <c r="H1051" s="1" t="s">
        <v>595</v>
      </c>
      <c r="I1051" s="1">
        <v>590660.69999999995</v>
      </c>
      <c r="J1051" s="1">
        <v>215654.3</v>
      </c>
      <c r="K1051" s="1">
        <v>375006.4</v>
      </c>
      <c r="L1051" s="1">
        <v>2400</v>
      </c>
      <c r="M1051" s="1">
        <v>4.7699999999999996</v>
      </c>
      <c r="N1051" s="1">
        <v>134452.9</v>
      </c>
      <c r="O1051" s="1">
        <v>243156.9</v>
      </c>
      <c r="P1051" s="1">
        <v>377609.8</v>
      </c>
      <c r="Q1051" s="1">
        <v>102878.7</v>
      </c>
      <c r="R1051" s="1">
        <v>46474.400000000001</v>
      </c>
      <c r="S1051" s="1">
        <v>149353.1</v>
      </c>
      <c r="T1051" s="1">
        <v>10.78</v>
      </c>
      <c r="U1051" s="1">
        <v>1.49</v>
      </c>
      <c r="V1051" s="1">
        <v>44328.5</v>
      </c>
      <c r="W1051" s="1">
        <v>147207.20000000001</v>
      </c>
      <c r="X1051" s="1">
        <v>6.26</v>
      </c>
      <c r="Y1051" s="1">
        <v>2350</v>
      </c>
      <c r="Z1051" s="1">
        <v>524817</v>
      </c>
      <c r="AA1051" s="1">
        <v>11.15</v>
      </c>
      <c r="AB1051" s="1">
        <v>8000</v>
      </c>
    </row>
    <row r="1052" spans="1:28" x14ac:dyDescent="0.4">
      <c r="A1052" s="1" t="s">
        <v>527</v>
      </c>
      <c r="B1052" s="1">
        <v>8000</v>
      </c>
      <c r="C1052" s="1">
        <v>0.4</v>
      </c>
      <c r="D1052" s="1">
        <v>0.5</v>
      </c>
      <c r="E1052" s="1">
        <v>2000</v>
      </c>
      <c r="F1052" s="1">
        <v>1</v>
      </c>
      <c r="G1052" s="1">
        <v>1</v>
      </c>
      <c r="H1052" s="1" t="s">
        <v>595</v>
      </c>
      <c r="I1052" s="1">
        <v>557823.1</v>
      </c>
      <c r="J1052" s="1">
        <v>221562.4</v>
      </c>
      <c r="K1052" s="1">
        <v>336260.7</v>
      </c>
      <c r="L1052" s="1">
        <v>2400</v>
      </c>
      <c r="M1052" s="1">
        <v>2.64</v>
      </c>
      <c r="N1052" s="1">
        <v>136027.79999999999</v>
      </c>
      <c r="O1052" s="1">
        <v>210349.1</v>
      </c>
      <c r="P1052" s="1">
        <v>346376.9</v>
      </c>
      <c r="Q1052" s="1">
        <v>93862.5</v>
      </c>
      <c r="R1052" s="1">
        <v>39188.6</v>
      </c>
      <c r="S1052" s="1">
        <v>133051.1</v>
      </c>
      <c r="T1052" s="1">
        <v>14.05</v>
      </c>
      <c r="U1052" s="1">
        <v>1.06</v>
      </c>
      <c r="V1052" s="1">
        <v>37134.199999999997</v>
      </c>
      <c r="W1052" s="1">
        <v>130996.7</v>
      </c>
      <c r="X1052" s="1">
        <v>3.7</v>
      </c>
      <c r="Y1052" s="1">
        <v>2093</v>
      </c>
      <c r="Z1052" s="1">
        <v>477373.6</v>
      </c>
      <c r="AA1052" s="1">
        <v>14.42</v>
      </c>
      <c r="AB1052" s="1">
        <v>8000</v>
      </c>
    </row>
    <row r="1053" spans="1:28" x14ac:dyDescent="0.4">
      <c r="A1053" s="1" t="s">
        <v>528</v>
      </c>
      <c r="B1053" s="1">
        <v>8000</v>
      </c>
      <c r="C1053" s="1">
        <v>0.4</v>
      </c>
      <c r="D1053" s="1">
        <v>0.5</v>
      </c>
      <c r="E1053" s="1">
        <v>2000</v>
      </c>
      <c r="F1053" s="1">
        <v>1</v>
      </c>
      <c r="G1053" s="1">
        <v>2</v>
      </c>
      <c r="H1053" s="1" t="s">
        <v>595</v>
      </c>
      <c r="I1053" s="1">
        <v>574477.4</v>
      </c>
      <c r="J1053" s="1">
        <v>217902.4</v>
      </c>
      <c r="K1053" s="1">
        <v>356575</v>
      </c>
      <c r="L1053" s="1">
        <v>2400</v>
      </c>
      <c r="M1053" s="1">
        <v>2.6</v>
      </c>
      <c r="N1053" s="1">
        <v>130608.2</v>
      </c>
      <c r="O1053" s="1">
        <v>216654.2</v>
      </c>
      <c r="P1053" s="1">
        <v>347262.4</v>
      </c>
      <c r="Q1053" s="1">
        <v>101398.39999999999</v>
      </c>
      <c r="R1053" s="1">
        <v>41101.1</v>
      </c>
      <c r="S1053" s="1">
        <v>142499.5</v>
      </c>
      <c r="T1053" s="1">
        <v>14.75</v>
      </c>
      <c r="U1053" s="1">
        <v>1.1299999999999999</v>
      </c>
      <c r="V1053" s="1">
        <v>39176.1</v>
      </c>
      <c r="W1053" s="1">
        <v>140574.5</v>
      </c>
      <c r="X1053" s="1">
        <v>3.73</v>
      </c>
      <c r="Y1053" s="1">
        <v>2266</v>
      </c>
      <c r="Z1053" s="1">
        <v>487836.9</v>
      </c>
      <c r="AA1053" s="1">
        <v>15.08</v>
      </c>
      <c r="AB1053" s="1">
        <v>8000</v>
      </c>
    </row>
    <row r="1054" spans="1:28" x14ac:dyDescent="0.4">
      <c r="A1054" s="1" t="s">
        <v>529</v>
      </c>
      <c r="B1054" s="1">
        <v>8000</v>
      </c>
      <c r="C1054" s="1">
        <v>0.4</v>
      </c>
      <c r="D1054" s="1">
        <v>0.5</v>
      </c>
      <c r="E1054" s="1">
        <v>2000</v>
      </c>
      <c r="F1054" s="1">
        <v>1</v>
      </c>
      <c r="G1054" s="1">
        <v>3</v>
      </c>
      <c r="H1054" s="1" t="s">
        <v>595</v>
      </c>
      <c r="I1054" s="1">
        <v>568049.30000000005</v>
      </c>
      <c r="J1054" s="1">
        <v>222300.5</v>
      </c>
      <c r="K1054" s="1">
        <v>345748.8</v>
      </c>
      <c r="L1054" s="1">
        <v>2400</v>
      </c>
      <c r="M1054" s="1">
        <v>2.77</v>
      </c>
      <c r="N1054" s="1">
        <v>137223.9</v>
      </c>
      <c r="O1054" s="1">
        <v>223813.1</v>
      </c>
      <c r="P1054" s="1">
        <v>361037</v>
      </c>
      <c r="Q1054" s="1">
        <v>88939.8</v>
      </c>
      <c r="R1054" s="1">
        <v>36622.199999999997</v>
      </c>
      <c r="S1054" s="1">
        <v>125562</v>
      </c>
      <c r="T1054" s="1">
        <v>14.34</v>
      </c>
      <c r="U1054" s="1">
        <v>0.83</v>
      </c>
      <c r="V1054" s="1">
        <v>34791.599999999999</v>
      </c>
      <c r="W1054" s="1">
        <v>123731.4</v>
      </c>
      <c r="X1054" s="1">
        <v>3.6</v>
      </c>
      <c r="Y1054" s="1">
        <v>1919</v>
      </c>
      <c r="Z1054" s="1">
        <v>484768.4</v>
      </c>
      <c r="AA1054" s="1">
        <v>14.66</v>
      </c>
      <c r="AB1054" s="1">
        <v>8000</v>
      </c>
    </row>
    <row r="1055" spans="1:28" x14ac:dyDescent="0.4">
      <c r="A1055" s="1" t="s">
        <v>530</v>
      </c>
      <c r="B1055" s="1">
        <v>8000</v>
      </c>
      <c r="C1055" s="1">
        <v>0.4</v>
      </c>
      <c r="D1055" s="1">
        <v>0.5</v>
      </c>
      <c r="E1055" s="1">
        <v>2000</v>
      </c>
      <c r="F1055" s="1">
        <v>1</v>
      </c>
      <c r="G1055" s="1">
        <v>4</v>
      </c>
      <c r="H1055" s="1" t="s">
        <v>595</v>
      </c>
      <c r="I1055" s="1">
        <v>581912.6</v>
      </c>
      <c r="J1055" s="1">
        <v>225923.8</v>
      </c>
      <c r="K1055" s="1">
        <v>355988.8</v>
      </c>
      <c r="L1055" s="1">
        <v>2400</v>
      </c>
      <c r="M1055" s="1">
        <v>2.65</v>
      </c>
      <c r="N1055" s="1">
        <v>140722.29999999999</v>
      </c>
      <c r="O1055" s="1">
        <v>228277.8</v>
      </c>
      <c r="P1055" s="1">
        <v>369000.1</v>
      </c>
      <c r="Q1055" s="1">
        <v>90047.7</v>
      </c>
      <c r="R1055" s="1">
        <v>37191.300000000003</v>
      </c>
      <c r="S1055" s="1">
        <v>127239</v>
      </c>
      <c r="T1055" s="1">
        <v>14.72</v>
      </c>
      <c r="U1055" s="1">
        <v>0.94</v>
      </c>
      <c r="V1055" s="1">
        <v>35176.9</v>
      </c>
      <c r="W1055" s="1">
        <v>125224.6</v>
      </c>
      <c r="X1055" s="1">
        <v>3.59</v>
      </c>
      <c r="Y1055" s="1">
        <v>1921</v>
      </c>
      <c r="Z1055" s="1">
        <v>494224.7</v>
      </c>
      <c r="AA1055" s="1">
        <v>15.07</v>
      </c>
      <c r="AB1055" s="1">
        <v>8000</v>
      </c>
    </row>
    <row r="1056" spans="1:28" x14ac:dyDescent="0.4">
      <c r="A1056" s="1" t="s">
        <v>531</v>
      </c>
      <c r="B1056" s="1">
        <v>8000</v>
      </c>
      <c r="C1056" s="1">
        <v>0.4</v>
      </c>
      <c r="D1056" s="1">
        <v>0.5</v>
      </c>
      <c r="E1056" s="1">
        <v>2000</v>
      </c>
      <c r="F1056" s="1">
        <v>1</v>
      </c>
      <c r="G1056" s="1">
        <v>5</v>
      </c>
      <c r="H1056" s="1" t="s">
        <v>595</v>
      </c>
      <c r="I1056" s="1">
        <v>572459.9</v>
      </c>
      <c r="J1056" s="1">
        <v>219618.8</v>
      </c>
      <c r="K1056" s="1">
        <v>352841.1</v>
      </c>
      <c r="L1056" s="1">
        <v>2400</v>
      </c>
      <c r="M1056" s="1">
        <v>2.64</v>
      </c>
      <c r="N1056" s="1">
        <v>138228.1</v>
      </c>
      <c r="O1056" s="1">
        <v>226969.3</v>
      </c>
      <c r="P1056" s="1">
        <v>365197.4</v>
      </c>
      <c r="Q1056" s="1">
        <v>86761.5</v>
      </c>
      <c r="R1056" s="1">
        <v>37061.1</v>
      </c>
      <c r="S1056" s="1">
        <v>123822.6</v>
      </c>
      <c r="T1056" s="1">
        <v>14.58</v>
      </c>
      <c r="U1056" s="1">
        <v>0.91</v>
      </c>
      <c r="V1056" s="1">
        <v>35270</v>
      </c>
      <c r="W1056" s="1">
        <v>122031.5</v>
      </c>
      <c r="X1056" s="1">
        <v>3.55</v>
      </c>
      <c r="Y1056" s="1">
        <v>1890</v>
      </c>
      <c r="Z1056" s="1">
        <v>487228.9</v>
      </c>
      <c r="AA1056" s="1">
        <v>14.89</v>
      </c>
      <c r="AB1056" s="1">
        <v>8000</v>
      </c>
    </row>
    <row r="1057" spans="1:28" x14ac:dyDescent="0.4">
      <c r="A1057" s="1" t="s">
        <v>532</v>
      </c>
      <c r="B1057" s="1">
        <v>8000</v>
      </c>
      <c r="C1057" s="1">
        <v>0.4</v>
      </c>
      <c r="D1057" s="1">
        <v>0.5</v>
      </c>
      <c r="E1057" s="1">
        <v>2000</v>
      </c>
      <c r="F1057" s="1">
        <v>2</v>
      </c>
      <c r="G1057" s="1">
        <v>1</v>
      </c>
      <c r="H1057" s="1" t="s">
        <v>595</v>
      </c>
      <c r="I1057" s="1">
        <v>879041</v>
      </c>
      <c r="J1057" s="1">
        <v>331624.40000000002</v>
      </c>
      <c r="K1057" s="1">
        <v>547416.6</v>
      </c>
      <c r="L1057" s="1">
        <v>2400</v>
      </c>
      <c r="M1057" s="1">
        <v>4.63</v>
      </c>
      <c r="N1057" s="1">
        <v>210735.3</v>
      </c>
      <c r="O1057" s="1">
        <v>361115.1</v>
      </c>
      <c r="P1057" s="1">
        <v>571850.4</v>
      </c>
      <c r="Q1057" s="1">
        <v>101853.7</v>
      </c>
      <c r="R1057" s="1">
        <v>48222.400000000001</v>
      </c>
      <c r="S1057" s="1">
        <v>150076.1</v>
      </c>
      <c r="T1057" s="1">
        <v>17.87</v>
      </c>
      <c r="U1057" s="1">
        <v>1.65</v>
      </c>
      <c r="V1057" s="1">
        <v>45358.6</v>
      </c>
      <c r="W1057" s="1">
        <v>147212.29999999999</v>
      </c>
      <c r="X1057" s="1">
        <v>6.28</v>
      </c>
      <c r="Y1057" s="1">
        <v>2348</v>
      </c>
      <c r="Z1057" s="1">
        <v>719062.7</v>
      </c>
      <c r="AA1057" s="1">
        <v>18.2</v>
      </c>
      <c r="AB1057" s="1">
        <v>8000</v>
      </c>
    </row>
    <row r="1058" spans="1:28" x14ac:dyDescent="0.4">
      <c r="A1058" s="1" t="s">
        <v>533</v>
      </c>
      <c r="B1058" s="1">
        <v>8000</v>
      </c>
      <c r="C1058" s="1">
        <v>0.4</v>
      </c>
      <c r="D1058" s="1">
        <v>0.5</v>
      </c>
      <c r="E1058" s="1">
        <v>2000</v>
      </c>
      <c r="F1058" s="1">
        <v>2</v>
      </c>
      <c r="G1058" s="1">
        <v>2</v>
      </c>
      <c r="H1058" s="1" t="s">
        <v>595</v>
      </c>
      <c r="I1058" s="1">
        <v>895929.2</v>
      </c>
      <c r="J1058" s="1">
        <v>335858.2</v>
      </c>
      <c r="K1058" s="1">
        <v>560071</v>
      </c>
      <c r="L1058" s="1">
        <v>2400</v>
      </c>
      <c r="M1058" s="1">
        <v>5.89</v>
      </c>
      <c r="N1058" s="1">
        <v>214152.8</v>
      </c>
      <c r="O1058" s="1">
        <v>366079.7</v>
      </c>
      <c r="P1058" s="1">
        <v>580232.5</v>
      </c>
      <c r="Q1058" s="1">
        <v>100741</v>
      </c>
      <c r="R1058" s="1">
        <v>47826.8</v>
      </c>
      <c r="S1058" s="1">
        <v>148567.79999999999</v>
      </c>
      <c r="T1058" s="1">
        <v>18.649999999999999</v>
      </c>
      <c r="U1058" s="1">
        <v>1.69</v>
      </c>
      <c r="V1058" s="1">
        <v>45167.1</v>
      </c>
      <c r="W1058" s="1">
        <v>145908.1</v>
      </c>
      <c r="X1058" s="1">
        <v>7.58</v>
      </c>
      <c r="Y1058" s="1">
        <v>2266</v>
      </c>
      <c r="Z1058" s="1">
        <v>726140.6</v>
      </c>
      <c r="AA1058" s="1">
        <v>18.95</v>
      </c>
      <c r="AB1058" s="1">
        <v>8000</v>
      </c>
    </row>
    <row r="1059" spans="1:28" x14ac:dyDescent="0.4">
      <c r="A1059" s="1" t="s">
        <v>534</v>
      </c>
      <c r="B1059" s="1">
        <v>8000</v>
      </c>
      <c r="C1059" s="1">
        <v>0.4</v>
      </c>
      <c r="D1059" s="1">
        <v>0.5</v>
      </c>
      <c r="E1059" s="1">
        <v>2000</v>
      </c>
      <c r="F1059" s="1">
        <v>2</v>
      </c>
      <c r="G1059" s="1">
        <v>3</v>
      </c>
      <c r="H1059" s="1" t="s">
        <v>595</v>
      </c>
      <c r="I1059" s="1">
        <v>882760.1</v>
      </c>
      <c r="J1059" s="1">
        <v>328520.5</v>
      </c>
      <c r="K1059" s="1">
        <v>554239.6</v>
      </c>
      <c r="L1059" s="1">
        <v>2400</v>
      </c>
      <c r="M1059" s="1">
        <v>4.55</v>
      </c>
      <c r="N1059" s="1">
        <v>205020.7</v>
      </c>
      <c r="O1059" s="1">
        <v>359248.7</v>
      </c>
      <c r="P1059" s="1">
        <v>564269.4</v>
      </c>
      <c r="Q1059" s="1">
        <v>104931.1</v>
      </c>
      <c r="R1059" s="1">
        <v>48801.9</v>
      </c>
      <c r="S1059" s="1">
        <v>153733</v>
      </c>
      <c r="T1059" s="1">
        <v>18.66</v>
      </c>
      <c r="U1059" s="1">
        <v>1.84</v>
      </c>
      <c r="V1059" s="1">
        <v>46121</v>
      </c>
      <c r="W1059" s="1">
        <v>151052.1</v>
      </c>
      <c r="X1059" s="1">
        <v>6.38</v>
      </c>
      <c r="Y1059" s="1">
        <v>2399</v>
      </c>
      <c r="Z1059" s="1">
        <v>715321.5</v>
      </c>
      <c r="AA1059" s="1">
        <v>18.97</v>
      </c>
      <c r="AB1059" s="1">
        <v>8000</v>
      </c>
    </row>
    <row r="1060" spans="1:28" x14ac:dyDescent="0.4">
      <c r="A1060" s="1" t="s">
        <v>535</v>
      </c>
      <c r="B1060" s="1">
        <v>8000</v>
      </c>
      <c r="C1060" s="1">
        <v>0.4</v>
      </c>
      <c r="D1060" s="1">
        <v>0.5</v>
      </c>
      <c r="E1060" s="1">
        <v>2000</v>
      </c>
      <c r="F1060" s="1">
        <v>2</v>
      </c>
      <c r="G1060" s="1">
        <v>4</v>
      </c>
      <c r="H1060" s="1" t="s">
        <v>595</v>
      </c>
      <c r="I1060" s="1">
        <v>890793.9</v>
      </c>
      <c r="J1060" s="1">
        <v>333769.09999999998</v>
      </c>
      <c r="K1060" s="1">
        <v>557024.80000000005</v>
      </c>
      <c r="L1060" s="1">
        <v>2400</v>
      </c>
      <c r="M1060" s="1">
        <v>5.46</v>
      </c>
      <c r="N1060" s="1">
        <v>208385.9</v>
      </c>
      <c r="O1060" s="1">
        <v>353692.1</v>
      </c>
      <c r="P1060" s="1">
        <v>562078</v>
      </c>
      <c r="Q1060" s="1">
        <v>105703.6</v>
      </c>
      <c r="R1060" s="1">
        <v>48537.5</v>
      </c>
      <c r="S1060" s="1">
        <v>154241.1</v>
      </c>
      <c r="T1060" s="1">
        <v>19.59</v>
      </c>
      <c r="U1060" s="1">
        <v>1.66</v>
      </c>
      <c r="V1060" s="1">
        <v>46307.3</v>
      </c>
      <c r="W1060" s="1">
        <v>152010.9</v>
      </c>
      <c r="X1060" s="1">
        <v>7.12</v>
      </c>
      <c r="Y1060" s="1">
        <v>2388</v>
      </c>
      <c r="Z1060" s="1">
        <v>714088.9</v>
      </c>
      <c r="AA1060" s="1">
        <v>19.84</v>
      </c>
      <c r="AB1060" s="1">
        <v>8000</v>
      </c>
    </row>
    <row r="1061" spans="1:28" x14ac:dyDescent="0.4">
      <c r="A1061" s="1" t="s">
        <v>536</v>
      </c>
      <c r="B1061" s="1">
        <v>8000</v>
      </c>
      <c r="C1061" s="1">
        <v>0.4</v>
      </c>
      <c r="D1061" s="1">
        <v>0.5</v>
      </c>
      <c r="E1061" s="1">
        <v>2000</v>
      </c>
      <c r="F1061" s="1">
        <v>2</v>
      </c>
      <c r="G1061" s="1">
        <v>5</v>
      </c>
      <c r="H1061" s="1" t="s">
        <v>595</v>
      </c>
      <c r="I1061" s="1">
        <v>911648.3</v>
      </c>
      <c r="J1061" s="1">
        <v>355200.1</v>
      </c>
      <c r="K1061" s="1">
        <v>556448.19999999995</v>
      </c>
      <c r="L1061" s="1">
        <v>2400</v>
      </c>
      <c r="M1061" s="1">
        <v>5.52</v>
      </c>
      <c r="N1061" s="1">
        <v>223404.6</v>
      </c>
      <c r="O1061" s="1">
        <v>367145.3</v>
      </c>
      <c r="P1061" s="1">
        <v>590549.9</v>
      </c>
      <c r="Q1061" s="1">
        <v>105135.2</v>
      </c>
      <c r="R1061" s="1">
        <v>48015</v>
      </c>
      <c r="S1061" s="1">
        <v>153150.20000000001</v>
      </c>
      <c r="T1061" s="1">
        <v>18.420000000000002</v>
      </c>
      <c r="U1061" s="1">
        <v>1.82</v>
      </c>
      <c r="V1061" s="1">
        <v>45184.2</v>
      </c>
      <c r="W1061" s="1">
        <v>150319.4</v>
      </c>
      <c r="X1061" s="1">
        <v>7.34</v>
      </c>
      <c r="Y1061" s="1">
        <v>2400</v>
      </c>
      <c r="Z1061" s="1">
        <v>740869.3</v>
      </c>
      <c r="AA1061" s="1">
        <v>18.73</v>
      </c>
      <c r="AB1061" s="1">
        <v>8000</v>
      </c>
    </row>
    <row r="1062" spans="1:28" x14ac:dyDescent="0.4">
      <c r="A1062" s="1" t="s">
        <v>537</v>
      </c>
      <c r="B1062" s="1">
        <v>8000</v>
      </c>
      <c r="C1062" s="1">
        <v>0.4</v>
      </c>
      <c r="D1062" s="1">
        <v>0.5</v>
      </c>
      <c r="E1062" s="1">
        <v>2000</v>
      </c>
      <c r="F1062" s="1">
        <v>3</v>
      </c>
      <c r="G1062" s="1">
        <v>1</v>
      </c>
      <c r="H1062" s="1" t="s">
        <v>595</v>
      </c>
      <c r="I1062" s="1">
        <v>1144134.7</v>
      </c>
      <c r="J1062" s="1">
        <v>435526.8</v>
      </c>
      <c r="K1062" s="1">
        <v>708607.9</v>
      </c>
      <c r="L1062" s="1">
        <v>2400</v>
      </c>
      <c r="M1062" s="1">
        <v>8.49</v>
      </c>
      <c r="N1062" s="1">
        <v>286317</v>
      </c>
      <c r="O1062" s="1">
        <v>481728.7</v>
      </c>
      <c r="P1062" s="1">
        <v>768045.7</v>
      </c>
      <c r="Q1062" s="1">
        <v>100349.8</v>
      </c>
      <c r="R1062" s="1">
        <v>49116.5</v>
      </c>
      <c r="S1062" s="1">
        <v>149466.29999999999</v>
      </c>
      <c r="T1062" s="1">
        <v>19.809999999999999</v>
      </c>
      <c r="U1062" s="1">
        <v>1.86</v>
      </c>
      <c r="V1062" s="1">
        <v>46770.1</v>
      </c>
      <c r="W1062" s="1">
        <v>147119.9</v>
      </c>
      <c r="X1062" s="1">
        <v>10.35</v>
      </c>
      <c r="Y1062" s="1">
        <v>2348</v>
      </c>
      <c r="Z1062" s="1">
        <v>915165.6</v>
      </c>
      <c r="AA1062" s="1">
        <v>20.010000000000002</v>
      </c>
      <c r="AB1062" s="1">
        <v>8000</v>
      </c>
    </row>
    <row r="1063" spans="1:28" x14ac:dyDescent="0.4">
      <c r="A1063" s="1" t="s">
        <v>538</v>
      </c>
      <c r="B1063" s="1">
        <v>8000</v>
      </c>
      <c r="C1063" s="1">
        <v>0.4</v>
      </c>
      <c r="D1063" s="1">
        <v>0.5</v>
      </c>
      <c r="E1063" s="1">
        <v>2000</v>
      </c>
      <c r="F1063" s="1">
        <v>3</v>
      </c>
      <c r="G1063" s="1">
        <v>2</v>
      </c>
      <c r="H1063" s="1" t="s">
        <v>595</v>
      </c>
      <c r="I1063" s="1">
        <v>1169628.8</v>
      </c>
      <c r="J1063" s="1">
        <v>444905.8</v>
      </c>
      <c r="K1063" s="1">
        <v>724723</v>
      </c>
      <c r="L1063" s="1">
        <v>2400</v>
      </c>
      <c r="M1063" s="1">
        <v>8.5399999999999991</v>
      </c>
      <c r="N1063" s="1">
        <v>294404.8</v>
      </c>
      <c r="O1063" s="1">
        <v>491127.5</v>
      </c>
      <c r="P1063" s="1">
        <v>785532.3</v>
      </c>
      <c r="Q1063" s="1">
        <v>102240.9</v>
      </c>
      <c r="R1063" s="1">
        <v>50553.5</v>
      </c>
      <c r="S1063" s="1">
        <v>152794.4</v>
      </c>
      <c r="T1063" s="1">
        <v>19.78</v>
      </c>
      <c r="U1063" s="1">
        <v>1.88</v>
      </c>
      <c r="V1063" s="1">
        <v>47901.599999999999</v>
      </c>
      <c r="W1063" s="1">
        <v>150142.5</v>
      </c>
      <c r="X1063" s="1">
        <v>10.42</v>
      </c>
      <c r="Y1063" s="1">
        <v>2332</v>
      </c>
      <c r="Z1063" s="1">
        <v>935674.8</v>
      </c>
      <c r="AA1063" s="1">
        <v>20</v>
      </c>
      <c r="AB1063" s="1">
        <v>8000</v>
      </c>
    </row>
    <row r="1064" spans="1:28" x14ac:dyDescent="0.4">
      <c r="A1064" s="1" t="s">
        <v>539</v>
      </c>
      <c r="B1064" s="1">
        <v>8000</v>
      </c>
      <c r="C1064" s="1">
        <v>0.4</v>
      </c>
      <c r="D1064" s="1">
        <v>0.5</v>
      </c>
      <c r="E1064" s="1">
        <v>2000</v>
      </c>
      <c r="F1064" s="1">
        <v>3</v>
      </c>
      <c r="G1064" s="1">
        <v>3</v>
      </c>
      <c r="H1064" s="1" t="s">
        <v>595</v>
      </c>
      <c r="I1064" s="1">
        <v>1163270.8</v>
      </c>
      <c r="J1064" s="1">
        <v>449150.5</v>
      </c>
      <c r="K1064" s="1">
        <v>714120.3</v>
      </c>
      <c r="L1064" s="1">
        <v>2400</v>
      </c>
      <c r="M1064" s="1">
        <v>8.42</v>
      </c>
      <c r="N1064" s="1">
        <v>298689.40000000002</v>
      </c>
      <c r="O1064" s="1">
        <v>487846</v>
      </c>
      <c r="P1064" s="1">
        <v>786535.4</v>
      </c>
      <c r="Q1064" s="1">
        <v>101595.2</v>
      </c>
      <c r="R1064" s="1">
        <v>50798.7</v>
      </c>
      <c r="S1064" s="1">
        <v>152393.9</v>
      </c>
      <c r="T1064" s="1">
        <v>19.29</v>
      </c>
      <c r="U1064" s="1">
        <v>1.9</v>
      </c>
      <c r="V1064" s="1">
        <v>47599.4</v>
      </c>
      <c r="W1064" s="1">
        <v>149194.6</v>
      </c>
      <c r="X1064" s="1">
        <v>10.32</v>
      </c>
      <c r="Y1064" s="1">
        <v>2353</v>
      </c>
      <c r="Z1064" s="1">
        <v>935730</v>
      </c>
      <c r="AA1064" s="1">
        <v>19.559999999999999</v>
      </c>
      <c r="AB1064" s="1">
        <v>8000</v>
      </c>
    </row>
    <row r="1065" spans="1:28" x14ac:dyDescent="0.4">
      <c r="A1065" s="1" t="s">
        <v>540</v>
      </c>
      <c r="B1065" s="1">
        <v>8000</v>
      </c>
      <c r="C1065" s="1">
        <v>0.4</v>
      </c>
      <c r="D1065" s="1">
        <v>0.5</v>
      </c>
      <c r="E1065" s="1">
        <v>2000</v>
      </c>
      <c r="F1065" s="1">
        <v>3</v>
      </c>
      <c r="G1065" s="1">
        <v>4</v>
      </c>
      <c r="H1065" s="1" t="s">
        <v>595</v>
      </c>
      <c r="I1065" s="1">
        <v>1180601.1000000001</v>
      </c>
      <c r="J1065" s="1">
        <v>442385.1</v>
      </c>
      <c r="K1065" s="1">
        <v>738216</v>
      </c>
      <c r="L1065" s="1">
        <v>2400</v>
      </c>
      <c r="M1065" s="1">
        <v>8.44</v>
      </c>
      <c r="N1065" s="1">
        <v>292884.2</v>
      </c>
      <c r="O1065" s="1">
        <v>500680</v>
      </c>
      <c r="P1065" s="1">
        <v>793564.2</v>
      </c>
      <c r="Q1065" s="1">
        <v>101555.3</v>
      </c>
      <c r="R1065" s="1">
        <v>49892.800000000003</v>
      </c>
      <c r="S1065" s="1">
        <v>151448.1</v>
      </c>
      <c r="T1065" s="1">
        <v>19.95</v>
      </c>
      <c r="U1065" s="1">
        <v>1.86</v>
      </c>
      <c r="V1065" s="1">
        <v>47427.8</v>
      </c>
      <c r="W1065" s="1">
        <v>148983.1</v>
      </c>
      <c r="X1065" s="1">
        <v>10.3</v>
      </c>
      <c r="Y1065" s="1">
        <v>2347</v>
      </c>
      <c r="Z1065" s="1">
        <v>942547.3</v>
      </c>
      <c r="AA1065" s="1">
        <v>20.16</v>
      </c>
      <c r="AB1065" s="1">
        <v>8000</v>
      </c>
    </row>
    <row r="1066" spans="1:28" x14ac:dyDescent="0.4">
      <c r="A1066" s="1" t="s">
        <v>541</v>
      </c>
      <c r="B1066" s="1">
        <v>8000</v>
      </c>
      <c r="C1066" s="1">
        <v>0.4</v>
      </c>
      <c r="D1066" s="1">
        <v>0.5</v>
      </c>
      <c r="E1066" s="1">
        <v>2000</v>
      </c>
      <c r="F1066" s="1">
        <v>3</v>
      </c>
      <c r="G1066" s="1">
        <v>5</v>
      </c>
      <c r="H1066" s="1" t="s">
        <v>595</v>
      </c>
      <c r="I1066" s="1">
        <v>1164364.2</v>
      </c>
      <c r="J1066" s="1">
        <v>446342.3</v>
      </c>
      <c r="K1066" s="1">
        <v>718021.9</v>
      </c>
      <c r="L1066" s="1">
        <v>2400</v>
      </c>
      <c r="M1066" s="1">
        <v>8.14</v>
      </c>
      <c r="N1066" s="1">
        <v>300409.5</v>
      </c>
      <c r="O1066" s="1">
        <v>494661.9</v>
      </c>
      <c r="P1066" s="1">
        <v>795071.4</v>
      </c>
      <c r="Q1066" s="1">
        <v>99324.9</v>
      </c>
      <c r="R1066" s="1">
        <v>51100.2</v>
      </c>
      <c r="S1066" s="1">
        <v>150425.1</v>
      </c>
      <c r="T1066" s="1">
        <v>18.8</v>
      </c>
      <c r="U1066" s="1">
        <v>1.88</v>
      </c>
      <c r="V1066" s="1">
        <v>48528</v>
      </c>
      <c r="W1066" s="1">
        <v>147852.9</v>
      </c>
      <c r="X1066" s="1">
        <v>10.02</v>
      </c>
      <c r="Y1066" s="1">
        <v>2294</v>
      </c>
      <c r="Z1066" s="1">
        <v>942924.3</v>
      </c>
      <c r="AA1066" s="1">
        <v>19.02</v>
      </c>
      <c r="AB1066" s="1">
        <v>8000</v>
      </c>
    </row>
    <row r="1067" spans="1:28" x14ac:dyDescent="0.4">
      <c r="A1067" s="1" t="s">
        <v>542</v>
      </c>
      <c r="B1067" s="1">
        <v>8000</v>
      </c>
      <c r="C1067" s="1">
        <v>0.4</v>
      </c>
      <c r="D1067" s="1">
        <v>0.5</v>
      </c>
      <c r="E1067" s="1">
        <v>500</v>
      </c>
      <c r="F1067" s="1">
        <v>1</v>
      </c>
      <c r="G1067" s="1">
        <v>1</v>
      </c>
      <c r="H1067" s="1" t="s">
        <v>595</v>
      </c>
      <c r="I1067" s="1">
        <v>137948.4</v>
      </c>
      <c r="J1067" s="1">
        <v>56686</v>
      </c>
      <c r="K1067" s="1">
        <v>81262.399999999994</v>
      </c>
      <c r="L1067" s="1">
        <v>2400</v>
      </c>
      <c r="M1067" s="1">
        <v>2.93</v>
      </c>
      <c r="N1067" s="1">
        <v>48895.199999999997</v>
      </c>
      <c r="O1067" s="1">
        <v>73033.7</v>
      </c>
      <c r="P1067" s="1">
        <v>121928.9</v>
      </c>
      <c r="Q1067" s="1">
        <v>8689.7999999999993</v>
      </c>
      <c r="R1067" s="1">
        <v>2923.8</v>
      </c>
      <c r="S1067" s="1">
        <v>11613.6</v>
      </c>
      <c r="T1067" s="1">
        <v>3.19</v>
      </c>
      <c r="U1067" s="1">
        <v>0</v>
      </c>
      <c r="V1067" s="1">
        <v>2816.4</v>
      </c>
      <c r="W1067" s="1">
        <v>11506.2</v>
      </c>
      <c r="X1067" s="1">
        <v>2.93</v>
      </c>
      <c r="Y1067" s="1">
        <v>172</v>
      </c>
      <c r="Z1067" s="1">
        <v>133435.1</v>
      </c>
      <c r="AA1067" s="1">
        <v>3.27</v>
      </c>
      <c r="AB1067" s="1">
        <v>8000</v>
      </c>
    </row>
    <row r="1068" spans="1:28" x14ac:dyDescent="0.4">
      <c r="A1068" s="1" t="s">
        <v>543</v>
      </c>
      <c r="B1068" s="1">
        <v>8000</v>
      </c>
      <c r="C1068" s="1">
        <v>0.4</v>
      </c>
      <c r="D1068" s="1">
        <v>0.5</v>
      </c>
      <c r="E1068" s="1">
        <v>500</v>
      </c>
      <c r="F1068" s="1">
        <v>1</v>
      </c>
      <c r="G1068" s="1">
        <v>2</v>
      </c>
      <c r="H1068" s="1" t="s">
        <v>595</v>
      </c>
      <c r="I1068" s="1">
        <v>145133.4</v>
      </c>
      <c r="J1068" s="1">
        <v>57078.2</v>
      </c>
      <c r="K1068" s="1">
        <v>88055.2</v>
      </c>
      <c r="L1068" s="1">
        <v>2400</v>
      </c>
      <c r="M1068" s="1">
        <v>3.27</v>
      </c>
      <c r="N1068" s="1">
        <v>46724.5</v>
      </c>
      <c r="O1068" s="1">
        <v>75081.5</v>
      </c>
      <c r="P1068" s="1">
        <v>121806</v>
      </c>
      <c r="Q1068" s="1">
        <v>12217.9</v>
      </c>
      <c r="R1068" s="1">
        <v>4223.3</v>
      </c>
      <c r="S1068" s="1">
        <v>16441.2</v>
      </c>
      <c r="T1068" s="1">
        <v>4.74</v>
      </c>
      <c r="U1068" s="1">
        <v>0.01</v>
      </c>
      <c r="V1068" s="1">
        <v>3918.7</v>
      </c>
      <c r="W1068" s="1">
        <v>16136.6</v>
      </c>
      <c r="X1068" s="1">
        <v>3.28</v>
      </c>
      <c r="Y1068" s="1">
        <v>283</v>
      </c>
      <c r="Z1068" s="1">
        <v>137942.6</v>
      </c>
      <c r="AA1068" s="1">
        <v>4.95</v>
      </c>
      <c r="AB1068" s="1">
        <v>8000</v>
      </c>
    </row>
    <row r="1069" spans="1:28" x14ac:dyDescent="0.4">
      <c r="A1069" s="1" t="s">
        <v>544</v>
      </c>
      <c r="B1069" s="1">
        <v>8000</v>
      </c>
      <c r="C1069" s="1">
        <v>0.4</v>
      </c>
      <c r="D1069" s="1">
        <v>0.5</v>
      </c>
      <c r="E1069" s="1">
        <v>500</v>
      </c>
      <c r="F1069" s="1">
        <v>1</v>
      </c>
      <c r="G1069" s="1">
        <v>3</v>
      </c>
      <c r="H1069" s="1" t="s">
        <v>595</v>
      </c>
      <c r="I1069" s="1">
        <v>148208.79999999999</v>
      </c>
      <c r="J1069" s="1">
        <v>57969.9</v>
      </c>
      <c r="K1069" s="1">
        <v>90238.9</v>
      </c>
      <c r="L1069" s="1">
        <v>2400</v>
      </c>
      <c r="M1069" s="1">
        <v>3.42</v>
      </c>
      <c r="N1069" s="1">
        <v>48478.400000000001</v>
      </c>
      <c r="O1069" s="1">
        <v>76140.899999999994</v>
      </c>
      <c r="P1069" s="1">
        <v>124619.3</v>
      </c>
      <c r="Q1069" s="1">
        <v>13916</v>
      </c>
      <c r="R1069" s="1">
        <v>3901.2</v>
      </c>
      <c r="S1069" s="1">
        <v>17817.2</v>
      </c>
      <c r="T1069" s="1">
        <v>3.89</v>
      </c>
      <c r="U1069" s="1">
        <v>0</v>
      </c>
      <c r="V1069" s="1">
        <v>3698</v>
      </c>
      <c r="W1069" s="1">
        <v>17614</v>
      </c>
      <c r="X1069" s="1">
        <v>3.42</v>
      </c>
      <c r="Y1069" s="1">
        <v>284</v>
      </c>
      <c r="Z1069" s="1">
        <v>142233.29999999999</v>
      </c>
      <c r="AA1069" s="1">
        <v>4.03</v>
      </c>
      <c r="AB1069" s="1">
        <v>8000</v>
      </c>
    </row>
    <row r="1070" spans="1:28" x14ac:dyDescent="0.4">
      <c r="A1070" s="1" t="s">
        <v>545</v>
      </c>
      <c r="B1070" s="1">
        <v>8000</v>
      </c>
      <c r="C1070" s="1">
        <v>0.4</v>
      </c>
      <c r="D1070" s="1">
        <v>0.5</v>
      </c>
      <c r="E1070" s="1">
        <v>500</v>
      </c>
      <c r="F1070" s="1">
        <v>1</v>
      </c>
      <c r="G1070" s="1">
        <v>4</v>
      </c>
      <c r="H1070" s="1" t="s">
        <v>595</v>
      </c>
      <c r="I1070" s="1">
        <v>140471.79999999999</v>
      </c>
      <c r="J1070" s="1">
        <v>55659.4</v>
      </c>
      <c r="K1070" s="1">
        <v>84812.4</v>
      </c>
      <c r="L1070" s="1">
        <v>2400</v>
      </c>
      <c r="M1070" s="1">
        <v>3.17</v>
      </c>
      <c r="N1070" s="1">
        <v>43494.9</v>
      </c>
      <c r="O1070" s="1">
        <v>73363.399999999994</v>
      </c>
      <c r="P1070" s="1">
        <v>116858.3</v>
      </c>
      <c r="Q1070" s="1">
        <v>12519.1</v>
      </c>
      <c r="R1070" s="1">
        <v>4112.2</v>
      </c>
      <c r="S1070" s="1">
        <v>16631.3</v>
      </c>
      <c r="T1070" s="1">
        <v>4.97</v>
      </c>
      <c r="U1070" s="1">
        <v>0</v>
      </c>
      <c r="V1070" s="1">
        <v>3848.7</v>
      </c>
      <c r="W1070" s="1">
        <v>16367.8</v>
      </c>
      <c r="X1070" s="1">
        <v>3.18</v>
      </c>
      <c r="Y1070" s="1">
        <v>255</v>
      </c>
      <c r="Z1070" s="1">
        <v>133226.1</v>
      </c>
      <c r="AA1070" s="1">
        <v>5.16</v>
      </c>
      <c r="AB1070" s="1">
        <v>8000</v>
      </c>
    </row>
    <row r="1071" spans="1:28" x14ac:dyDescent="0.4">
      <c r="A1071" s="1" t="s">
        <v>546</v>
      </c>
      <c r="B1071" s="1">
        <v>8000</v>
      </c>
      <c r="C1071" s="1">
        <v>0.4</v>
      </c>
      <c r="D1071" s="1">
        <v>0.5</v>
      </c>
      <c r="E1071" s="1">
        <v>500</v>
      </c>
      <c r="F1071" s="1">
        <v>1</v>
      </c>
      <c r="G1071" s="1">
        <v>5</v>
      </c>
      <c r="H1071" s="1" t="s">
        <v>595</v>
      </c>
      <c r="I1071" s="1">
        <v>143922.29999999999</v>
      </c>
      <c r="J1071" s="1">
        <v>56113.3</v>
      </c>
      <c r="K1071" s="1">
        <v>87809</v>
      </c>
      <c r="L1071" s="1">
        <v>2400</v>
      </c>
      <c r="M1071" s="1">
        <v>3.27</v>
      </c>
      <c r="N1071" s="1">
        <v>46616</v>
      </c>
      <c r="O1071" s="1">
        <v>75897.5</v>
      </c>
      <c r="P1071" s="1">
        <v>122513.5</v>
      </c>
      <c r="Q1071" s="1">
        <v>11359.9</v>
      </c>
      <c r="R1071" s="1">
        <v>3439.6</v>
      </c>
      <c r="S1071" s="1">
        <v>14799.5</v>
      </c>
      <c r="T1071" s="1">
        <v>4.59</v>
      </c>
      <c r="U1071" s="1">
        <v>0</v>
      </c>
      <c r="V1071" s="1">
        <v>3189.7</v>
      </c>
      <c r="W1071" s="1">
        <v>14549.6</v>
      </c>
      <c r="X1071" s="1">
        <v>3.27</v>
      </c>
      <c r="Y1071" s="1">
        <v>243</v>
      </c>
      <c r="Z1071" s="1">
        <v>137063.1</v>
      </c>
      <c r="AA1071" s="1">
        <v>4.7699999999999996</v>
      </c>
      <c r="AB1071" s="1">
        <v>8000</v>
      </c>
    </row>
    <row r="1072" spans="1:28" x14ac:dyDescent="0.4">
      <c r="A1072" s="1" t="s">
        <v>547</v>
      </c>
      <c r="B1072" s="1">
        <v>8000</v>
      </c>
      <c r="C1072" s="1">
        <v>0.4</v>
      </c>
      <c r="D1072" s="1">
        <v>0.5</v>
      </c>
      <c r="E1072" s="1">
        <v>500</v>
      </c>
      <c r="F1072" s="1">
        <v>2</v>
      </c>
      <c r="G1072" s="1">
        <v>1</v>
      </c>
      <c r="H1072" s="1" t="s">
        <v>595</v>
      </c>
      <c r="I1072" s="1">
        <v>229282.4</v>
      </c>
      <c r="J1072" s="1">
        <v>85888.4</v>
      </c>
      <c r="K1072" s="1">
        <v>143394</v>
      </c>
      <c r="L1072" s="1">
        <v>2400</v>
      </c>
      <c r="M1072" s="1">
        <v>4.68</v>
      </c>
      <c r="N1072" s="1">
        <v>72032.800000000003</v>
      </c>
      <c r="O1072" s="1">
        <v>124152.1</v>
      </c>
      <c r="P1072" s="1">
        <v>196184.9</v>
      </c>
      <c r="Q1072" s="1">
        <v>17777</v>
      </c>
      <c r="R1072" s="1">
        <v>6584.2</v>
      </c>
      <c r="S1072" s="1">
        <v>24361.200000000001</v>
      </c>
      <c r="T1072" s="1">
        <v>3.81</v>
      </c>
      <c r="U1072" s="1">
        <v>0.02</v>
      </c>
      <c r="V1072" s="1">
        <v>5979.6</v>
      </c>
      <c r="W1072" s="1">
        <v>23756.6</v>
      </c>
      <c r="X1072" s="1">
        <v>4.6900000000000004</v>
      </c>
      <c r="Y1072" s="1">
        <v>393</v>
      </c>
      <c r="Z1072" s="1">
        <v>219941.5</v>
      </c>
      <c r="AA1072" s="1">
        <v>4.07</v>
      </c>
      <c r="AB1072" s="1">
        <v>8000</v>
      </c>
    </row>
    <row r="1073" spans="1:28" x14ac:dyDescent="0.4">
      <c r="A1073" s="1" t="s">
        <v>548</v>
      </c>
      <c r="B1073" s="1">
        <v>8000</v>
      </c>
      <c r="C1073" s="1">
        <v>0.4</v>
      </c>
      <c r="D1073" s="1">
        <v>0.5</v>
      </c>
      <c r="E1073" s="1">
        <v>500</v>
      </c>
      <c r="F1073" s="1">
        <v>2</v>
      </c>
      <c r="G1073" s="1">
        <v>2</v>
      </c>
      <c r="H1073" s="1" t="s">
        <v>595</v>
      </c>
      <c r="I1073" s="1">
        <v>219348.1</v>
      </c>
      <c r="J1073" s="1">
        <v>82554.600000000006</v>
      </c>
      <c r="K1073" s="1">
        <v>136793.5</v>
      </c>
      <c r="L1073" s="1">
        <v>2400</v>
      </c>
      <c r="M1073" s="1">
        <v>4.7</v>
      </c>
      <c r="N1073" s="1">
        <v>72584.5</v>
      </c>
      <c r="O1073" s="1">
        <v>121755.1</v>
      </c>
      <c r="P1073" s="1">
        <v>194339.6</v>
      </c>
      <c r="Q1073" s="1">
        <v>10826.7</v>
      </c>
      <c r="R1073" s="1">
        <v>5746.1</v>
      </c>
      <c r="S1073" s="1">
        <v>16572.8</v>
      </c>
      <c r="T1073" s="1">
        <v>3.85</v>
      </c>
      <c r="U1073" s="1">
        <v>0.01</v>
      </c>
      <c r="V1073" s="1">
        <v>5417.5</v>
      </c>
      <c r="W1073" s="1">
        <v>16244.2</v>
      </c>
      <c r="X1073" s="1">
        <v>4.71</v>
      </c>
      <c r="Y1073" s="1">
        <v>247</v>
      </c>
      <c r="Z1073" s="1">
        <v>210583.8</v>
      </c>
      <c r="AA1073" s="1">
        <v>4</v>
      </c>
      <c r="AB1073" s="1">
        <v>8000</v>
      </c>
    </row>
    <row r="1074" spans="1:28" x14ac:dyDescent="0.4">
      <c r="A1074" s="1" t="s">
        <v>549</v>
      </c>
      <c r="B1074" s="1">
        <v>8000</v>
      </c>
      <c r="C1074" s="1">
        <v>0.4</v>
      </c>
      <c r="D1074" s="1">
        <v>0.5</v>
      </c>
      <c r="E1074" s="1">
        <v>500</v>
      </c>
      <c r="F1074" s="1">
        <v>2</v>
      </c>
      <c r="G1074" s="1">
        <v>3</v>
      </c>
      <c r="H1074" s="1" t="s">
        <v>595</v>
      </c>
      <c r="I1074" s="1">
        <v>220193.1</v>
      </c>
      <c r="J1074" s="1">
        <v>86632.4</v>
      </c>
      <c r="K1074" s="1">
        <v>133560.70000000001</v>
      </c>
      <c r="L1074" s="1">
        <v>2400</v>
      </c>
      <c r="M1074" s="1">
        <v>4.67</v>
      </c>
      <c r="N1074" s="1">
        <v>78767.399999999994</v>
      </c>
      <c r="O1074" s="1">
        <v>123011.6</v>
      </c>
      <c r="P1074" s="1">
        <v>201779</v>
      </c>
      <c r="Q1074" s="1">
        <v>6737.5</v>
      </c>
      <c r="R1074" s="1">
        <v>3098</v>
      </c>
      <c r="S1074" s="1">
        <v>9835.5</v>
      </c>
      <c r="T1074" s="1">
        <v>3.9</v>
      </c>
      <c r="U1074" s="1">
        <v>0</v>
      </c>
      <c r="V1074" s="1">
        <v>2970.2</v>
      </c>
      <c r="W1074" s="1">
        <v>9707.7000000000007</v>
      </c>
      <c r="X1074" s="1">
        <v>4.67</v>
      </c>
      <c r="Y1074" s="1">
        <v>135</v>
      </c>
      <c r="Z1074" s="1">
        <v>211486.7</v>
      </c>
      <c r="AA1074" s="1">
        <v>3.95</v>
      </c>
      <c r="AB1074" s="1">
        <v>8000</v>
      </c>
    </row>
    <row r="1075" spans="1:28" x14ac:dyDescent="0.4">
      <c r="A1075" s="1" t="s">
        <v>550</v>
      </c>
      <c r="B1075" s="1">
        <v>8000</v>
      </c>
      <c r="C1075" s="1">
        <v>0.4</v>
      </c>
      <c r="D1075" s="1">
        <v>0.5</v>
      </c>
      <c r="E1075" s="1">
        <v>500</v>
      </c>
      <c r="F1075" s="1">
        <v>2</v>
      </c>
      <c r="G1075" s="1">
        <v>4</v>
      </c>
      <c r="H1075" s="1" t="s">
        <v>595</v>
      </c>
      <c r="I1075" s="1">
        <v>204104.4</v>
      </c>
      <c r="J1075" s="1">
        <v>78709.2</v>
      </c>
      <c r="K1075" s="1">
        <v>125395.2</v>
      </c>
      <c r="L1075" s="1">
        <v>2400</v>
      </c>
      <c r="M1075" s="1">
        <v>4.3</v>
      </c>
      <c r="N1075" s="1">
        <v>64123.6</v>
      </c>
      <c r="O1075" s="1">
        <v>107049.8</v>
      </c>
      <c r="P1075" s="1">
        <v>171173.4</v>
      </c>
      <c r="Q1075" s="1">
        <v>16166.7</v>
      </c>
      <c r="R1075" s="1">
        <v>6143.4</v>
      </c>
      <c r="S1075" s="1">
        <v>22310.1</v>
      </c>
      <c r="T1075" s="1">
        <v>5.2</v>
      </c>
      <c r="U1075" s="1">
        <v>0.01</v>
      </c>
      <c r="V1075" s="1">
        <v>5602.6</v>
      </c>
      <c r="W1075" s="1">
        <v>21769.3</v>
      </c>
      <c r="X1075" s="1">
        <v>4.3099999999999996</v>
      </c>
      <c r="Y1075" s="1">
        <v>356</v>
      </c>
      <c r="Z1075" s="1">
        <v>192942.7</v>
      </c>
      <c r="AA1075" s="1">
        <v>5.47</v>
      </c>
      <c r="AB1075" s="1">
        <v>8000</v>
      </c>
    </row>
    <row r="1076" spans="1:28" x14ac:dyDescent="0.4">
      <c r="A1076" s="1" t="s">
        <v>551</v>
      </c>
      <c r="B1076" s="1">
        <v>8000</v>
      </c>
      <c r="C1076" s="1">
        <v>0.4</v>
      </c>
      <c r="D1076" s="1">
        <v>0.5</v>
      </c>
      <c r="E1076" s="1">
        <v>500</v>
      </c>
      <c r="F1076" s="1">
        <v>2</v>
      </c>
      <c r="G1076" s="1">
        <v>5</v>
      </c>
      <c r="H1076" s="1" t="s">
        <v>595</v>
      </c>
      <c r="I1076" s="1">
        <v>232301.2</v>
      </c>
      <c r="J1076" s="1">
        <v>86860</v>
      </c>
      <c r="K1076" s="1">
        <v>145441.20000000001</v>
      </c>
      <c r="L1076" s="1">
        <v>2400</v>
      </c>
      <c r="M1076" s="1">
        <v>4.51</v>
      </c>
      <c r="N1076" s="1">
        <v>75385.399999999994</v>
      </c>
      <c r="O1076" s="1">
        <v>127760.2</v>
      </c>
      <c r="P1076" s="1">
        <v>203145.60000000001</v>
      </c>
      <c r="Q1076" s="1">
        <v>13694.9</v>
      </c>
      <c r="R1076" s="1">
        <v>5618.4</v>
      </c>
      <c r="S1076" s="1">
        <v>19313.3</v>
      </c>
      <c r="T1076" s="1">
        <v>4.24</v>
      </c>
      <c r="U1076" s="1">
        <v>0.01</v>
      </c>
      <c r="V1076" s="1">
        <v>5352.1</v>
      </c>
      <c r="W1076" s="1">
        <v>19047</v>
      </c>
      <c r="X1076" s="1">
        <v>4.5199999999999996</v>
      </c>
      <c r="Y1076" s="1">
        <v>270</v>
      </c>
      <c r="Z1076" s="1">
        <v>222192.6</v>
      </c>
      <c r="AA1076" s="1">
        <v>4.3499999999999996</v>
      </c>
      <c r="AB1076" s="1">
        <v>8000</v>
      </c>
    </row>
    <row r="1077" spans="1:28" x14ac:dyDescent="0.4">
      <c r="A1077" s="1" t="s">
        <v>552</v>
      </c>
      <c r="B1077" s="1">
        <v>8000</v>
      </c>
      <c r="C1077" s="1">
        <v>0.4</v>
      </c>
      <c r="D1077" s="1">
        <v>0.5</v>
      </c>
      <c r="E1077" s="1">
        <v>500</v>
      </c>
      <c r="F1077" s="1">
        <v>3</v>
      </c>
      <c r="G1077" s="1">
        <v>1</v>
      </c>
      <c r="H1077" s="1" t="s">
        <v>595</v>
      </c>
      <c r="I1077" s="1">
        <v>296222.40000000002</v>
      </c>
      <c r="J1077" s="1">
        <v>117972.9</v>
      </c>
      <c r="K1077" s="1">
        <v>178249.5</v>
      </c>
      <c r="L1077" s="1">
        <v>2400</v>
      </c>
      <c r="M1077" s="1">
        <v>4.8499999999999996</v>
      </c>
      <c r="N1077" s="1">
        <v>97674.6</v>
      </c>
      <c r="O1077" s="1">
        <v>153805.20000000001</v>
      </c>
      <c r="P1077" s="1">
        <v>251479.8</v>
      </c>
      <c r="Q1077" s="1">
        <v>21655.4</v>
      </c>
      <c r="R1077" s="1">
        <v>9772.7999999999993</v>
      </c>
      <c r="S1077" s="1">
        <v>31428.2</v>
      </c>
      <c r="T1077" s="1">
        <v>4.49</v>
      </c>
      <c r="U1077" s="1">
        <v>0.03</v>
      </c>
      <c r="V1077" s="1">
        <v>9003.7999999999993</v>
      </c>
      <c r="W1077" s="1">
        <v>30659.200000000001</v>
      </c>
      <c r="X1077" s="1">
        <v>4.88</v>
      </c>
      <c r="Y1077" s="1">
        <v>460</v>
      </c>
      <c r="Z1077" s="1">
        <v>282139</v>
      </c>
      <c r="AA1077" s="1">
        <v>4.75</v>
      </c>
      <c r="AB1077" s="1">
        <v>8000</v>
      </c>
    </row>
    <row r="1078" spans="1:28" x14ac:dyDescent="0.4">
      <c r="A1078" s="1" t="s">
        <v>553</v>
      </c>
      <c r="B1078" s="1">
        <v>8000</v>
      </c>
      <c r="C1078" s="1">
        <v>0.4</v>
      </c>
      <c r="D1078" s="1">
        <v>0.5</v>
      </c>
      <c r="E1078" s="1">
        <v>500</v>
      </c>
      <c r="F1078" s="1">
        <v>3</v>
      </c>
      <c r="G1078" s="1">
        <v>2</v>
      </c>
      <c r="H1078" s="1" t="s">
        <v>595</v>
      </c>
      <c r="I1078" s="1">
        <v>292071.5</v>
      </c>
      <c r="J1078" s="1">
        <v>117693.5</v>
      </c>
      <c r="K1078" s="1">
        <v>174378</v>
      </c>
      <c r="L1078" s="1">
        <v>2400</v>
      </c>
      <c r="M1078" s="1">
        <v>4.7</v>
      </c>
      <c r="N1078" s="1">
        <v>106577.1</v>
      </c>
      <c r="O1078" s="1">
        <v>158250.29999999999</v>
      </c>
      <c r="P1078" s="1">
        <v>264827.40000000002</v>
      </c>
      <c r="Q1078" s="1">
        <v>9260.7000000000007</v>
      </c>
      <c r="R1078" s="1">
        <v>4203.2</v>
      </c>
      <c r="S1078" s="1">
        <v>13463.9</v>
      </c>
      <c r="T1078" s="1">
        <v>4.72</v>
      </c>
      <c r="U1078" s="1">
        <v>0.01</v>
      </c>
      <c r="V1078" s="1">
        <v>3929.7</v>
      </c>
      <c r="W1078" s="1">
        <v>13190.4</v>
      </c>
      <c r="X1078" s="1">
        <v>4.7</v>
      </c>
      <c r="Y1078" s="1">
        <v>194</v>
      </c>
      <c r="Z1078" s="1">
        <v>278017.8</v>
      </c>
      <c r="AA1078" s="1">
        <v>4.8099999999999996</v>
      </c>
      <c r="AB1078" s="1">
        <v>8000</v>
      </c>
    </row>
    <row r="1079" spans="1:28" x14ac:dyDescent="0.4">
      <c r="A1079" s="1" t="s">
        <v>554</v>
      </c>
      <c r="B1079" s="1">
        <v>8000</v>
      </c>
      <c r="C1079" s="1">
        <v>0.4</v>
      </c>
      <c r="D1079" s="1">
        <v>0.5</v>
      </c>
      <c r="E1079" s="1">
        <v>500</v>
      </c>
      <c r="F1079" s="1">
        <v>3</v>
      </c>
      <c r="G1079" s="1">
        <v>3</v>
      </c>
      <c r="H1079" s="1" t="s">
        <v>595</v>
      </c>
      <c r="I1079" s="1">
        <v>284594.5</v>
      </c>
      <c r="J1079" s="1">
        <v>104800.7</v>
      </c>
      <c r="K1079" s="1">
        <v>179793.8</v>
      </c>
      <c r="L1079" s="1">
        <v>2400</v>
      </c>
      <c r="M1079" s="1">
        <v>5.25</v>
      </c>
      <c r="N1079" s="1">
        <v>91147</v>
      </c>
      <c r="O1079" s="1">
        <v>158344.79999999999</v>
      </c>
      <c r="P1079" s="1">
        <v>249491.8</v>
      </c>
      <c r="Q1079" s="1">
        <v>16630.5</v>
      </c>
      <c r="R1079" s="1">
        <v>7192.2</v>
      </c>
      <c r="S1079" s="1">
        <v>23822.7</v>
      </c>
      <c r="T1079" s="1">
        <v>3.96</v>
      </c>
      <c r="U1079" s="1">
        <v>0.02</v>
      </c>
      <c r="V1079" s="1">
        <v>6468.5</v>
      </c>
      <c r="W1079" s="1">
        <v>23099</v>
      </c>
      <c r="X1079" s="1">
        <v>5.26</v>
      </c>
      <c r="Y1079" s="1">
        <v>387</v>
      </c>
      <c r="Z1079" s="1">
        <v>272590.8</v>
      </c>
      <c r="AA1079" s="1">
        <v>4.22</v>
      </c>
      <c r="AB1079" s="1">
        <v>8000</v>
      </c>
    </row>
    <row r="1080" spans="1:28" x14ac:dyDescent="0.4">
      <c r="A1080" s="1" t="s">
        <v>555</v>
      </c>
      <c r="B1080" s="1">
        <v>8000</v>
      </c>
      <c r="C1080" s="1">
        <v>0.4</v>
      </c>
      <c r="D1080" s="1">
        <v>0.5</v>
      </c>
      <c r="E1080" s="1">
        <v>500</v>
      </c>
      <c r="F1080" s="1">
        <v>3</v>
      </c>
      <c r="G1080" s="1">
        <v>4</v>
      </c>
      <c r="H1080" s="1" t="s">
        <v>595</v>
      </c>
      <c r="I1080" s="1">
        <v>291141.09999999998</v>
      </c>
      <c r="J1080" s="1">
        <v>116731.8</v>
      </c>
      <c r="K1080" s="1">
        <v>174409.3</v>
      </c>
      <c r="L1080" s="1">
        <v>2400</v>
      </c>
      <c r="M1080" s="1">
        <v>4.8099999999999996</v>
      </c>
      <c r="N1080" s="1">
        <v>101361.2</v>
      </c>
      <c r="O1080" s="1">
        <v>154567.29999999999</v>
      </c>
      <c r="P1080" s="1">
        <v>255928.5</v>
      </c>
      <c r="Q1080" s="1">
        <v>16168.6</v>
      </c>
      <c r="R1080" s="1">
        <v>6851.7</v>
      </c>
      <c r="S1080" s="1">
        <v>23020.3</v>
      </c>
      <c r="T1080" s="1">
        <v>4.1900000000000004</v>
      </c>
      <c r="U1080" s="1">
        <v>0.01</v>
      </c>
      <c r="V1080" s="1">
        <v>6313.2</v>
      </c>
      <c r="W1080" s="1">
        <v>22481.8</v>
      </c>
      <c r="X1080" s="1">
        <v>4.82</v>
      </c>
      <c r="Y1080" s="1">
        <v>327</v>
      </c>
      <c r="Z1080" s="1">
        <v>278410.3</v>
      </c>
      <c r="AA1080" s="1">
        <v>4.37</v>
      </c>
      <c r="AB1080" s="1">
        <v>8000</v>
      </c>
    </row>
    <row r="1081" spans="1:28" x14ac:dyDescent="0.4">
      <c r="A1081" s="1" t="s">
        <v>556</v>
      </c>
      <c r="B1081" s="1">
        <v>8000</v>
      </c>
      <c r="C1081" s="1">
        <v>0.4</v>
      </c>
      <c r="D1081" s="1">
        <v>0.5</v>
      </c>
      <c r="E1081" s="1">
        <v>500</v>
      </c>
      <c r="F1081" s="1">
        <v>3</v>
      </c>
      <c r="G1081" s="1">
        <v>5</v>
      </c>
      <c r="H1081" s="1" t="s">
        <v>595</v>
      </c>
      <c r="I1081" s="1">
        <v>298157.2</v>
      </c>
      <c r="J1081" s="1">
        <v>109464.7</v>
      </c>
      <c r="K1081" s="1">
        <v>188692.5</v>
      </c>
      <c r="L1081" s="1">
        <v>2400</v>
      </c>
      <c r="M1081" s="1">
        <v>4.66</v>
      </c>
      <c r="N1081" s="1">
        <v>93571.3</v>
      </c>
      <c r="O1081" s="1">
        <v>164242.79999999999</v>
      </c>
      <c r="P1081" s="1">
        <v>257814.1</v>
      </c>
      <c r="Q1081" s="1">
        <v>18938.099999999999</v>
      </c>
      <c r="R1081" s="1">
        <v>8160.3</v>
      </c>
      <c r="S1081" s="1">
        <v>27098.400000000001</v>
      </c>
      <c r="T1081" s="1">
        <v>4.4400000000000004</v>
      </c>
      <c r="U1081" s="1">
        <v>0.02</v>
      </c>
      <c r="V1081" s="1">
        <v>7464.7</v>
      </c>
      <c r="W1081" s="1">
        <v>26402.799999999999</v>
      </c>
      <c r="X1081" s="1">
        <v>4.68</v>
      </c>
      <c r="Y1081" s="1">
        <v>407</v>
      </c>
      <c r="Z1081" s="1">
        <v>284216.90000000002</v>
      </c>
      <c r="AA1081" s="1">
        <v>4.68</v>
      </c>
      <c r="AB1081" s="1">
        <v>8000</v>
      </c>
    </row>
    <row r="1082" spans="1:28" x14ac:dyDescent="0.4">
      <c r="A1082" s="1" t="s">
        <v>13</v>
      </c>
      <c r="B1082" s="1">
        <v>2000</v>
      </c>
      <c r="C1082" s="1">
        <v>0.2</v>
      </c>
      <c r="D1082" s="1">
        <v>0.5</v>
      </c>
      <c r="E1082" s="1">
        <v>1000</v>
      </c>
      <c r="F1082" s="1">
        <v>1</v>
      </c>
      <c r="G1082" s="1">
        <v>1</v>
      </c>
      <c r="H1082" s="1" t="s">
        <v>592</v>
      </c>
      <c r="I1082" s="1">
        <v>143148.20000000001</v>
      </c>
      <c r="J1082" s="1">
        <v>59273.2</v>
      </c>
      <c r="K1082" s="1">
        <v>83875</v>
      </c>
      <c r="L1082" s="1">
        <v>600</v>
      </c>
      <c r="M1082" s="1">
        <v>600.42999999999995</v>
      </c>
      <c r="N1082" s="1">
        <v>37675.4</v>
      </c>
      <c r="O1082" s="1">
        <v>52287.5</v>
      </c>
      <c r="P1082" s="1">
        <v>89962.9</v>
      </c>
      <c r="Q1082" s="1">
        <v>11114.8</v>
      </c>
      <c r="R1082" s="1">
        <v>2841.1</v>
      </c>
      <c r="S1082" s="1">
        <v>13955.9</v>
      </c>
      <c r="T1082" s="1">
        <v>27.4</v>
      </c>
      <c r="U1082" s="1">
        <v>0.04</v>
      </c>
      <c r="V1082" s="1">
        <v>2808.7</v>
      </c>
      <c r="W1082" s="1">
        <v>13923.5</v>
      </c>
      <c r="X1082" s="1">
        <v>600.47</v>
      </c>
      <c r="Y1082" s="1">
        <v>600</v>
      </c>
      <c r="Z1082" s="1">
        <v>103886.39999999999</v>
      </c>
      <c r="AA1082" s="1">
        <v>27.43</v>
      </c>
      <c r="AB1082" s="1">
        <v>2000</v>
      </c>
    </row>
    <row r="1083" spans="1:28" x14ac:dyDescent="0.4">
      <c r="A1083" s="1" t="s">
        <v>16</v>
      </c>
      <c r="B1083" s="1">
        <v>2000</v>
      </c>
      <c r="C1083" s="1">
        <v>0.2</v>
      </c>
      <c r="D1083" s="1">
        <v>0.5</v>
      </c>
      <c r="E1083" s="1">
        <v>1000</v>
      </c>
      <c r="F1083" s="1">
        <v>1</v>
      </c>
      <c r="G1083" s="1">
        <v>2</v>
      </c>
      <c r="H1083" s="1" t="s">
        <v>592</v>
      </c>
      <c r="I1083" s="1">
        <v>146066.9</v>
      </c>
      <c r="J1083" s="1">
        <v>58967.199999999997</v>
      </c>
      <c r="K1083" s="1">
        <v>87099.7</v>
      </c>
      <c r="L1083" s="1">
        <v>600</v>
      </c>
      <c r="M1083" s="1">
        <v>600.66</v>
      </c>
      <c r="N1083" s="1">
        <v>38246.6</v>
      </c>
      <c r="O1083" s="1">
        <v>54914</v>
      </c>
      <c r="P1083" s="1">
        <v>93160.6</v>
      </c>
      <c r="Q1083" s="1">
        <v>11202.6</v>
      </c>
      <c r="R1083" s="1">
        <v>3125.6</v>
      </c>
      <c r="S1083" s="1">
        <v>14328.2</v>
      </c>
      <c r="T1083" s="1">
        <v>26.41</v>
      </c>
      <c r="U1083" s="1">
        <v>0.04</v>
      </c>
      <c r="V1083" s="1">
        <v>3111.4</v>
      </c>
      <c r="W1083" s="1">
        <v>14314</v>
      </c>
      <c r="X1083" s="1">
        <v>600.70000000000005</v>
      </c>
      <c r="Y1083" s="1">
        <v>599</v>
      </c>
      <c r="Z1083" s="1">
        <v>107474.6</v>
      </c>
      <c r="AA1083" s="1">
        <v>26.42</v>
      </c>
      <c r="AB1083" s="1">
        <v>2000</v>
      </c>
    </row>
    <row r="1084" spans="1:28" x14ac:dyDescent="0.4">
      <c r="A1084" s="1" t="s">
        <v>17</v>
      </c>
      <c r="B1084" s="1">
        <v>2000</v>
      </c>
      <c r="C1084" s="1">
        <v>0.2</v>
      </c>
      <c r="D1084" s="1">
        <v>0.5</v>
      </c>
      <c r="E1084" s="1">
        <v>1000</v>
      </c>
      <c r="F1084" s="1">
        <v>1</v>
      </c>
      <c r="G1084" s="1">
        <v>3</v>
      </c>
      <c r="H1084" s="1" t="s">
        <v>592</v>
      </c>
      <c r="I1084" s="1">
        <v>149207.6</v>
      </c>
      <c r="J1084" s="1">
        <v>59172.800000000003</v>
      </c>
      <c r="K1084" s="1">
        <v>90034.8</v>
      </c>
      <c r="L1084" s="1">
        <v>600</v>
      </c>
      <c r="M1084" s="1">
        <v>600.22</v>
      </c>
      <c r="N1084" s="1">
        <v>37902.6</v>
      </c>
      <c r="O1084" s="1">
        <v>55425.2</v>
      </c>
      <c r="P1084" s="1">
        <v>93327.8</v>
      </c>
      <c r="Q1084" s="1">
        <v>11328.8</v>
      </c>
      <c r="R1084" s="1">
        <v>3022.9</v>
      </c>
      <c r="S1084" s="1">
        <v>14351.7</v>
      </c>
      <c r="T1084" s="1">
        <v>27.83</v>
      </c>
      <c r="U1084" s="1">
        <v>0.04</v>
      </c>
      <c r="V1084" s="1">
        <v>3022.9</v>
      </c>
      <c r="W1084" s="1">
        <v>14351.7</v>
      </c>
      <c r="X1084" s="1">
        <v>600.26</v>
      </c>
      <c r="Y1084" s="1">
        <v>600</v>
      </c>
      <c r="Z1084" s="1">
        <v>107679.5</v>
      </c>
      <c r="AA1084" s="1">
        <v>27.83</v>
      </c>
      <c r="AB1084" s="1">
        <v>2000</v>
      </c>
    </row>
    <row r="1085" spans="1:28" x14ac:dyDescent="0.4">
      <c r="A1085" s="1" t="s">
        <v>18</v>
      </c>
      <c r="B1085" s="1">
        <v>2000</v>
      </c>
      <c r="C1085" s="1">
        <v>0.2</v>
      </c>
      <c r="D1085" s="1">
        <v>0.5</v>
      </c>
      <c r="E1085" s="1">
        <v>1000</v>
      </c>
      <c r="F1085" s="1">
        <v>1</v>
      </c>
      <c r="G1085" s="1">
        <v>4</v>
      </c>
      <c r="H1085" s="1" t="s">
        <v>592</v>
      </c>
      <c r="I1085" s="1">
        <v>153789.20000000001</v>
      </c>
      <c r="J1085" s="1">
        <v>63196.800000000003</v>
      </c>
      <c r="K1085" s="1">
        <v>90592.4</v>
      </c>
      <c r="L1085" s="1">
        <v>600</v>
      </c>
      <c r="M1085" s="1">
        <v>600</v>
      </c>
      <c r="N1085" s="1">
        <v>39528.699999999997</v>
      </c>
      <c r="O1085" s="1">
        <v>54460.3</v>
      </c>
      <c r="P1085" s="1">
        <v>93989</v>
      </c>
      <c r="Q1085" s="1">
        <v>11738.2</v>
      </c>
      <c r="R1085" s="1">
        <v>3001.2</v>
      </c>
      <c r="S1085" s="1">
        <v>14739.4</v>
      </c>
      <c r="T1085" s="1">
        <v>29.3</v>
      </c>
      <c r="U1085" s="1">
        <v>0.04</v>
      </c>
      <c r="V1085" s="1">
        <v>2988.4</v>
      </c>
      <c r="W1085" s="1">
        <v>14726.6</v>
      </c>
      <c r="X1085" s="1">
        <v>600.04</v>
      </c>
      <c r="Y1085" s="1">
        <v>600</v>
      </c>
      <c r="Z1085" s="1">
        <v>108715.6</v>
      </c>
      <c r="AA1085" s="1">
        <v>29.31</v>
      </c>
      <c r="AB1085" s="1">
        <v>2000</v>
      </c>
    </row>
    <row r="1086" spans="1:28" x14ac:dyDescent="0.4">
      <c r="A1086" s="1" t="s">
        <v>19</v>
      </c>
      <c r="B1086" s="1">
        <v>2000</v>
      </c>
      <c r="C1086" s="1">
        <v>0.2</v>
      </c>
      <c r="D1086" s="1">
        <v>0.5</v>
      </c>
      <c r="E1086" s="1">
        <v>1000</v>
      </c>
      <c r="F1086" s="1">
        <v>1</v>
      </c>
      <c r="G1086" s="1">
        <v>5</v>
      </c>
      <c r="H1086" s="1" t="s">
        <v>592</v>
      </c>
      <c r="I1086" s="1">
        <v>148706.20000000001</v>
      </c>
      <c r="J1086" s="1">
        <v>59702</v>
      </c>
      <c r="K1086" s="1">
        <v>89004.2</v>
      </c>
      <c r="L1086" s="1">
        <v>600</v>
      </c>
      <c r="M1086" s="1">
        <v>600.19000000000005</v>
      </c>
      <c r="N1086" s="1">
        <v>37715.9</v>
      </c>
      <c r="O1086" s="1">
        <v>55600.4</v>
      </c>
      <c r="P1086" s="1">
        <v>93316.3</v>
      </c>
      <c r="Q1086" s="1">
        <v>11614.4</v>
      </c>
      <c r="R1086" s="1">
        <v>2810.6</v>
      </c>
      <c r="S1086" s="1">
        <v>14425</v>
      </c>
      <c r="T1086" s="1">
        <v>27.55</v>
      </c>
      <c r="U1086" s="1">
        <v>0.03</v>
      </c>
      <c r="V1086" s="1">
        <v>2802.2</v>
      </c>
      <c r="W1086" s="1">
        <v>14416.6</v>
      </c>
      <c r="X1086" s="1">
        <v>600.22</v>
      </c>
      <c r="Y1086" s="1">
        <v>600</v>
      </c>
      <c r="Z1086" s="1">
        <v>107732.9</v>
      </c>
      <c r="AA1086" s="1">
        <v>27.55</v>
      </c>
      <c r="AB1086" s="1">
        <v>2000</v>
      </c>
    </row>
    <row r="1087" spans="1:28" x14ac:dyDescent="0.4">
      <c r="A1087" s="1" t="s">
        <v>20</v>
      </c>
      <c r="B1087" s="1">
        <v>2000</v>
      </c>
      <c r="C1087" s="1">
        <v>0.2</v>
      </c>
      <c r="D1087" s="1">
        <v>0.5</v>
      </c>
      <c r="E1087" s="1">
        <v>1000</v>
      </c>
      <c r="F1087" s="1">
        <v>2</v>
      </c>
      <c r="G1087" s="1">
        <v>1</v>
      </c>
      <c r="H1087" s="1" t="s">
        <v>592</v>
      </c>
      <c r="I1087" s="1">
        <v>224341</v>
      </c>
      <c r="J1087" s="1">
        <v>90336.7</v>
      </c>
      <c r="K1087" s="1">
        <v>134004.29999999999</v>
      </c>
      <c r="L1087" s="1">
        <v>600</v>
      </c>
      <c r="M1087" s="1">
        <v>601.02</v>
      </c>
      <c r="N1087" s="1">
        <v>60441</v>
      </c>
      <c r="O1087" s="1">
        <v>88119.4</v>
      </c>
      <c r="P1087" s="1">
        <v>148560.4</v>
      </c>
      <c r="Q1087" s="1">
        <v>10681.4</v>
      </c>
      <c r="R1087" s="1">
        <v>2907.6</v>
      </c>
      <c r="S1087" s="1">
        <v>13589</v>
      </c>
      <c r="T1087" s="1">
        <v>27.72</v>
      </c>
      <c r="U1087" s="1">
        <v>0.06</v>
      </c>
      <c r="V1087" s="1">
        <v>2887.9</v>
      </c>
      <c r="W1087" s="1">
        <v>13569.3</v>
      </c>
      <c r="X1087" s="1">
        <v>601.08000000000004</v>
      </c>
      <c r="Y1087" s="1">
        <v>600</v>
      </c>
      <c r="Z1087" s="1">
        <v>162129.70000000001</v>
      </c>
      <c r="AA1087" s="1">
        <v>27.73</v>
      </c>
      <c r="AB1087" s="1">
        <v>2000</v>
      </c>
    </row>
    <row r="1088" spans="1:28" x14ac:dyDescent="0.4">
      <c r="A1088" s="1" t="s">
        <v>21</v>
      </c>
      <c r="B1088" s="1">
        <v>2000</v>
      </c>
      <c r="C1088" s="1">
        <v>0.2</v>
      </c>
      <c r="D1088" s="1">
        <v>0.5</v>
      </c>
      <c r="E1088" s="1">
        <v>1000</v>
      </c>
      <c r="F1088" s="1">
        <v>2</v>
      </c>
      <c r="G1088" s="1">
        <v>2</v>
      </c>
      <c r="H1088" s="1" t="s">
        <v>592</v>
      </c>
      <c r="I1088" s="1">
        <v>220474.4</v>
      </c>
      <c r="J1088" s="1">
        <v>85625.4</v>
      </c>
      <c r="K1088" s="1">
        <v>134849</v>
      </c>
      <c r="L1088" s="1">
        <v>600</v>
      </c>
      <c r="M1088" s="1">
        <v>600.58000000000004</v>
      </c>
      <c r="N1088" s="1">
        <v>56618.3</v>
      </c>
      <c r="O1088" s="1">
        <v>87917.9</v>
      </c>
      <c r="P1088" s="1">
        <v>144536.20000000001</v>
      </c>
      <c r="Q1088" s="1">
        <v>10828.1</v>
      </c>
      <c r="R1088" s="1">
        <v>2975.8</v>
      </c>
      <c r="S1088" s="1">
        <v>13803.9</v>
      </c>
      <c r="T1088" s="1">
        <v>28.18</v>
      </c>
      <c r="U1088" s="1">
        <v>0.05</v>
      </c>
      <c r="V1088" s="1">
        <v>2951.6</v>
      </c>
      <c r="W1088" s="1">
        <v>13779.7</v>
      </c>
      <c r="X1088" s="1">
        <v>600.63</v>
      </c>
      <c r="Y1088" s="1">
        <v>600</v>
      </c>
      <c r="Z1088" s="1">
        <v>158315.9</v>
      </c>
      <c r="AA1088" s="1">
        <v>28.19</v>
      </c>
      <c r="AB1088" s="1">
        <v>2000</v>
      </c>
    </row>
    <row r="1089" spans="1:28" x14ac:dyDescent="0.4">
      <c r="A1089" s="1" t="s">
        <v>22</v>
      </c>
      <c r="B1089" s="1">
        <v>2000</v>
      </c>
      <c r="C1089" s="1">
        <v>0.2</v>
      </c>
      <c r="D1089" s="1">
        <v>0.5</v>
      </c>
      <c r="E1089" s="1">
        <v>1000</v>
      </c>
      <c r="F1089" s="1">
        <v>2</v>
      </c>
      <c r="G1089" s="1">
        <v>3</v>
      </c>
      <c r="H1089" s="1" t="s">
        <v>592</v>
      </c>
      <c r="I1089" s="1">
        <v>220428.7</v>
      </c>
      <c r="J1089" s="1">
        <v>86108.800000000003</v>
      </c>
      <c r="K1089" s="1">
        <v>134319.9</v>
      </c>
      <c r="L1089" s="1">
        <v>600</v>
      </c>
      <c r="M1089" s="1">
        <v>600.32000000000005</v>
      </c>
      <c r="N1089" s="1">
        <v>57265.3</v>
      </c>
      <c r="O1089" s="1">
        <v>88772.6</v>
      </c>
      <c r="P1089" s="1">
        <v>146037.9</v>
      </c>
      <c r="Q1089" s="1">
        <v>10333.6</v>
      </c>
      <c r="R1089" s="1">
        <v>2745</v>
      </c>
      <c r="S1089" s="1">
        <v>13078.6</v>
      </c>
      <c r="T1089" s="1">
        <v>27.81</v>
      </c>
      <c r="U1089" s="1">
        <v>0.06</v>
      </c>
      <c r="V1089" s="1">
        <v>2745</v>
      </c>
      <c r="W1089" s="1">
        <v>13078.6</v>
      </c>
      <c r="X1089" s="1">
        <v>600.38</v>
      </c>
      <c r="Y1089" s="1">
        <v>600</v>
      </c>
      <c r="Z1089" s="1">
        <v>159116.5</v>
      </c>
      <c r="AA1089" s="1">
        <v>27.81</v>
      </c>
      <c r="AB1089" s="1">
        <v>2000</v>
      </c>
    </row>
    <row r="1090" spans="1:28" x14ac:dyDescent="0.4">
      <c r="A1090" s="1" t="s">
        <v>23</v>
      </c>
      <c r="B1090" s="1">
        <v>2000</v>
      </c>
      <c r="C1090" s="1">
        <v>0.2</v>
      </c>
      <c r="D1090" s="1">
        <v>0.5</v>
      </c>
      <c r="E1090" s="1">
        <v>1000</v>
      </c>
      <c r="F1090" s="1">
        <v>2</v>
      </c>
      <c r="G1090" s="1">
        <v>4</v>
      </c>
      <c r="H1090" s="1" t="s">
        <v>592</v>
      </c>
      <c r="I1090" s="1">
        <v>210055.4</v>
      </c>
      <c r="J1090" s="1">
        <v>82377.100000000006</v>
      </c>
      <c r="K1090" s="1">
        <v>127678.3</v>
      </c>
      <c r="L1090" s="1">
        <v>600</v>
      </c>
      <c r="M1090" s="1">
        <v>600.99</v>
      </c>
      <c r="N1090" s="1">
        <v>54993.2</v>
      </c>
      <c r="O1090" s="1">
        <v>83550.899999999994</v>
      </c>
      <c r="P1090" s="1">
        <v>138544.1</v>
      </c>
      <c r="Q1090" s="1">
        <v>10745.3</v>
      </c>
      <c r="R1090" s="1">
        <v>2857.2</v>
      </c>
      <c r="S1090" s="1">
        <v>13602.5</v>
      </c>
      <c r="T1090" s="1">
        <v>27.57</v>
      </c>
      <c r="U1090" s="1">
        <v>0.05</v>
      </c>
      <c r="V1090" s="1">
        <v>2835.3</v>
      </c>
      <c r="W1090" s="1">
        <v>13580.6</v>
      </c>
      <c r="X1090" s="1">
        <v>601.04</v>
      </c>
      <c r="Y1090" s="1">
        <v>600</v>
      </c>
      <c r="Z1090" s="1">
        <v>152124.70000000001</v>
      </c>
      <c r="AA1090" s="1">
        <v>27.58</v>
      </c>
      <c r="AB1090" s="1">
        <v>2000</v>
      </c>
    </row>
    <row r="1091" spans="1:28" x14ac:dyDescent="0.4">
      <c r="A1091" s="1" t="s">
        <v>24</v>
      </c>
      <c r="B1091" s="1">
        <v>2000</v>
      </c>
      <c r="C1091" s="1">
        <v>0.2</v>
      </c>
      <c r="D1091" s="1">
        <v>0.5</v>
      </c>
      <c r="E1091" s="1">
        <v>1000</v>
      </c>
      <c r="F1091" s="1">
        <v>2</v>
      </c>
      <c r="G1091" s="1">
        <v>5</v>
      </c>
      <c r="H1091" s="1" t="s">
        <v>592</v>
      </c>
      <c r="I1091" s="1">
        <v>223013.3</v>
      </c>
      <c r="J1091" s="1">
        <v>88414.3</v>
      </c>
      <c r="K1091" s="1">
        <v>134599</v>
      </c>
      <c r="L1091" s="1">
        <v>600</v>
      </c>
      <c r="M1091" s="1">
        <v>600.63</v>
      </c>
      <c r="N1091" s="1">
        <v>58828.2</v>
      </c>
      <c r="O1091" s="1">
        <v>87748.4</v>
      </c>
      <c r="P1091" s="1">
        <v>146576.6</v>
      </c>
      <c r="Q1091" s="1">
        <v>10499.5</v>
      </c>
      <c r="R1091" s="1">
        <v>3063.7</v>
      </c>
      <c r="S1091" s="1">
        <v>13563.2</v>
      </c>
      <c r="T1091" s="1">
        <v>28.19</v>
      </c>
      <c r="U1091" s="1">
        <v>0.09</v>
      </c>
      <c r="V1091" s="1">
        <v>3059.5</v>
      </c>
      <c r="W1091" s="1">
        <v>13559</v>
      </c>
      <c r="X1091" s="1">
        <v>600.72</v>
      </c>
      <c r="Y1091" s="1">
        <v>600</v>
      </c>
      <c r="Z1091" s="1">
        <v>160135.6</v>
      </c>
      <c r="AA1091" s="1">
        <v>28.19</v>
      </c>
      <c r="AB1091" s="1">
        <v>2000</v>
      </c>
    </row>
    <row r="1092" spans="1:28" x14ac:dyDescent="0.4">
      <c r="A1092" s="1" t="s">
        <v>25</v>
      </c>
      <c r="B1092" s="1">
        <v>2000</v>
      </c>
      <c r="C1092" s="1">
        <v>0.2</v>
      </c>
      <c r="D1092" s="1">
        <v>0.5</v>
      </c>
      <c r="E1092" s="1">
        <v>1000</v>
      </c>
      <c r="F1092" s="1">
        <v>3</v>
      </c>
      <c r="G1092" s="1">
        <v>1</v>
      </c>
      <c r="H1092" s="1" t="s">
        <v>592</v>
      </c>
      <c r="I1092" s="1">
        <v>283040.5</v>
      </c>
      <c r="J1092" s="1">
        <v>115997.2</v>
      </c>
      <c r="K1092" s="1">
        <v>167043.29999999999</v>
      </c>
      <c r="L1092" s="1">
        <v>600</v>
      </c>
      <c r="M1092" s="1">
        <v>600.01</v>
      </c>
      <c r="N1092" s="1">
        <v>78317.600000000006</v>
      </c>
      <c r="O1092" s="1">
        <v>115362.8</v>
      </c>
      <c r="P1092" s="1">
        <v>193680.4</v>
      </c>
      <c r="Q1092" s="1">
        <v>10401.200000000001</v>
      </c>
      <c r="R1092" s="1">
        <v>2723.2</v>
      </c>
      <c r="S1092" s="1">
        <v>13124.4</v>
      </c>
      <c r="T1092" s="1">
        <v>26.93</v>
      </c>
      <c r="U1092" s="1">
        <v>0.09</v>
      </c>
      <c r="V1092" s="1">
        <v>2723.2</v>
      </c>
      <c r="W1092" s="1">
        <v>13124.4</v>
      </c>
      <c r="X1092" s="1">
        <v>600.1</v>
      </c>
      <c r="Y1092" s="1">
        <v>600</v>
      </c>
      <c r="Z1092" s="1">
        <v>206804.8</v>
      </c>
      <c r="AA1092" s="1">
        <v>26.93</v>
      </c>
      <c r="AB1092" s="1">
        <v>2000</v>
      </c>
    </row>
    <row r="1093" spans="1:28" x14ac:dyDescent="0.4">
      <c r="A1093" s="1" t="s">
        <v>26</v>
      </c>
      <c r="B1093" s="1">
        <v>2000</v>
      </c>
      <c r="C1093" s="1">
        <v>0.2</v>
      </c>
      <c r="D1093" s="1">
        <v>0.5</v>
      </c>
      <c r="E1093" s="1">
        <v>1000</v>
      </c>
      <c r="F1093" s="1">
        <v>3</v>
      </c>
      <c r="G1093" s="1">
        <v>2</v>
      </c>
      <c r="H1093" s="1" t="s">
        <v>592</v>
      </c>
      <c r="I1093" s="1">
        <v>287067.8</v>
      </c>
      <c r="J1093" s="1">
        <v>115740.2</v>
      </c>
      <c r="K1093" s="1">
        <v>171327.6</v>
      </c>
      <c r="L1093" s="1">
        <v>600</v>
      </c>
      <c r="M1093" s="1">
        <v>600.72</v>
      </c>
      <c r="N1093" s="1">
        <v>77945.100000000006</v>
      </c>
      <c r="O1093" s="1">
        <v>116331.2</v>
      </c>
      <c r="P1093" s="1">
        <v>194276.3</v>
      </c>
      <c r="Q1093" s="1">
        <v>10637.5</v>
      </c>
      <c r="R1093" s="1">
        <v>2879.5</v>
      </c>
      <c r="S1093" s="1">
        <v>13517</v>
      </c>
      <c r="T1093" s="1">
        <v>27.62</v>
      </c>
      <c r="U1093" s="1">
        <v>7.0000000000000007E-2</v>
      </c>
      <c r="V1093" s="1">
        <v>2864</v>
      </c>
      <c r="W1093" s="1">
        <v>13501.5</v>
      </c>
      <c r="X1093" s="1">
        <v>600.79</v>
      </c>
      <c r="Y1093" s="1">
        <v>600</v>
      </c>
      <c r="Z1093" s="1">
        <v>207777.8</v>
      </c>
      <c r="AA1093" s="1">
        <v>27.62</v>
      </c>
      <c r="AB1093" s="1">
        <v>2000</v>
      </c>
    </row>
    <row r="1094" spans="1:28" x14ac:dyDescent="0.4">
      <c r="A1094" s="1" t="s">
        <v>27</v>
      </c>
      <c r="B1094" s="1">
        <v>2000</v>
      </c>
      <c r="C1094" s="1">
        <v>0.2</v>
      </c>
      <c r="D1094" s="1">
        <v>0.5</v>
      </c>
      <c r="E1094" s="1">
        <v>1000</v>
      </c>
      <c r="F1094" s="1">
        <v>3</v>
      </c>
      <c r="G1094" s="1">
        <v>3</v>
      </c>
      <c r="H1094" s="1" t="s">
        <v>592</v>
      </c>
      <c r="I1094" s="1">
        <v>275704.5</v>
      </c>
      <c r="J1094" s="1">
        <v>112434.7</v>
      </c>
      <c r="K1094" s="1">
        <v>163269.79999999999</v>
      </c>
      <c r="L1094" s="1">
        <v>600</v>
      </c>
      <c r="M1094" s="1">
        <v>600.62</v>
      </c>
      <c r="N1094" s="1">
        <v>74874.3</v>
      </c>
      <c r="O1094" s="1">
        <v>112330.7</v>
      </c>
      <c r="P1094" s="1">
        <v>187205</v>
      </c>
      <c r="Q1094" s="1">
        <v>10715</v>
      </c>
      <c r="R1094" s="1">
        <v>2683.8</v>
      </c>
      <c r="S1094" s="1">
        <v>13398.8</v>
      </c>
      <c r="T1094" s="1">
        <v>27.24</v>
      </c>
      <c r="U1094" s="1">
        <v>0.05</v>
      </c>
      <c r="V1094" s="1">
        <v>2675.5</v>
      </c>
      <c r="W1094" s="1">
        <v>13390.5</v>
      </c>
      <c r="X1094" s="1">
        <v>600.66999999999996</v>
      </c>
      <c r="Y1094" s="1">
        <v>600</v>
      </c>
      <c r="Z1094" s="1">
        <v>200595.5</v>
      </c>
      <c r="AA1094" s="1">
        <v>27.24</v>
      </c>
      <c r="AB1094" s="1">
        <v>2000</v>
      </c>
    </row>
    <row r="1095" spans="1:28" x14ac:dyDescent="0.4">
      <c r="A1095" s="1" t="s">
        <v>28</v>
      </c>
      <c r="B1095" s="1">
        <v>2000</v>
      </c>
      <c r="C1095" s="1">
        <v>0.2</v>
      </c>
      <c r="D1095" s="1">
        <v>0.5</v>
      </c>
      <c r="E1095" s="1">
        <v>1000</v>
      </c>
      <c r="F1095" s="1">
        <v>3</v>
      </c>
      <c r="G1095" s="1">
        <v>4</v>
      </c>
      <c r="H1095" s="1" t="s">
        <v>592</v>
      </c>
      <c r="I1095" s="1">
        <v>282330.5</v>
      </c>
      <c r="J1095" s="1">
        <v>110718.7</v>
      </c>
      <c r="K1095" s="1">
        <v>171611.8</v>
      </c>
      <c r="L1095" s="1">
        <v>600</v>
      </c>
      <c r="M1095" s="1">
        <v>600.41999999999996</v>
      </c>
      <c r="N1095" s="1">
        <v>74302.3</v>
      </c>
      <c r="O1095" s="1">
        <v>117117.4</v>
      </c>
      <c r="P1095" s="1">
        <v>191419.7</v>
      </c>
      <c r="Q1095" s="1">
        <v>10708.7</v>
      </c>
      <c r="R1095" s="1">
        <v>3016.2</v>
      </c>
      <c r="S1095" s="1">
        <v>13724.9</v>
      </c>
      <c r="T1095" s="1">
        <v>27.34</v>
      </c>
      <c r="U1095" s="1">
        <v>0.09</v>
      </c>
      <c r="V1095" s="1">
        <v>3013.5</v>
      </c>
      <c r="W1095" s="1">
        <v>13722.2</v>
      </c>
      <c r="X1095" s="1">
        <v>600.51</v>
      </c>
      <c r="Y1095" s="1">
        <v>600</v>
      </c>
      <c r="Z1095" s="1">
        <v>205141.9</v>
      </c>
      <c r="AA1095" s="1">
        <v>27.34</v>
      </c>
      <c r="AB1095" s="1">
        <v>2000</v>
      </c>
    </row>
    <row r="1096" spans="1:28" x14ac:dyDescent="0.4">
      <c r="A1096" s="1" t="s">
        <v>29</v>
      </c>
      <c r="B1096" s="1">
        <v>2000</v>
      </c>
      <c r="C1096" s="1">
        <v>0.2</v>
      </c>
      <c r="D1096" s="1">
        <v>0.5</v>
      </c>
      <c r="E1096" s="1">
        <v>1000</v>
      </c>
      <c r="F1096" s="1">
        <v>3</v>
      </c>
      <c r="G1096" s="1">
        <v>5</v>
      </c>
      <c r="H1096" s="1" t="s">
        <v>592</v>
      </c>
      <c r="I1096" s="1">
        <v>283217.40000000002</v>
      </c>
      <c r="J1096" s="1">
        <v>112913.8</v>
      </c>
      <c r="K1096" s="1">
        <v>170303.6</v>
      </c>
      <c r="L1096" s="1">
        <v>600</v>
      </c>
      <c r="M1096" s="1">
        <v>600.34</v>
      </c>
      <c r="N1096" s="1">
        <v>75188.2</v>
      </c>
      <c r="O1096" s="1">
        <v>115359.6</v>
      </c>
      <c r="P1096" s="1">
        <v>190547.8</v>
      </c>
      <c r="Q1096" s="1">
        <v>10902.5</v>
      </c>
      <c r="R1096" s="1">
        <v>2637.3</v>
      </c>
      <c r="S1096" s="1">
        <v>13539.8</v>
      </c>
      <c r="T1096" s="1">
        <v>27.94</v>
      </c>
      <c r="U1096" s="1">
        <v>0.06</v>
      </c>
      <c r="V1096" s="1">
        <v>2637.3</v>
      </c>
      <c r="W1096" s="1">
        <v>13539.8</v>
      </c>
      <c r="X1096" s="1">
        <v>600.4</v>
      </c>
      <c r="Y1096" s="1">
        <v>600</v>
      </c>
      <c r="Z1096" s="1">
        <v>204087.6</v>
      </c>
      <c r="AA1096" s="1">
        <v>27.94</v>
      </c>
      <c r="AB1096" s="1">
        <v>2000</v>
      </c>
    </row>
    <row r="1097" spans="1:28" x14ac:dyDescent="0.4">
      <c r="A1097" s="1" t="s">
        <v>287</v>
      </c>
      <c r="B1097" s="1">
        <v>2000</v>
      </c>
      <c r="C1097" s="1">
        <v>0.2</v>
      </c>
      <c r="D1097" s="1">
        <v>0.5</v>
      </c>
      <c r="E1097" s="1">
        <v>2000</v>
      </c>
      <c r="F1097" s="1">
        <v>1</v>
      </c>
      <c r="G1097" s="1">
        <v>1</v>
      </c>
      <c r="H1097" s="1" t="s">
        <v>592</v>
      </c>
      <c r="I1097" s="1">
        <v>294766.8</v>
      </c>
      <c r="J1097" s="1">
        <v>117148.4</v>
      </c>
      <c r="K1097" s="1">
        <v>177618.4</v>
      </c>
      <c r="L1097" s="1">
        <v>600</v>
      </c>
      <c r="M1097" s="1">
        <v>600.48</v>
      </c>
      <c r="N1097" s="1">
        <v>77849.8</v>
      </c>
      <c r="O1097" s="1">
        <v>116246.7</v>
      </c>
      <c r="P1097" s="1">
        <v>194096.5</v>
      </c>
      <c r="Q1097" s="1">
        <v>12636.7</v>
      </c>
      <c r="R1097" s="1">
        <v>3842.2</v>
      </c>
      <c r="S1097" s="1">
        <v>16478.900000000001</v>
      </c>
      <c r="T1097" s="1">
        <v>28.56</v>
      </c>
      <c r="U1097" s="1">
        <v>0.05</v>
      </c>
      <c r="V1097" s="1">
        <v>3842.2</v>
      </c>
      <c r="W1097" s="1">
        <v>16478.900000000001</v>
      </c>
      <c r="X1097" s="1">
        <v>600.53</v>
      </c>
      <c r="Y1097" s="1">
        <v>600</v>
      </c>
      <c r="Z1097" s="1">
        <v>210575.4</v>
      </c>
      <c r="AA1097" s="1">
        <v>28.56</v>
      </c>
      <c r="AB1097" s="1">
        <v>2000</v>
      </c>
    </row>
    <row r="1098" spans="1:28" x14ac:dyDescent="0.4">
      <c r="A1098" s="1" t="s">
        <v>288</v>
      </c>
      <c r="B1098" s="1">
        <v>2000</v>
      </c>
      <c r="C1098" s="1">
        <v>0.2</v>
      </c>
      <c r="D1098" s="1">
        <v>0.5</v>
      </c>
      <c r="E1098" s="1">
        <v>2000</v>
      </c>
      <c r="F1098" s="1">
        <v>1</v>
      </c>
      <c r="G1098" s="1">
        <v>2</v>
      </c>
      <c r="H1098" s="1" t="s">
        <v>592</v>
      </c>
      <c r="I1098" s="1">
        <v>298715.5</v>
      </c>
      <c r="J1098" s="1">
        <v>118446.39999999999</v>
      </c>
      <c r="K1098" s="1">
        <v>180269.1</v>
      </c>
      <c r="L1098" s="1">
        <v>600</v>
      </c>
      <c r="M1098" s="1">
        <v>600.77</v>
      </c>
      <c r="N1098" s="1">
        <v>78357.899999999994</v>
      </c>
      <c r="O1098" s="1">
        <v>115174.7</v>
      </c>
      <c r="P1098" s="1">
        <v>193532.6</v>
      </c>
      <c r="Q1098" s="1">
        <v>12852.6</v>
      </c>
      <c r="R1098" s="1">
        <v>3805.2</v>
      </c>
      <c r="S1098" s="1">
        <v>16657.8</v>
      </c>
      <c r="T1098" s="1">
        <v>29.64</v>
      </c>
      <c r="U1098" s="1">
        <v>0.04</v>
      </c>
      <c r="V1098" s="1">
        <v>3794.7</v>
      </c>
      <c r="W1098" s="1">
        <v>16647.3</v>
      </c>
      <c r="X1098" s="1">
        <v>600.80999999999995</v>
      </c>
      <c r="Y1098" s="1">
        <v>600</v>
      </c>
      <c r="Z1098" s="1">
        <v>210179.9</v>
      </c>
      <c r="AA1098" s="1">
        <v>29.64</v>
      </c>
      <c r="AB1098" s="1">
        <v>2000</v>
      </c>
    </row>
    <row r="1099" spans="1:28" x14ac:dyDescent="0.4">
      <c r="A1099" s="1" t="s">
        <v>289</v>
      </c>
      <c r="B1099" s="1">
        <v>2000</v>
      </c>
      <c r="C1099" s="1">
        <v>0.2</v>
      </c>
      <c r="D1099" s="1">
        <v>0.5</v>
      </c>
      <c r="E1099" s="1">
        <v>2000</v>
      </c>
      <c r="F1099" s="1">
        <v>1</v>
      </c>
      <c r="G1099" s="1">
        <v>3</v>
      </c>
      <c r="H1099" s="1" t="s">
        <v>592</v>
      </c>
      <c r="I1099" s="1">
        <v>291372.59999999998</v>
      </c>
      <c r="J1099" s="1">
        <v>115923.7</v>
      </c>
      <c r="K1099" s="1">
        <v>175448.9</v>
      </c>
      <c r="L1099" s="1">
        <v>600</v>
      </c>
      <c r="M1099" s="1">
        <v>601.07000000000005</v>
      </c>
      <c r="N1099" s="1">
        <v>77669</v>
      </c>
      <c r="O1099" s="1">
        <v>115756</v>
      </c>
      <c r="P1099" s="1">
        <v>193425</v>
      </c>
      <c r="Q1099" s="1">
        <v>12644.5</v>
      </c>
      <c r="R1099" s="1">
        <v>3978.1</v>
      </c>
      <c r="S1099" s="1">
        <v>16622.599999999999</v>
      </c>
      <c r="T1099" s="1">
        <v>27.91</v>
      </c>
      <c r="U1099" s="1">
        <v>0.06</v>
      </c>
      <c r="V1099" s="1">
        <v>3970.3</v>
      </c>
      <c r="W1099" s="1">
        <v>16614.8</v>
      </c>
      <c r="X1099" s="1">
        <v>601.13</v>
      </c>
      <c r="Y1099" s="1">
        <v>600</v>
      </c>
      <c r="Z1099" s="1">
        <v>210039.8</v>
      </c>
      <c r="AA1099" s="1">
        <v>27.91</v>
      </c>
      <c r="AB1099" s="1">
        <v>2000</v>
      </c>
    </row>
    <row r="1100" spans="1:28" x14ac:dyDescent="0.4">
      <c r="A1100" s="1" t="s">
        <v>290</v>
      </c>
      <c r="B1100" s="1">
        <v>2000</v>
      </c>
      <c r="C1100" s="1">
        <v>0.2</v>
      </c>
      <c r="D1100" s="1">
        <v>0.5</v>
      </c>
      <c r="E1100" s="1">
        <v>2000</v>
      </c>
      <c r="F1100" s="1">
        <v>1</v>
      </c>
      <c r="G1100" s="1">
        <v>4</v>
      </c>
      <c r="H1100" s="1" t="s">
        <v>592</v>
      </c>
      <c r="I1100" s="1">
        <v>294821.8</v>
      </c>
      <c r="J1100" s="1">
        <v>116489.4</v>
      </c>
      <c r="K1100" s="1">
        <v>178332.4</v>
      </c>
      <c r="L1100" s="1">
        <v>600</v>
      </c>
      <c r="M1100" s="1">
        <v>600.65</v>
      </c>
      <c r="N1100" s="1">
        <v>79099.899999999994</v>
      </c>
      <c r="O1100" s="1">
        <v>118453.9</v>
      </c>
      <c r="P1100" s="1">
        <v>197553.8</v>
      </c>
      <c r="Q1100" s="1">
        <v>12610.1</v>
      </c>
      <c r="R1100" s="1">
        <v>3823.9</v>
      </c>
      <c r="S1100" s="1">
        <v>16434</v>
      </c>
      <c r="T1100" s="1">
        <v>27.42</v>
      </c>
      <c r="U1100" s="1">
        <v>0.06</v>
      </c>
      <c r="V1100" s="1">
        <v>3823.9</v>
      </c>
      <c r="W1100" s="1">
        <v>16434</v>
      </c>
      <c r="X1100" s="1">
        <v>600.70000000000005</v>
      </c>
      <c r="Y1100" s="1">
        <v>600</v>
      </c>
      <c r="Z1100" s="1">
        <v>213987.8</v>
      </c>
      <c r="AA1100" s="1">
        <v>27.42</v>
      </c>
      <c r="AB1100" s="1">
        <v>2000</v>
      </c>
    </row>
    <row r="1101" spans="1:28" x14ac:dyDescent="0.4">
      <c r="A1101" s="1" t="s">
        <v>291</v>
      </c>
      <c r="B1101" s="1">
        <v>2000</v>
      </c>
      <c r="C1101" s="1">
        <v>0.2</v>
      </c>
      <c r="D1101" s="1">
        <v>0.5</v>
      </c>
      <c r="E1101" s="1">
        <v>2000</v>
      </c>
      <c r="F1101" s="1">
        <v>1</v>
      </c>
      <c r="G1101" s="1">
        <v>5</v>
      </c>
      <c r="H1101" s="1" t="s">
        <v>592</v>
      </c>
      <c r="I1101" s="1">
        <v>290639.59999999998</v>
      </c>
      <c r="J1101" s="1">
        <v>114516.4</v>
      </c>
      <c r="K1101" s="1">
        <v>176123.2</v>
      </c>
      <c r="L1101" s="1">
        <v>600</v>
      </c>
      <c r="M1101" s="1">
        <v>600.57000000000005</v>
      </c>
      <c r="N1101" s="1">
        <v>76806.5</v>
      </c>
      <c r="O1101" s="1">
        <v>115974.1</v>
      </c>
      <c r="P1101" s="1">
        <v>192780.6</v>
      </c>
      <c r="Q1101" s="1">
        <v>12540.6</v>
      </c>
      <c r="R1101" s="1">
        <v>3957.2</v>
      </c>
      <c r="S1101" s="1">
        <v>16497.8</v>
      </c>
      <c r="T1101" s="1">
        <v>27.99</v>
      </c>
      <c r="U1101" s="1">
        <v>0.06</v>
      </c>
      <c r="V1101" s="1">
        <v>3936.4</v>
      </c>
      <c r="W1101" s="1">
        <v>16477</v>
      </c>
      <c r="X1101" s="1">
        <v>600.63</v>
      </c>
      <c r="Y1101" s="1">
        <v>600</v>
      </c>
      <c r="Z1101" s="1">
        <v>209257.60000000001</v>
      </c>
      <c r="AA1101" s="1">
        <v>28</v>
      </c>
      <c r="AB1101" s="1">
        <v>2000</v>
      </c>
    </row>
    <row r="1102" spans="1:28" x14ac:dyDescent="0.4">
      <c r="A1102" s="1" t="s">
        <v>292</v>
      </c>
      <c r="B1102" s="1">
        <v>2000</v>
      </c>
      <c r="C1102" s="1">
        <v>0.2</v>
      </c>
      <c r="D1102" s="1">
        <v>0.5</v>
      </c>
      <c r="E1102" s="1">
        <v>2000</v>
      </c>
      <c r="F1102" s="1">
        <v>2</v>
      </c>
      <c r="G1102" s="1">
        <v>1</v>
      </c>
      <c r="H1102" s="1" t="s">
        <v>592</v>
      </c>
      <c r="I1102" s="1">
        <v>429372.1</v>
      </c>
      <c r="J1102" s="1">
        <v>169836.6</v>
      </c>
      <c r="K1102" s="1">
        <v>259535.5</v>
      </c>
      <c r="L1102" s="1">
        <v>600</v>
      </c>
      <c r="M1102" s="1">
        <v>600.21</v>
      </c>
      <c r="N1102" s="1">
        <v>118715.7</v>
      </c>
      <c r="O1102" s="1">
        <v>178476.4</v>
      </c>
      <c r="P1102" s="1">
        <v>297192.09999999998</v>
      </c>
      <c r="Q1102" s="1">
        <v>11711</v>
      </c>
      <c r="R1102" s="1">
        <v>3649.2</v>
      </c>
      <c r="S1102" s="1">
        <v>15360.2</v>
      </c>
      <c r="T1102" s="1">
        <v>27.21</v>
      </c>
      <c r="U1102" s="1">
        <v>0.06</v>
      </c>
      <c r="V1102" s="1">
        <v>3649.2</v>
      </c>
      <c r="W1102" s="1">
        <v>15360.2</v>
      </c>
      <c r="X1102" s="1">
        <v>600.27</v>
      </c>
      <c r="Y1102" s="1">
        <v>600</v>
      </c>
      <c r="Z1102" s="1">
        <v>312552.3</v>
      </c>
      <c r="AA1102" s="1">
        <v>27.21</v>
      </c>
      <c r="AB1102" s="1">
        <v>2000</v>
      </c>
    </row>
    <row r="1103" spans="1:28" x14ac:dyDescent="0.4">
      <c r="A1103" s="1" t="s">
        <v>293</v>
      </c>
      <c r="B1103" s="1">
        <v>2000</v>
      </c>
      <c r="C1103" s="1">
        <v>0.2</v>
      </c>
      <c r="D1103" s="1">
        <v>0.5</v>
      </c>
      <c r="E1103" s="1">
        <v>2000</v>
      </c>
      <c r="F1103" s="1">
        <v>2</v>
      </c>
      <c r="G1103" s="1">
        <v>2</v>
      </c>
      <c r="H1103" s="1" t="s">
        <v>592</v>
      </c>
      <c r="I1103" s="1">
        <v>449279.9</v>
      </c>
      <c r="J1103" s="1">
        <v>176283.8</v>
      </c>
      <c r="K1103" s="1">
        <v>272996.09999999998</v>
      </c>
      <c r="L1103" s="1">
        <v>600</v>
      </c>
      <c r="M1103" s="1">
        <v>600.24</v>
      </c>
      <c r="N1103" s="1">
        <v>118602.3</v>
      </c>
      <c r="O1103" s="1">
        <v>185925.6</v>
      </c>
      <c r="P1103" s="1">
        <v>304527.90000000002</v>
      </c>
      <c r="Q1103" s="1">
        <v>12032.5</v>
      </c>
      <c r="R1103" s="1">
        <v>3628.3</v>
      </c>
      <c r="S1103" s="1">
        <v>15660.8</v>
      </c>
      <c r="T1103" s="1">
        <v>28.73</v>
      </c>
      <c r="U1103" s="1">
        <v>0.09</v>
      </c>
      <c r="V1103" s="1">
        <v>3628.3</v>
      </c>
      <c r="W1103" s="1">
        <v>15660.8</v>
      </c>
      <c r="X1103" s="1">
        <v>600.33000000000004</v>
      </c>
      <c r="Y1103" s="1">
        <v>600</v>
      </c>
      <c r="Z1103" s="1">
        <v>320188.7</v>
      </c>
      <c r="AA1103" s="1">
        <v>28.73</v>
      </c>
      <c r="AB1103" s="1">
        <v>2000</v>
      </c>
    </row>
    <row r="1104" spans="1:28" x14ac:dyDescent="0.4">
      <c r="A1104" s="1" t="s">
        <v>294</v>
      </c>
      <c r="B1104" s="1">
        <v>2000</v>
      </c>
      <c r="C1104" s="1">
        <v>0.2</v>
      </c>
      <c r="D1104" s="1">
        <v>0.5</v>
      </c>
      <c r="E1104" s="1">
        <v>2000</v>
      </c>
      <c r="F1104" s="1">
        <v>2</v>
      </c>
      <c r="G1104" s="1">
        <v>3</v>
      </c>
      <c r="H1104" s="1" t="s">
        <v>592</v>
      </c>
      <c r="I1104" s="1">
        <v>434628.2</v>
      </c>
      <c r="J1104" s="1">
        <v>169462.1</v>
      </c>
      <c r="K1104" s="1">
        <v>265166.09999999998</v>
      </c>
      <c r="L1104" s="1">
        <v>600</v>
      </c>
      <c r="M1104" s="1">
        <v>600.83000000000004</v>
      </c>
      <c r="N1104" s="1">
        <v>114979.3</v>
      </c>
      <c r="O1104" s="1">
        <v>182531.5</v>
      </c>
      <c r="P1104" s="1">
        <v>297510.8</v>
      </c>
      <c r="Q1104" s="1">
        <v>12032.9</v>
      </c>
      <c r="R1104" s="1">
        <v>3448.5</v>
      </c>
      <c r="S1104" s="1">
        <v>15481.4</v>
      </c>
      <c r="T1104" s="1">
        <v>27.99</v>
      </c>
      <c r="U1104" s="1">
        <v>7.0000000000000007E-2</v>
      </c>
      <c r="V1104" s="1">
        <v>3433</v>
      </c>
      <c r="W1104" s="1">
        <v>15465.9</v>
      </c>
      <c r="X1104" s="1">
        <v>600.9</v>
      </c>
      <c r="Y1104" s="1">
        <v>600</v>
      </c>
      <c r="Z1104" s="1">
        <v>312976.7</v>
      </c>
      <c r="AA1104" s="1">
        <v>27.99</v>
      </c>
      <c r="AB1104" s="1">
        <v>2000</v>
      </c>
    </row>
    <row r="1105" spans="1:28" x14ac:dyDescent="0.4">
      <c r="A1105" s="1" t="s">
        <v>295</v>
      </c>
      <c r="B1105" s="1">
        <v>2000</v>
      </c>
      <c r="C1105" s="1">
        <v>0.2</v>
      </c>
      <c r="D1105" s="1">
        <v>0.5</v>
      </c>
      <c r="E1105" s="1">
        <v>2000</v>
      </c>
      <c r="F1105" s="1">
        <v>2</v>
      </c>
      <c r="G1105" s="1">
        <v>4</v>
      </c>
      <c r="H1105" s="1" t="s">
        <v>592</v>
      </c>
      <c r="I1105" s="1">
        <v>434426.7</v>
      </c>
      <c r="J1105" s="1">
        <v>171944.5</v>
      </c>
      <c r="K1105" s="1">
        <v>262482.2</v>
      </c>
      <c r="L1105" s="1">
        <v>600</v>
      </c>
      <c r="M1105" s="1">
        <v>601.01</v>
      </c>
      <c r="N1105" s="1">
        <v>117142.39999999999</v>
      </c>
      <c r="O1105" s="1">
        <v>180377.9</v>
      </c>
      <c r="P1105" s="1">
        <v>297520.3</v>
      </c>
      <c r="Q1105" s="1">
        <v>12266.6</v>
      </c>
      <c r="R1105" s="1">
        <v>3924.3</v>
      </c>
      <c r="S1105" s="1">
        <v>16190.9</v>
      </c>
      <c r="T1105" s="1">
        <v>27.79</v>
      </c>
      <c r="U1105" s="1">
        <v>0.06</v>
      </c>
      <c r="V1105" s="1">
        <v>3924.3</v>
      </c>
      <c r="W1105" s="1">
        <v>16190.9</v>
      </c>
      <c r="X1105" s="1">
        <v>601.08000000000004</v>
      </c>
      <c r="Y1105" s="1">
        <v>600</v>
      </c>
      <c r="Z1105" s="1">
        <v>313711.2</v>
      </c>
      <c r="AA1105" s="1">
        <v>27.79</v>
      </c>
      <c r="AB1105" s="1">
        <v>2000</v>
      </c>
    </row>
    <row r="1106" spans="1:28" x14ac:dyDescent="0.4">
      <c r="A1106" s="1" t="s">
        <v>296</v>
      </c>
      <c r="B1106" s="1">
        <v>2000</v>
      </c>
      <c r="C1106" s="1">
        <v>0.2</v>
      </c>
      <c r="D1106" s="1">
        <v>0.5</v>
      </c>
      <c r="E1106" s="1">
        <v>2000</v>
      </c>
      <c r="F1106" s="1">
        <v>2</v>
      </c>
      <c r="G1106" s="1">
        <v>5</v>
      </c>
      <c r="H1106" s="1" t="s">
        <v>592</v>
      </c>
      <c r="I1106" s="1">
        <v>445237.3</v>
      </c>
      <c r="J1106" s="1">
        <v>173515.2</v>
      </c>
      <c r="K1106" s="1">
        <v>271722.09999999998</v>
      </c>
      <c r="L1106" s="1">
        <v>600</v>
      </c>
      <c r="M1106" s="1">
        <v>600.54999999999995</v>
      </c>
      <c r="N1106" s="1">
        <v>119340.9</v>
      </c>
      <c r="O1106" s="1">
        <v>186396.9</v>
      </c>
      <c r="P1106" s="1">
        <v>305737.8</v>
      </c>
      <c r="Q1106" s="1">
        <v>11826.9</v>
      </c>
      <c r="R1106" s="1">
        <v>3425.9</v>
      </c>
      <c r="S1106" s="1">
        <v>15252.8</v>
      </c>
      <c r="T1106" s="1">
        <v>27.91</v>
      </c>
      <c r="U1106" s="1">
        <v>0.06</v>
      </c>
      <c r="V1106" s="1">
        <v>3425.9</v>
      </c>
      <c r="W1106" s="1">
        <v>15252.8</v>
      </c>
      <c r="X1106" s="1">
        <v>600.61</v>
      </c>
      <c r="Y1106" s="1">
        <v>600</v>
      </c>
      <c r="Z1106" s="1">
        <v>320990.59999999998</v>
      </c>
      <c r="AA1106" s="1">
        <v>27.91</v>
      </c>
      <c r="AB1106" s="1">
        <v>2000</v>
      </c>
    </row>
    <row r="1107" spans="1:28" x14ac:dyDescent="0.4">
      <c r="A1107" s="1" t="s">
        <v>297</v>
      </c>
      <c r="B1107" s="1">
        <v>2000</v>
      </c>
      <c r="C1107" s="1">
        <v>0.2</v>
      </c>
      <c r="D1107" s="1">
        <v>0.5</v>
      </c>
      <c r="E1107" s="1">
        <v>2000</v>
      </c>
      <c r="F1107" s="1">
        <v>3</v>
      </c>
      <c r="G1107" s="1">
        <v>1</v>
      </c>
      <c r="H1107" s="1" t="s">
        <v>592</v>
      </c>
      <c r="I1107" s="1">
        <v>567589.1</v>
      </c>
      <c r="J1107" s="1">
        <v>227659.9</v>
      </c>
      <c r="K1107" s="1">
        <v>339929.2</v>
      </c>
      <c r="L1107" s="1">
        <v>600</v>
      </c>
      <c r="M1107" s="1">
        <v>600.01</v>
      </c>
      <c r="N1107" s="1">
        <v>159909.5</v>
      </c>
      <c r="O1107" s="1">
        <v>239503.1</v>
      </c>
      <c r="P1107" s="1">
        <v>399412.6</v>
      </c>
      <c r="Q1107" s="1">
        <v>11657.8</v>
      </c>
      <c r="R1107" s="1">
        <v>3273</v>
      </c>
      <c r="S1107" s="1">
        <v>14930.8</v>
      </c>
      <c r="T1107" s="1">
        <v>27</v>
      </c>
      <c r="U1107" s="1">
        <v>7.0000000000000007E-2</v>
      </c>
      <c r="V1107" s="1">
        <v>3273</v>
      </c>
      <c r="W1107" s="1">
        <v>14930.8</v>
      </c>
      <c r="X1107" s="1">
        <v>600.07000000000005</v>
      </c>
      <c r="Y1107" s="1">
        <v>600</v>
      </c>
      <c r="Z1107" s="1">
        <v>414343.4</v>
      </c>
      <c r="AA1107" s="1">
        <v>27</v>
      </c>
      <c r="AB1107" s="1">
        <v>2000</v>
      </c>
    </row>
    <row r="1108" spans="1:28" x14ac:dyDescent="0.4">
      <c r="A1108" s="1" t="s">
        <v>298</v>
      </c>
      <c r="B1108" s="1">
        <v>2000</v>
      </c>
      <c r="C1108" s="1">
        <v>0.2</v>
      </c>
      <c r="D1108" s="1">
        <v>0.5</v>
      </c>
      <c r="E1108" s="1">
        <v>2000</v>
      </c>
      <c r="F1108" s="1">
        <v>3</v>
      </c>
      <c r="G1108" s="1">
        <v>2</v>
      </c>
      <c r="H1108" s="1" t="s">
        <v>592</v>
      </c>
      <c r="I1108" s="1">
        <v>574652.6</v>
      </c>
      <c r="J1108" s="1">
        <v>228791.7</v>
      </c>
      <c r="K1108" s="1">
        <v>345860.9</v>
      </c>
      <c r="L1108" s="1">
        <v>600</v>
      </c>
      <c r="M1108" s="1">
        <v>600.03</v>
      </c>
      <c r="N1108" s="1">
        <v>158390.9</v>
      </c>
      <c r="O1108" s="1">
        <v>245385.8</v>
      </c>
      <c r="P1108" s="1">
        <v>403776.7</v>
      </c>
      <c r="Q1108" s="1">
        <v>11738.8</v>
      </c>
      <c r="R1108" s="1">
        <v>3496.3</v>
      </c>
      <c r="S1108" s="1">
        <v>15235.1</v>
      </c>
      <c r="T1108" s="1">
        <v>27.08</v>
      </c>
      <c r="U1108" s="1">
        <v>7.0000000000000007E-2</v>
      </c>
      <c r="V1108" s="1">
        <v>3494.9</v>
      </c>
      <c r="W1108" s="1">
        <v>15233.7</v>
      </c>
      <c r="X1108" s="1">
        <v>600.09</v>
      </c>
      <c r="Y1108" s="1">
        <v>600</v>
      </c>
      <c r="Z1108" s="1">
        <v>419010.4</v>
      </c>
      <c r="AA1108" s="1">
        <v>27.08</v>
      </c>
      <c r="AB1108" s="1">
        <v>2000</v>
      </c>
    </row>
    <row r="1109" spans="1:28" x14ac:dyDescent="0.4">
      <c r="A1109" s="1" t="s">
        <v>299</v>
      </c>
      <c r="B1109" s="1">
        <v>2000</v>
      </c>
      <c r="C1109" s="1">
        <v>0.2</v>
      </c>
      <c r="D1109" s="1">
        <v>0.5</v>
      </c>
      <c r="E1109" s="1">
        <v>2000</v>
      </c>
      <c r="F1109" s="1">
        <v>3</v>
      </c>
      <c r="G1109" s="1">
        <v>3</v>
      </c>
      <c r="H1109" s="1" t="s">
        <v>592</v>
      </c>
      <c r="I1109" s="1">
        <v>569085.69999999995</v>
      </c>
      <c r="J1109" s="1">
        <v>222208.8</v>
      </c>
      <c r="K1109" s="1">
        <v>346876.9</v>
      </c>
      <c r="L1109" s="1">
        <v>600</v>
      </c>
      <c r="M1109" s="1">
        <v>600</v>
      </c>
      <c r="N1109" s="1">
        <v>151357.29999999999</v>
      </c>
      <c r="O1109" s="1">
        <v>238987.1</v>
      </c>
      <c r="P1109" s="1">
        <v>390344.4</v>
      </c>
      <c r="Q1109" s="1">
        <v>11767.6</v>
      </c>
      <c r="R1109" s="1">
        <v>3472.3</v>
      </c>
      <c r="S1109" s="1">
        <v>15239.9</v>
      </c>
      <c r="T1109" s="1">
        <v>28.73</v>
      </c>
      <c r="U1109" s="1">
        <v>7.0000000000000007E-2</v>
      </c>
      <c r="V1109" s="1">
        <v>3472.3</v>
      </c>
      <c r="W1109" s="1">
        <v>15239.9</v>
      </c>
      <c r="X1109" s="1">
        <v>600.07000000000005</v>
      </c>
      <c r="Y1109" s="1">
        <v>600</v>
      </c>
      <c r="Z1109" s="1">
        <v>405584.3</v>
      </c>
      <c r="AA1109" s="1">
        <v>28.73</v>
      </c>
      <c r="AB1109" s="1">
        <v>2000</v>
      </c>
    </row>
    <row r="1110" spans="1:28" x14ac:dyDescent="0.4">
      <c r="A1110" s="1" t="s">
        <v>300</v>
      </c>
      <c r="B1110" s="1">
        <v>2000</v>
      </c>
      <c r="C1110" s="1">
        <v>0.2</v>
      </c>
      <c r="D1110" s="1">
        <v>0.5</v>
      </c>
      <c r="E1110" s="1">
        <v>2000</v>
      </c>
      <c r="F1110" s="1">
        <v>3</v>
      </c>
      <c r="G1110" s="1">
        <v>4</v>
      </c>
      <c r="H1110" s="1" t="s">
        <v>592</v>
      </c>
      <c r="I1110" s="1">
        <v>568129.1</v>
      </c>
      <c r="J1110" s="1">
        <v>230045.8</v>
      </c>
      <c r="K1110" s="1">
        <v>338083.3</v>
      </c>
      <c r="L1110" s="1">
        <v>600</v>
      </c>
      <c r="M1110" s="1">
        <v>600.01</v>
      </c>
      <c r="N1110" s="1">
        <v>158701.9</v>
      </c>
      <c r="O1110" s="1">
        <v>237718.9</v>
      </c>
      <c r="P1110" s="1">
        <v>396420.8</v>
      </c>
      <c r="Q1110" s="1">
        <v>12002.9</v>
      </c>
      <c r="R1110" s="1">
        <v>3661.7</v>
      </c>
      <c r="S1110" s="1">
        <v>15664.6</v>
      </c>
      <c r="T1110" s="1">
        <v>27.47</v>
      </c>
      <c r="U1110" s="1">
        <v>7.0000000000000007E-2</v>
      </c>
      <c r="V1110" s="1">
        <v>3661.7</v>
      </c>
      <c r="W1110" s="1">
        <v>15664.6</v>
      </c>
      <c r="X1110" s="1">
        <v>600.08000000000004</v>
      </c>
      <c r="Y1110" s="1">
        <v>600</v>
      </c>
      <c r="Z1110" s="1">
        <v>412085.4</v>
      </c>
      <c r="AA1110" s="1">
        <v>27.47</v>
      </c>
      <c r="AB1110" s="1">
        <v>2000</v>
      </c>
    </row>
    <row r="1111" spans="1:28" x14ac:dyDescent="0.4">
      <c r="A1111" s="1" t="s">
        <v>301</v>
      </c>
      <c r="B1111" s="1">
        <v>2000</v>
      </c>
      <c r="C1111" s="1">
        <v>0.2</v>
      </c>
      <c r="D1111" s="1">
        <v>0.5</v>
      </c>
      <c r="E1111" s="1">
        <v>2000</v>
      </c>
      <c r="F1111" s="1">
        <v>3</v>
      </c>
      <c r="G1111" s="1">
        <v>5</v>
      </c>
      <c r="H1111" s="1" t="s">
        <v>592</v>
      </c>
      <c r="I1111" s="1">
        <v>568907.69999999995</v>
      </c>
      <c r="J1111" s="1">
        <v>232908.3</v>
      </c>
      <c r="K1111" s="1">
        <v>335999.4</v>
      </c>
      <c r="L1111" s="1">
        <v>600</v>
      </c>
      <c r="M1111" s="1">
        <v>600.77</v>
      </c>
      <c r="N1111" s="1">
        <v>163030.70000000001</v>
      </c>
      <c r="O1111" s="1">
        <v>235703.4</v>
      </c>
      <c r="P1111" s="1">
        <v>398734.1</v>
      </c>
      <c r="Q1111" s="1">
        <v>11720.9</v>
      </c>
      <c r="R1111" s="1">
        <v>2924.6</v>
      </c>
      <c r="S1111" s="1">
        <v>14645.5</v>
      </c>
      <c r="T1111" s="1">
        <v>27.34</v>
      </c>
      <c r="U1111" s="1">
        <v>0.05</v>
      </c>
      <c r="V1111" s="1">
        <v>2886.9</v>
      </c>
      <c r="W1111" s="1">
        <v>14607.8</v>
      </c>
      <c r="X1111" s="1">
        <v>600.82000000000005</v>
      </c>
      <c r="Y1111" s="1">
        <v>600</v>
      </c>
      <c r="Z1111" s="1">
        <v>413341.9</v>
      </c>
      <c r="AA1111" s="1">
        <v>27.34</v>
      </c>
      <c r="AB1111" s="1">
        <v>2000</v>
      </c>
    </row>
    <row r="1112" spans="1:28" x14ac:dyDescent="0.4">
      <c r="A1112" s="1" t="s">
        <v>302</v>
      </c>
      <c r="B1112" s="1">
        <v>2000</v>
      </c>
      <c r="C1112" s="1">
        <v>0.2</v>
      </c>
      <c r="D1112" s="1">
        <v>0.5</v>
      </c>
      <c r="E1112" s="1">
        <v>500</v>
      </c>
      <c r="F1112" s="1">
        <v>1</v>
      </c>
      <c r="G1112" s="1">
        <v>1</v>
      </c>
      <c r="H1112" s="1" t="s">
        <v>592</v>
      </c>
      <c r="I1112" s="1">
        <v>72828.100000000006</v>
      </c>
      <c r="J1112" s="1">
        <v>30131.8</v>
      </c>
      <c r="K1112" s="1">
        <v>42696.3</v>
      </c>
      <c r="L1112" s="1">
        <v>600</v>
      </c>
      <c r="M1112" s="1">
        <v>601.33000000000004</v>
      </c>
      <c r="N1112" s="1">
        <v>18004.8</v>
      </c>
      <c r="O1112" s="1">
        <v>25133.1</v>
      </c>
      <c r="P1112" s="1">
        <v>43137.9</v>
      </c>
      <c r="Q1112" s="1">
        <v>8975.9</v>
      </c>
      <c r="R1112" s="1">
        <v>1707.1</v>
      </c>
      <c r="S1112" s="1">
        <v>10683</v>
      </c>
      <c r="T1112" s="1">
        <v>26.1</v>
      </c>
      <c r="U1112" s="1">
        <v>0.03</v>
      </c>
      <c r="V1112" s="1">
        <v>1697.4</v>
      </c>
      <c r="W1112" s="1">
        <v>10673.3</v>
      </c>
      <c r="X1112" s="1">
        <v>601.36</v>
      </c>
      <c r="Y1112" s="1">
        <v>597</v>
      </c>
      <c r="Z1112" s="1">
        <v>53811.199999999997</v>
      </c>
      <c r="AA1112" s="1">
        <v>26.11</v>
      </c>
      <c r="AB1112" s="1">
        <v>2000</v>
      </c>
    </row>
    <row r="1113" spans="1:28" x14ac:dyDescent="0.4">
      <c r="A1113" s="1" t="s">
        <v>303</v>
      </c>
      <c r="B1113" s="1">
        <v>2000</v>
      </c>
      <c r="C1113" s="1">
        <v>0.2</v>
      </c>
      <c r="D1113" s="1">
        <v>0.5</v>
      </c>
      <c r="E1113" s="1">
        <v>500</v>
      </c>
      <c r="F1113" s="1">
        <v>1</v>
      </c>
      <c r="G1113" s="1">
        <v>2</v>
      </c>
      <c r="H1113" s="1" t="s">
        <v>592</v>
      </c>
      <c r="I1113" s="1">
        <v>73709.399999999994</v>
      </c>
      <c r="J1113" s="1">
        <v>30448</v>
      </c>
      <c r="K1113" s="1">
        <v>43261.4</v>
      </c>
      <c r="L1113" s="1">
        <v>600</v>
      </c>
      <c r="M1113" s="1">
        <v>601.05999999999995</v>
      </c>
      <c r="N1113" s="1">
        <v>18355</v>
      </c>
      <c r="O1113" s="1">
        <v>25433.599999999999</v>
      </c>
      <c r="P1113" s="1">
        <v>43788.6</v>
      </c>
      <c r="Q1113" s="1">
        <v>8940.9</v>
      </c>
      <c r="R1113" s="1">
        <v>1650</v>
      </c>
      <c r="S1113" s="1">
        <v>10590.9</v>
      </c>
      <c r="T1113" s="1">
        <v>26.22</v>
      </c>
      <c r="U1113" s="1">
        <v>0.03</v>
      </c>
      <c r="V1113" s="1">
        <v>1640.9</v>
      </c>
      <c r="W1113" s="1">
        <v>10581.8</v>
      </c>
      <c r="X1113" s="1">
        <v>601.1</v>
      </c>
      <c r="Y1113" s="1">
        <v>599</v>
      </c>
      <c r="Z1113" s="1">
        <v>54370.400000000001</v>
      </c>
      <c r="AA1113" s="1">
        <v>26.24</v>
      </c>
      <c r="AB1113" s="1">
        <v>2000</v>
      </c>
    </row>
    <row r="1114" spans="1:28" x14ac:dyDescent="0.4">
      <c r="A1114" s="1" t="s">
        <v>304</v>
      </c>
      <c r="B1114" s="1">
        <v>2000</v>
      </c>
      <c r="C1114" s="1">
        <v>0.2</v>
      </c>
      <c r="D1114" s="1">
        <v>0.5</v>
      </c>
      <c r="E1114" s="1">
        <v>500</v>
      </c>
      <c r="F1114" s="1">
        <v>1</v>
      </c>
      <c r="G1114" s="1">
        <v>3</v>
      </c>
      <c r="H1114" s="1" t="s">
        <v>592</v>
      </c>
      <c r="I1114" s="1">
        <v>73291.199999999997</v>
      </c>
      <c r="J1114" s="1">
        <v>29361</v>
      </c>
      <c r="K1114" s="1">
        <v>43930.2</v>
      </c>
      <c r="L1114" s="1">
        <v>600</v>
      </c>
      <c r="M1114" s="1">
        <v>601</v>
      </c>
      <c r="N1114" s="1">
        <v>18367.099999999999</v>
      </c>
      <c r="O1114" s="1">
        <v>24870</v>
      </c>
      <c r="P1114" s="1">
        <v>43237.1</v>
      </c>
      <c r="Q1114" s="1">
        <v>9351.5</v>
      </c>
      <c r="R1114" s="1">
        <v>1940.2</v>
      </c>
      <c r="S1114" s="1">
        <v>11291.7</v>
      </c>
      <c r="T1114" s="1">
        <v>25.6</v>
      </c>
      <c r="U1114" s="1">
        <v>0.03</v>
      </c>
      <c r="V1114" s="1">
        <v>1931.1</v>
      </c>
      <c r="W1114" s="1">
        <v>11282.6</v>
      </c>
      <c r="X1114" s="1">
        <v>601.02</v>
      </c>
      <c r="Y1114" s="1">
        <v>600</v>
      </c>
      <c r="Z1114" s="1">
        <v>54519.7</v>
      </c>
      <c r="AA1114" s="1">
        <v>25.61</v>
      </c>
      <c r="AB1114" s="1">
        <v>2000</v>
      </c>
    </row>
    <row r="1115" spans="1:28" x14ac:dyDescent="0.4">
      <c r="A1115" s="1" t="s">
        <v>305</v>
      </c>
      <c r="B1115" s="1">
        <v>2000</v>
      </c>
      <c r="C1115" s="1">
        <v>0.2</v>
      </c>
      <c r="D1115" s="1">
        <v>0.5</v>
      </c>
      <c r="E1115" s="1">
        <v>500</v>
      </c>
      <c r="F1115" s="1">
        <v>1</v>
      </c>
      <c r="G1115" s="1">
        <v>4</v>
      </c>
      <c r="H1115" s="1" t="s">
        <v>592</v>
      </c>
      <c r="I1115" s="1">
        <v>70840.800000000003</v>
      </c>
      <c r="J1115" s="1">
        <v>28183.5</v>
      </c>
      <c r="K1115" s="1">
        <v>42657.3</v>
      </c>
      <c r="L1115" s="1">
        <v>600</v>
      </c>
      <c r="M1115" s="1">
        <v>600.86</v>
      </c>
      <c r="N1115" s="1">
        <v>17113.099999999999</v>
      </c>
      <c r="O1115" s="1">
        <v>24775.8</v>
      </c>
      <c r="P1115" s="1">
        <v>41888.9</v>
      </c>
      <c r="Q1115" s="1">
        <v>9023.2999999999993</v>
      </c>
      <c r="R1115" s="1">
        <v>1573</v>
      </c>
      <c r="S1115" s="1">
        <v>10596.3</v>
      </c>
      <c r="T1115" s="1">
        <v>25.91</v>
      </c>
      <c r="U1115" s="1">
        <v>0.04</v>
      </c>
      <c r="V1115" s="1">
        <v>1556.4</v>
      </c>
      <c r="W1115" s="1">
        <v>10579.7</v>
      </c>
      <c r="X1115" s="1">
        <v>600.89</v>
      </c>
      <c r="Y1115" s="1">
        <v>598</v>
      </c>
      <c r="Z1115" s="1">
        <v>52468.6</v>
      </c>
      <c r="AA1115" s="1">
        <v>25.93</v>
      </c>
      <c r="AB1115" s="1">
        <v>2000</v>
      </c>
    </row>
    <row r="1116" spans="1:28" x14ac:dyDescent="0.4">
      <c r="A1116" s="1" t="s">
        <v>306</v>
      </c>
      <c r="B1116" s="1">
        <v>2000</v>
      </c>
      <c r="C1116" s="1">
        <v>0.2</v>
      </c>
      <c r="D1116" s="1">
        <v>0.5</v>
      </c>
      <c r="E1116" s="1">
        <v>500</v>
      </c>
      <c r="F1116" s="1">
        <v>1</v>
      </c>
      <c r="G1116" s="1">
        <v>5</v>
      </c>
      <c r="H1116" s="1" t="s">
        <v>592</v>
      </c>
      <c r="I1116" s="1">
        <v>71315</v>
      </c>
      <c r="J1116" s="1">
        <v>28392.400000000001</v>
      </c>
      <c r="K1116" s="1">
        <v>42922.6</v>
      </c>
      <c r="L1116" s="1">
        <v>600</v>
      </c>
      <c r="M1116" s="1">
        <v>600.80999999999995</v>
      </c>
      <c r="N1116" s="1">
        <v>17057.2</v>
      </c>
      <c r="O1116" s="1">
        <v>25093</v>
      </c>
      <c r="P1116" s="1">
        <v>42150.2</v>
      </c>
      <c r="Q1116" s="1">
        <v>9054</v>
      </c>
      <c r="R1116" s="1">
        <v>1867.1</v>
      </c>
      <c r="S1116" s="1">
        <v>10921.1</v>
      </c>
      <c r="T1116" s="1">
        <v>25.58</v>
      </c>
      <c r="U1116" s="1">
        <v>0.05</v>
      </c>
      <c r="V1116" s="1">
        <v>1821.3</v>
      </c>
      <c r="W1116" s="1">
        <v>10875.3</v>
      </c>
      <c r="X1116" s="1">
        <v>600.86</v>
      </c>
      <c r="Y1116" s="1">
        <v>599</v>
      </c>
      <c r="Z1116" s="1">
        <v>53025.5</v>
      </c>
      <c r="AA1116" s="1">
        <v>25.65</v>
      </c>
      <c r="AB1116" s="1">
        <v>2000</v>
      </c>
    </row>
    <row r="1117" spans="1:28" x14ac:dyDescent="0.4">
      <c r="A1117" s="1" t="s">
        <v>307</v>
      </c>
      <c r="B1117" s="1">
        <v>2000</v>
      </c>
      <c r="C1117" s="1">
        <v>0.2</v>
      </c>
      <c r="D1117" s="1">
        <v>0.5</v>
      </c>
      <c r="E1117" s="1">
        <v>500</v>
      </c>
      <c r="F1117" s="1">
        <v>2</v>
      </c>
      <c r="G1117" s="1">
        <v>1</v>
      </c>
      <c r="H1117" s="1" t="s">
        <v>592</v>
      </c>
      <c r="I1117" s="1">
        <v>109987.8</v>
      </c>
      <c r="J1117" s="1">
        <v>45375.9</v>
      </c>
      <c r="K1117" s="1">
        <v>64611.9</v>
      </c>
      <c r="L1117" s="1">
        <v>600</v>
      </c>
      <c r="M1117" s="1">
        <v>600.29</v>
      </c>
      <c r="N1117" s="1">
        <v>28383.9</v>
      </c>
      <c r="O1117" s="1">
        <v>38459.699999999997</v>
      </c>
      <c r="P1117" s="1">
        <v>66843.600000000006</v>
      </c>
      <c r="Q1117" s="1">
        <v>9559.7000000000007</v>
      </c>
      <c r="R1117" s="1">
        <v>2184.1999999999998</v>
      </c>
      <c r="S1117" s="1">
        <v>11743.9</v>
      </c>
      <c r="T1117" s="1">
        <v>28.55</v>
      </c>
      <c r="U1117" s="1">
        <v>0.05</v>
      </c>
      <c r="V1117" s="1">
        <v>2163.1</v>
      </c>
      <c r="W1117" s="1">
        <v>11722.8</v>
      </c>
      <c r="X1117" s="1">
        <v>600.34</v>
      </c>
      <c r="Y1117" s="1">
        <v>598</v>
      </c>
      <c r="Z1117" s="1">
        <v>78566.399999999994</v>
      </c>
      <c r="AA1117" s="1">
        <v>28.57</v>
      </c>
      <c r="AB1117" s="1">
        <v>2000</v>
      </c>
    </row>
    <row r="1118" spans="1:28" x14ac:dyDescent="0.4">
      <c r="A1118" s="1" t="s">
        <v>308</v>
      </c>
      <c r="B1118" s="1">
        <v>2000</v>
      </c>
      <c r="C1118" s="1">
        <v>0.2</v>
      </c>
      <c r="D1118" s="1">
        <v>0.5</v>
      </c>
      <c r="E1118" s="1">
        <v>500</v>
      </c>
      <c r="F1118" s="1">
        <v>2</v>
      </c>
      <c r="G1118" s="1">
        <v>2</v>
      </c>
      <c r="H1118" s="1" t="s">
        <v>592</v>
      </c>
      <c r="I1118" s="1">
        <v>111693.6</v>
      </c>
      <c r="J1118" s="1">
        <v>43333.7</v>
      </c>
      <c r="K1118" s="1">
        <v>68359.899999999994</v>
      </c>
      <c r="L1118" s="1">
        <v>600</v>
      </c>
      <c r="M1118" s="1">
        <v>601.22</v>
      </c>
      <c r="N1118" s="1">
        <v>27068.1</v>
      </c>
      <c r="O1118" s="1">
        <v>41023.699999999997</v>
      </c>
      <c r="P1118" s="1">
        <v>68091.8</v>
      </c>
      <c r="Q1118" s="1">
        <v>9128.6</v>
      </c>
      <c r="R1118" s="1">
        <v>2344.3000000000002</v>
      </c>
      <c r="S1118" s="1">
        <v>11472.9</v>
      </c>
      <c r="T1118" s="1">
        <v>28.77</v>
      </c>
      <c r="U1118" s="1">
        <v>0.08</v>
      </c>
      <c r="V1118" s="1">
        <v>2344.3000000000002</v>
      </c>
      <c r="W1118" s="1">
        <v>11472.9</v>
      </c>
      <c r="X1118" s="1">
        <v>601.29</v>
      </c>
      <c r="Y1118" s="1">
        <v>598</v>
      </c>
      <c r="Z1118" s="1">
        <v>79564.7</v>
      </c>
      <c r="AA1118" s="1">
        <v>28.77</v>
      </c>
      <c r="AB1118" s="1">
        <v>2000</v>
      </c>
    </row>
    <row r="1119" spans="1:28" x14ac:dyDescent="0.4">
      <c r="A1119" s="1" t="s">
        <v>309</v>
      </c>
      <c r="B1119" s="1">
        <v>2000</v>
      </c>
      <c r="C1119" s="1">
        <v>0.2</v>
      </c>
      <c r="D1119" s="1">
        <v>0.5</v>
      </c>
      <c r="E1119" s="1">
        <v>500</v>
      </c>
      <c r="F1119" s="1">
        <v>2</v>
      </c>
      <c r="G1119" s="1">
        <v>3</v>
      </c>
      <c r="H1119" s="1" t="s">
        <v>592</v>
      </c>
      <c r="I1119" s="1">
        <v>105271.7</v>
      </c>
      <c r="J1119" s="1">
        <v>43538.6</v>
      </c>
      <c r="K1119" s="1">
        <v>61733.1</v>
      </c>
      <c r="L1119" s="1">
        <v>600</v>
      </c>
      <c r="M1119" s="1">
        <v>600.65</v>
      </c>
      <c r="N1119" s="1">
        <v>27199.1</v>
      </c>
      <c r="O1119" s="1">
        <v>38125.800000000003</v>
      </c>
      <c r="P1119" s="1">
        <v>65324.9</v>
      </c>
      <c r="Q1119" s="1">
        <v>9003</v>
      </c>
      <c r="R1119" s="1">
        <v>2059.5</v>
      </c>
      <c r="S1119" s="1">
        <v>11062.5</v>
      </c>
      <c r="T1119" s="1">
        <v>27.44</v>
      </c>
      <c r="U1119" s="1">
        <v>0.05</v>
      </c>
      <c r="V1119" s="1">
        <v>2053.1</v>
      </c>
      <c r="W1119" s="1">
        <v>11056.1</v>
      </c>
      <c r="X1119" s="1">
        <v>600.70000000000005</v>
      </c>
      <c r="Y1119" s="1">
        <v>600</v>
      </c>
      <c r="Z1119" s="1">
        <v>76381</v>
      </c>
      <c r="AA1119" s="1">
        <v>27.44</v>
      </c>
      <c r="AB1119" s="1">
        <v>2000</v>
      </c>
    </row>
    <row r="1120" spans="1:28" x14ac:dyDescent="0.4">
      <c r="A1120" s="1" t="s">
        <v>310</v>
      </c>
      <c r="B1120" s="1">
        <v>2000</v>
      </c>
      <c r="C1120" s="1">
        <v>0.2</v>
      </c>
      <c r="D1120" s="1">
        <v>0.5</v>
      </c>
      <c r="E1120" s="1">
        <v>500</v>
      </c>
      <c r="F1120" s="1">
        <v>2</v>
      </c>
      <c r="G1120" s="1">
        <v>4</v>
      </c>
      <c r="H1120" s="1" t="s">
        <v>592</v>
      </c>
      <c r="I1120" s="1">
        <v>114285.5</v>
      </c>
      <c r="J1120" s="1">
        <v>42781.8</v>
      </c>
      <c r="K1120" s="1">
        <v>71503.7</v>
      </c>
      <c r="L1120" s="1">
        <v>600</v>
      </c>
      <c r="M1120" s="1">
        <v>601.15</v>
      </c>
      <c r="N1120" s="1">
        <v>27243.4</v>
      </c>
      <c r="O1120" s="1">
        <v>43785.9</v>
      </c>
      <c r="P1120" s="1">
        <v>71029.3</v>
      </c>
      <c r="Q1120" s="1">
        <v>8903</v>
      </c>
      <c r="R1120" s="1">
        <v>2083</v>
      </c>
      <c r="S1120" s="1">
        <v>10986</v>
      </c>
      <c r="T1120" s="1">
        <v>28.24</v>
      </c>
      <c r="U1120" s="1">
        <v>0.06</v>
      </c>
      <c r="V1120" s="1">
        <v>2064.6999999999998</v>
      </c>
      <c r="W1120" s="1">
        <v>10967.7</v>
      </c>
      <c r="X1120" s="1">
        <v>601.21</v>
      </c>
      <c r="Y1120" s="1">
        <v>600</v>
      </c>
      <c r="Z1120" s="1">
        <v>81997</v>
      </c>
      <c r="AA1120" s="1">
        <v>28.25</v>
      </c>
      <c r="AB1120" s="1">
        <v>2000</v>
      </c>
    </row>
    <row r="1121" spans="1:28" x14ac:dyDescent="0.4">
      <c r="A1121" s="1" t="s">
        <v>311</v>
      </c>
      <c r="B1121" s="1">
        <v>2000</v>
      </c>
      <c r="C1121" s="1">
        <v>0.2</v>
      </c>
      <c r="D1121" s="1">
        <v>0.5</v>
      </c>
      <c r="E1121" s="1">
        <v>500</v>
      </c>
      <c r="F1121" s="1">
        <v>2</v>
      </c>
      <c r="G1121" s="1">
        <v>5</v>
      </c>
      <c r="H1121" s="1" t="s">
        <v>592</v>
      </c>
      <c r="I1121" s="1">
        <v>111707.3</v>
      </c>
      <c r="J1121" s="1">
        <v>45068.7</v>
      </c>
      <c r="K1121" s="1">
        <v>66638.600000000006</v>
      </c>
      <c r="L1121" s="1">
        <v>600</v>
      </c>
      <c r="M1121" s="1">
        <v>600.9</v>
      </c>
      <c r="N1121" s="1">
        <v>27593.9</v>
      </c>
      <c r="O1121" s="1">
        <v>41932.6</v>
      </c>
      <c r="P1121" s="1">
        <v>69526.5</v>
      </c>
      <c r="Q1121" s="1">
        <v>8909</v>
      </c>
      <c r="R1121" s="1">
        <v>2086.8000000000002</v>
      </c>
      <c r="S1121" s="1">
        <v>10995.8</v>
      </c>
      <c r="T1121" s="1">
        <v>27.92</v>
      </c>
      <c r="U1121" s="1">
        <v>0.06</v>
      </c>
      <c r="V1121" s="1">
        <v>2069.9</v>
      </c>
      <c r="W1121" s="1">
        <v>10978.9</v>
      </c>
      <c r="X1121" s="1">
        <v>600.96</v>
      </c>
      <c r="Y1121" s="1">
        <v>600</v>
      </c>
      <c r="Z1121" s="1">
        <v>80505.399999999994</v>
      </c>
      <c r="AA1121" s="1">
        <v>27.93</v>
      </c>
      <c r="AB1121" s="1">
        <v>2000</v>
      </c>
    </row>
    <row r="1122" spans="1:28" x14ac:dyDescent="0.4">
      <c r="A1122" s="1" t="s">
        <v>312</v>
      </c>
      <c r="B1122" s="1">
        <v>2000</v>
      </c>
      <c r="C1122" s="1">
        <v>0.2</v>
      </c>
      <c r="D1122" s="1">
        <v>0.5</v>
      </c>
      <c r="E1122" s="1">
        <v>500</v>
      </c>
      <c r="F1122" s="1">
        <v>3</v>
      </c>
      <c r="G1122" s="1">
        <v>1</v>
      </c>
      <c r="H1122" s="1" t="s">
        <v>592</v>
      </c>
      <c r="I1122" s="1">
        <v>138293.29999999999</v>
      </c>
      <c r="J1122" s="1">
        <v>53910.1</v>
      </c>
      <c r="K1122" s="1">
        <v>84383.2</v>
      </c>
      <c r="L1122" s="1">
        <v>600</v>
      </c>
      <c r="M1122" s="1">
        <v>600.63</v>
      </c>
      <c r="N1122" s="1">
        <v>34196.6</v>
      </c>
      <c r="O1122" s="1">
        <v>54901.5</v>
      </c>
      <c r="P1122" s="1">
        <v>89098.1</v>
      </c>
      <c r="Q1122" s="1">
        <v>9222.2999999999993</v>
      </c>
      <c r="R1122" s="1">
        <v>2368.9</v>
      </c>
      <c r="S1122" s="1">
        <v>11591.2</v>
      </c>
      <c r="T1122" s="1">
        <v>27.19</v>
      </c>
      <c r="U1122" s="1">
        <v>7.0000000000000007E-2</v>
      </c>
      <c r="V1122" s="1">
        <v>2362.5</v>
      </c>
      <c r="W1122" s="1">
        <v>11584.8</v>
      </c>
      <c r="X1122" s="1">
        <v>600.70000000000005</v>
      </c>
      <c r="Y1122" s="1">
        <v>600</v>
      </c>
      <c r="Z1122" s="1">
        <v>100682.9</v>
      </c>
      <c r="AA1122" s="1">
        <v>27.2</v>
      </c>
      <c r="AB1122" s="1">
        <v>2000</v>
      </c>
    </row>
    <row r="1123" spans="1:28" x14ac:dyDescent="0.4">
      <c r="A1123" s="1" t="s">
        <v>313</v>
      </c>
      <c r="B1123" s="1">
        <v>2000</v>
      </c>
      <c r="C1123" s="1">
        <v>0.2</v>
      </c>
      <c r="D1123" s="1">
        <v>0.5</v>
      </c>
      <c r="E1123" s="1">
        <v>500</v>
      </c>
      <c r="F1123" s="1">
        <v>3</v>
      </c>
      <c r="G1123" s="1">
        <v>2</v>
      </c>
      <c r="H1123" s="1" t="s">
        <v>592</v>
      </c>
      <c r="I1123" s="1">
        <v>139556.20000000001</v>
      </c>
      <c r="J1123" s="1">
        <v>57942.1</v>
      </c>
      <c r="K1123" s="1">
        <v>81614.100000000006</v>
      </c>
      <c r="L1123" s="1">
        <v>600</v>
      </c>
      <c r="M1123" s="1">
        <v>600.48</v>
      </c>
      <c r="N1123" s="1">
        <v>36065</v>
      </c>
      <c r="O1123" s="1">
        <v>52147.3</v>
      </c>
      <c r="P1123" s="1">
        <v>88212.3</v>
      </c>
      <c r="Q1123" s="1">
        <v>9497.5</v>
      </c>
      <c r="R1123" s="1">
        <v>2344.4</v>
      </c>
      <c r="S1123" s="1">
        <v>11841.9</v>
      </c>
      <c r="T1123" s="1">
        <v>28.31</v>
      </c>
      <c r="U1123" s="1">
        <v>0.05</v>
      </c>
      <c r="V1123" s="1">
        <v>2344.4</v>
      </c>
      <c r="W1123" s="1">
        <v>11841.9</v>
      </c>
      <c r="X1123" s="1">
        <v>600.54</v>
      </c>
      <c r="Y1123" s="1">
        <v>599</v>
      </c>
      <c r="Z1123" s="1">
        <v>100054.2</v>
      </c>
      <c r="AA1123" s="1">
        <v>28.31</v>
      </c>
      <c r="AB1123" s="1">
        <v>2000</v>
      </c>
    </row>
    <row r="1124" spans="1:28" x14ac:dyDescent="0.4">
      <c r="A1124" s="1" t="s">
        <v>314</v>
      </c>
      <c r="B1124" s="1">
        <v>2000</v>
      </c>
      <c r="C1124" s="1">
        <v>0.2</v>
      </c>
      <c r="D1124" s="1">
        <v>0.5</v>
      </c>
      <c r="E1124" s="1">
        <v>500</v>
      </c>
      <c r="F1124" s="1">
        <v>3</v>
      </c>
      <c r="G1124" s="1">
        <v>3</v>
      </c>
      <c r="H1124" s="1" t="s">
        <v>592</v>
      </c>
      <c r="I1124" s="1">
        <v>140624</v>
      </c>
      <c r="J1124" s="1">
        <v>57347.7</v>
      </c>
      <c r="K1124" s="1">
        <v>83276.3</v>
      </c>
      <c r="L1124" s="1">
        <v>600</v>
      </c>
      <c r="M1124" s="1">
        <v>600.86</v>
      </c>
      <c r="N1124" s="1">
        <v>37547.599999999999</v>
      </c>
      <c r="O1124" s="1">
        <v>54010.8</v>
      </c>
      <c r="P1124" s="1">
        <v>91558.399999999994</v>
      </c>
      <c r="Q1124" s="1">
        <v>9075.7999999999993</v>
      </c>
      <c r="R1124" s="1">
        <v>2400.3000000000002</v>
      </c>
      <c r="S1124" s="1">
        <v>11476.1</v>
      </c>
      <c r="T1124" s="1">
        <v>26.73</v>
      </c>
      <c r="U1124" s="1">
        <v>0.06</v>
      </c>
      <c r="V1124" s="1">
        <v>2391.1999999999998</v>
      </c>
      <c r="W1124" s="1">
        <v>11467</v>
      </c>
      <c r="X1124" s="1">
        <v>600.91999999999996</v>
      </c>
      <c r="Y1124" s="1">
        <v>600</v>
      </c>
      <c r="Z1124" s="1">
        <v>103025.4</v>
      </c>
      <c r="AA1124" s="1">
        <v>26.74</v>
      </c>
      <c r="AB1124" s="1">
        <v>2000</v>
      </c>
    </row>
    <row r="1125" spans="1:28" x14ac:dyDescent="0.4">
      <c r="A1125" s="1" t="s">
        <v>315</v>
      </c>
      <c r="B1125" s="1">
        <v>2000</v>
      </c>
      <c r="C1125" s="1">
        <v>0.2</v>
      </c>
      <c r="D1125" s="1">
        <v>0.5</v>
      </c>
      <c r="E1125" s="1">
        <v>500</v>
      </c>
      <c r="F1125" s="1">
        <v>3</v>
      </c>
      <c r="G1125" s="1">
        <v>4</v>
      </c>
      <c r="H1125" s="1" t="s">
        <v>592</v>
      </c>
      <c r="I1125" s="1">
        <v>139265.5</v>
      </c>
      <c r="J1125" s="1">
        <v>58904</v>
      </c>
      <c r="K1125" s="1">
        <v>80361.5</v>
      </c>
      <c r="L1125" s="1">
        <v>600</v>
      </c>
      <c r="M1125" s="1">
        <v>600.38</v>
      </c>
      <c r="N1125" s="1">
        <v>37867.1</v>
      </c>
      <c r="O1125" s="1">
        <v>52500.3</v>
      </c>
      <c r="P1125" s="1">
        <v>90367.4</v>
      </c>
      <c r="Q1125" s="1">
        <v>9234.5</v>
      </c>
      <c r="R1125" s="1">
        <v>2409.1</v>
      </c>
      <c r="S1125" s="1">
        <v>11643.6</v>
      </c>
      <c r="T1125" s="1">
        <v>26.75</v>
      </c>
      <c r="U1125" s="1">
        <v>0.06</v>
      </c>
      <c r="V1125" s="1">
        <v>2393.6</v>
      </c>
      <c r="W1125" s="1">
        <v>11628.1</v>
      </c>
      <c r="X1125" s="1">
        <v>600.44000000000005</v>
      </c>
      <c r="Y1125" s="1">
        <v>600</v>
      </c>
      <c r="Z1125" s="1">
        <v>101995.5</v>
      </c>
      <c r="AA1125" s="1">
        <v>26.76</v>
      </c>
      <c r="AB1125" s="1">
        <v>2000</v>
      </c>
    </row>
    <row r="1126" spans="1:28" x14ac:dyDescent="0.4">
      <c r="A1126" s="1" t="s">
        <v>316</v>
      </c>
      <c r="B1126" s="1">
        <v>2000</v>
      </c>
      <c r="C1126" s="1">
        <v>0.2</v>
      </c>
      <c r="D1126" s="1">
        <v>0.5</v>
      </c>
      <c r="E1126" s="1">
        <v>500</v>
      </c>
      <c r="F1126" s="1">
        <v>3</v>
      </c>
      <c r="G1126" s="1">
        <v>5</v>
      </c>
      <c r="H1126" s="1" t="s">
        <v>592</v>
      </c>
      <c r="I1126" s="1">
        <v>150784.5</v>
      </c>
      <c r="J1126" s="1">
        <v>62011.8</v>
      </c>
      <c r="K1126" s="1">
        <v>88772.7</v>
      </c>
      <c r="L1126" s="1">
        <v>600</v>
      </c>
      <c r="M1126" s="1">
        <v>600.86</v>
      </c>
      <c r="N1126" s="1">
        <v>39136.9</v>
      </c>
      <c r="O1126" s="1">
        <v>58433.599999999999</v>
      </c>
      <c r="P1126" s="1">
        <v>97570.5</v>
      </c>
      <c r="Q1126" s="1">
        <v>9598.6</v>
      </c>
      <c r="R1126" s="1">
        <v>2496.6999999999998</v>
      </c>
      <c r="S1126" s="1">
        <v>12095.3</v>
      </c>
      <c r="T1126" s="1">
        <v>27.27</v>
      </c>
      <c r="U1126" s="1">
        <v>7.0000000000000007E-2</v>
      </c>
      <c r="V1126" s="1">
        <v>2480.1999999999998</v>
      </c>
      <c r="W1126" s="1">
        <v>12078.8</v>
      </c>
      <c r="X1126" s="1">
        <v>600.91999999999996</v>
      </c>
      <c r="Y1126" s="1">
        <v>600</v>
      </c>
      <c r="Z1126" s="1">
        <v>109649.3</v>
      </c>
      <c r="AA1126" s="1">
        <v>27.28</v>
      </c>
      <c r="AB1126" s="1">
        <v>2000</v>
      </c>
    </row>
    <row r="1127" spans="1:28" x14ac:dyDescent="0.4">
      <c r="A1127" s="1" t="s">
        <v>30</v>
      </c>
      <c r="B1127" s="1">
        <v>2000</v>
      </c>
      <c r="C1127" s="1">
        <v>0.3</v>
      </c>
      <c r="D1127" s="1">
        <v>0.5</v>
      </c>
      <c r="E1127" s="1">
        <v>1000</v>
      </c>
      <c r="F1127" s="1">
        <v>1</v>
      </c>
      <c r="G1127" s="1">
        <v>1</v>
      </c>
      <c r="H1127" s="1" t="s">
        <v>592</v>
      </c>
      <c r="I1127" s="1">
        <v>143469.20000000001</v>
      </c>
      <c r="J1127" s="1">
        <v>56871.8</v>
      </c>
      <c r="K1127" s="1">
        <v>86597.4</v>
      </c>
      <c r="L1127" s="1">
        <v>600</v>
      </c>
      <c r="M1127" s="1">
        <v>600.69000000000005</v>
      </c>
      <c r="N1127" s="1">
        <v>34617.800000000003</v>
      </c>
      <c r="O1127" s="1">
        <v>49791.3</v>
      </c>
      <c r="P1127" s="1">
        <v>84409.1</v>
      </c>
      <c r="Q1127" s="1">
        <v>11678.5</v>
      </c>
      <c r="R1127" s="1">
        <v>4418.5</v>
      </c>
      <c r="S1127" s="1">
        <v>16097</v>
      </c>
      <c r="T1127" s="1">
        <v>29.95</v>
      </c>
      <c r="U1127" s="1">
        <v>0.1</v>
      </c>
      <c r="V1127" s="1">
        <v>4408.5</v>
      </c>
      <c r="W1127" s="1">
        <v>16087</v>
      </c>
      <c r="X1127" s="1">
        <v>600.79</v>
      </c>
      <c r="Y1127" s="1">
        <v>600</v>
      </c>
      <c r="Z1127" s="1">
        <v>100496.1</v>
      </c>
      <c r="AA1127" s="1">
        <v>29.95</v>
      </c>
      <c r="AB1127" s="1">
        <v>2000</v>
      </c>
    </row>
    <row r="1128" spans="1:28" x14ac:dyDescent="0.4">
      <c r="A1128" s="1" t="s">
        <v>31</v>
      </c>
      <c r="B1128" s="1">
        <v>2000</v>
      </c>
      <c r="C1128" s="1">
        <v>0.3</v>
      </c>
      <c r="D1128" s="1">
        <v>0.5</v>
      </c>
      <c r="E1128" s="1">
        <v>1000</v>
      </c>
      <c r="F1128" s="1">
        <v>1</v>
      </c>
      <c r="G1128" s="1">
        <v>2</v>
      </c>
      <c r="H1128" s="1" t="s">
        <v>592</v>
      </c>
      <c r="I1128" s="1">
        <v>151717.5</v>
      </c>
      <c r="J1128" s="1">
        <v>60829.1</v>
      </c>
      <c r="K1128" s="1">
        <v>90888.4</v>
      </c>
      <c r="L1128" s="1">
        <v>600</v>
      </c>
      <c r="M1128" s="1">
        <v>600.85</v>
      </c>
      <c r="N1128" s="1">
        <v>35055.800000000003</v>
      </c>
      <c r="O1128" s="1">
        <v>51954</v>
      </c>
      <c r="P1128" s="1">
        <v>87009.8</v>
      </c>
      <c r="Q1128" s="1">
        <v>11859</v>
      </c>
      <c r="R1128" s="1">
        <v>4189.8999999999996</v>
      </c>
      <c r="S1128" s="1">
        <v>16048.9</v>
      </c>
      <c r="T1128" s="1">
        <v>32.07</v>
      </c>
      <c r="U1128" s="1">
        <v>0.08</v>
      </c>
      <c r="V1128" s="1">
        <v>4183.5</v>
      </c>
      <c r="W1128" s="1">
        <v>16042.5</v>
      </c>
      <c r="X1128" s="1">
        <v>600.92999999999995</v>
      </c>
      <c r="Y1128" s="1">
        <v>600</v>
      </c>
      <c r="Z1128" s="1">
        <v>103052.3</v>
      </c>
      <c r="AA1128" s="1">
        <v>32.08</v>
      </c>
      <c r="AB1128" s="1">
        <v>2000</v>
      </c>
    </row>
    <row r="1129" spans="1:28" x14ac:dyDescent="0.4">
      <c r="A1129" s="1" t="s">
        <v>32</v>
      </c>
      <c r="B1129" s="1">
        <v>2000</v>
      </c>
      <c r="C1129" s="1">
        <v>0.3</v>
      </c>
      <c r="D1129" s="1">
        <v>0.5</v>
      </c>
      <c r="E1129" s="1">
        <v>1000</v>
      </c>
      <c r="F1129" s="1">
        <v>1</v>
      </c>
      <c r="G1129" s="1">
        <v>3</v>
      </c>
      <c r="H1129" s="1" t="s">
        <v>592</v>
      </c>
      <c r="I1129" s="1">
        <v>147202.29999999999</v>
      </c>
      <c r="J1129" s="1">
        <v>59853.2</v>
      </c>
      <c r="K1129" s="1">
        <v>87349.1</v>
      </c>
      <c r="L1129" s="1">
        <v>600</v>
      </c>
      <c r="M1129" s="1">
        <v>600.51</v>
      </c>
      <c r="N1129" s="1">
        <v>34936.800000000003</v>
      </c>
      <c r="O1129" s="1">
        <v>49564.3</v>
      </c>
      <c r="P1129" s="1">
        <v>84501.1</v>
      </c>
      <c r="Q1129" s="1">
        <v>11950.6</v>
      </c>
      <c r="R1129" s="1">
        <v>3951.1</v>
      </c>
      <c r="S1129" s="1">
        <v>15901.7</v>
      </c>
      <c r="T1129" s="1">
        <v>31.79</v>
      </c>
      <c r="U1129" s="1">
        <v>0.08</v>
      </c>
      <c r="V1129" s="1">
        <v>3942</v>
      </c>
      <c r="W1129" s="1">
        <v>15892.6</v>
      </c>
      <c r="X1129" s="1">
        <v>600.58000000000004</v>
      </c>
      <c r="Y1129" s="1">
        <v>600</v>
      </c>
      <c r="Z1129" s="1">
        <v>100393.7</v>
      </c>
      <c r="AA1129" s="1">
        <v>31.8</v>
      </c>
      <c r="AB1129" s="1">
        <v>2000</v>
      </c>
    </row>
    <row r="1130" spans="1:28" x14ac:dyDescent="0.4">
      <c r="A1130" s="1" t="s">
        <v>33</v>
      </c>
      <c r="B1130" s="1">
        <v>2000</v>
      </c>
      <c r="C1130" s="1">
        <v>0.3</v>
      </c>
      <c r="D1130" s="1">
        <v>0.5</v>
      </c>
      <c r="E1130" s="1">
        <v>1000</v>
      </c>
      <c r="F1130" s="1">
        <v>1</v>
      </c>
      <c r="G1130" s="1">
        <v>4</v>
      </c>
      <c r="H1130" s="1" t="s">
        <v>592</v>
      </c>
      <c r="I1130" s="1">
        <v>144352.9</v>
      </c>
      <c r="J1130" s="1">
        <v>59480.4</v>
      </c>
      <c r="K1130" s="1">
        <v>84872.5</v>
      </c>
      <c r="L1130" s="1">
        <v>600</v>
      </c>
      <c r="M1130" s="1">
        <v>600.19000000000005</v>
      </c>
      <c r="N1130" s="1">
        <v>34473.599999999999</v>
      </c>
      <c r="O1130" s="1">
        <v>48228</v>
      </c>
      <c r="P1130" s="1">
        <v>82701.600000000006</v>
      </c>
      <c r="Q1130" s="1">
        <v>12091.1</v>
      </c>
      <c r="R1130" s="1">
        <v>4429.1000000000004</v>
      </c>
      <c r="S1130" s="1">
        <v>16520.2</v>
      </c>
      <c r="T1130" s="1">
        <v>31.26</v>
      </c>
      <c r="U1130" s="1">
        <v>7.0000000000000007E-2</v>
      </c>
      <c r="V1130" s="1">
        <v>4429.1000000000004</v>
      </c>
      <c r="W1130" s="1">
        <v>16520.2</v>
      </c>
      <c r="X1130" s="1">
        <v>600.26</v>
      </c>
      <c r="Y1130" s="1">
        <v>600</v>
      </c>
      <c r="Z1130" s="1">
        <v>99221.8</v>
      </c>
      <c r="AA1130" s="1">
        <v>31.26</v>
      </c>
      <c r="AB1130" s="1">
        <v>2000</v>
      </c>
    </row>
    <row r="1131" spans="1:28" x14ac:dyDescent="0.4">
      <c r="A1131" s="1" t="s">
        <v>34</v>
      </c>
      <c r="B1131" s="1">
        <v>2000</v>
      </c>
      <c r="C1131" s="1">
        <v>0.3</v>
      </c>
      <c r="D1131" s="1">
        <v>0.5</v>
      </c>
      <c r="E1131" s="1">
        <v>1000</v>
      </c>
      <c r="F1131" s="1">
        <v>1</v>
      </c>
      <c r="G1131" s="1">
        <v>5</v>
      </c>
      <c r="H1131" s="1" t="s">
        <v>592</v>
      </c>
      <c r="I1131" s="1">
        <v>148278.39999999999</v>
      </c>
      <c r="J1131" s="1">
        <v>59478.6</v>
      </c>
      <c r="K1131" s="1">
        <v>88799.8</v>
      </c>
      <c r="L1131" s="1">
        <v>600</v>
      </c>
      <c r="M1131" s="1">
        <v>600.36</v>
      </c>
      <c r="N1131" s="1">
        <v>35427.9</v>
      </c>
      <c r="O1131" s="1">
        <v>50097.9</v>
      </c>
      <c r="P1131" s="1">
        <v>85525.8</v>
      </c>
      <c r="Q1131" s="1">
        <v>11516.1</v>
      </c>
      <c r="R1131" s="1">
        <v>4404.2</v>
      </c>
      <c r="S1131" s="1">
        <v>15920.3</v>
      </c>
      <c r="T1131" s="1">
        <v>31.58</v>
      </c>
      <c r="U1131" s="1">
        <v>0.09</v>
      </c>
      <c r="V1131" s="1">
        <v>4395.1000000000004</v>
      </c>
      <c r="W1131" s="1">
        <v>15911.2</v>
      </c>
      <c r="X1131" s="1">
        <v>600.45000000000005</v>
      </c>
      <c r="Y1131" s="1">
        <v>600</v>
      </c>
      <c r="Z1131" s="1">
        <v>101437</v>
      </c>
      <c r="AA1131" s="1">
        <v>31.59</v>
      </c>
      <c r="AB1131" s="1">
        <v>2000</v>
      </c>
    </row>
    <row r="1132" spans="1:28" x14ac:dyDescent="0.4">
      <c r="A1132" s="1" t="s">
        <v>35</v>
      </c>
      <c r="B1132" s="1">
        <v>2000</v>
      </c>
      <c r="C1132" s="1">
        <v>0.3</v>
      </c>
      <c r="D1132" s="1">
        <v>0.5</v>
      </c>
      <c r="E1132" s="1">
        <v>1000</v>
      </c>
      <c r="F1132" s="1">
        <v>2</v>
      </c>
      <c r="G1132" s="1">
        <v>1</v>
      </c>
      <c r="H1132" s="1" t="s">
        <v>592</v>
      </c>
      <c r="I1132" s="1">
        <v>226019.20000000001</v>
      </c>
      <c r="J1132" s="1">
        <v>89595.9</v>
      </c>
      <c r="K1132" s="1">
        <v>136423.29999999999</v>
      </c>
      <c r="L1132" s="1">
        <v>600</v>
      </c>
      <c r="M1132" s="1">
        <v>600.96</v>
      </c>
      <c r="N1132" s="1">
        <v>55552.6</v>
      </c>
      <c r="O1132" s="1">
        <v>81843.5</v>
      </c>
      <c r="P1132" s="1">
        <v>137396.1</v>
      </c>
      <c r="Q1132" s="1">
        <v>11171.4</v>
      </c>
      <c r="R1132" s="1">
        <v>4189.5</v>
      </c>
      <c r="S1132" s="1">
        <v>15360.9</v>
      </c>
      <c r="T1132" s="1">
        <v>32.409999999999997</v>
      </c>
      <c r="U1132" s="1">
        <v>0.11</v>
      </c>
      <c r="V1132" s="1">
        <v>4189.5</v>
      </c>
      <c r="W1132" s="1">
        <v>15360.9</v>
      </c>
      <c r="X1132" s="1">
        <v>601.07000000000005</v>
      </c>
      <c r="Y1132" s="1">
        <v>600</v>
      </c>
      <c r="Z1132" s="1">
        <v>152757</v>
      </c>
      <c r="AA1132" s="1">
        <v>32.409999999999997</v>
      </c>
      <c r="AB1132" s="1">
        <v>2000</v>
      </c>
    </row>
    <row r="1133" spans="1:28" x14ac:dyDescent="0.4">
      <c r="A1133" s="1" t="s">
        <v>36</v>
      </c>
      <c r="B1133" s="1">
        <v>2000</v>
      </c>
      <c r="C1133" s="1">
        <v>0.3</v>
      </c>
      <c r="D1133" s="1">
        <v>0.5</v>
      </c>
      <c r="E1133" s="1">
        <v>1000</v>
      </c>
      <c r="F1133" s="1">
        <v>2</v>
      </c>
      <c r="G1133" s="1">
        <v>2</v>
      </c>
      <c r="H1133" s="1" t="s">
        <v>592</v>
      </c>
      <c r="I1133" s="1">
        <v>220764</v>
      </c>
      <c r="J1133" s="1">
        <v>89826.2</v>
      </c>
      <c r="K1133" s="1">
        <v>130937.8</v>
      </c>
      <c r="L1133" s="1">
        <v>600</v>
      </c>
      <c r="M1133" s="1">
        <v>600</v>
      </c>
      <c r="N1133" s="1">
        <v>55594.400000000001</v>
      </c>
      <c r="O1133" s="1">
        <v>79841.3</v>
      </c>
      <c r="P1133" s="1">
        <v>135435.70000000001</v>
      </c>
      <c r="Q1133" s="1">
        <v>10839</v>
      </c>
      <c r="R1133" s="1">
        <v>4047.8</v>
      </c>
      <c r="S1133" s="1">
        <v>14886.8</v>
      </c>
      <c r="T1133" s="1">
        <v>31.91</v>
      </c>
      <c r="U1133" s="1">
        <v>0.14000000000000001</v>
      </c>
      <c r="V1133" s="1">
        <v>4038.6</v>
      </c>
      <c r="W1133" s="1">
        <v>14877.6</v>
      </c>
      <c r="X1133" s="1">
        <v>600.14</v>
      </c>
      <c r="Y1133" s="1">
        <v>600</v>
      </c>
      <c r="Z1133" s="1">
        <v>150313.29999999999</v>
      </c>
      <c r="AA1133" s="1">
        <v>31.91</v>
      </c>
      <c r="AB1133" s="1">
        <v>2000</v>
      </c>
    </row>
    <row r="1134" spans="1:28" x14ac:dyDescent="0.4">
      <c r="A1134" s="1" t="s">
        <v>37</v>
      </c>
      <c r="B1134" s="1">
        <v>2000</v>
      </c>
      <c r="C1134" s="1">
        <v>0.3</v>
      </c>
      <c r="D1134" s="1">
        <v>0.5</v>
      </c>
      <c r="E1134" s="1">
        <v>1000</v>
      </c>
      <c r="F1134" s="1">
        <v>2</v>
      </c>
      <c r="G1134" s="1">
        <v>3</v>
      </c>
      <c r="H1134" s="1" t="s">
        <v>592</v>
      </c>
      <c r="I1134" s="1">
        <v>224411.9</v>
      </c>
      <c r="J1134" s="1">
        <v>89500.3</v>
      </c>
      <c r="K1134" s="1">
        <v>134911.6</v>
      </c>
      <c r="L1134" s="1">
        <v>600</v>
      </c>
      <c r="M1134" s="1">
        <v>600.29999999999995</v>
      </c>
      <c r="N1134" s="1">
        <v>56472.6</v>
      </c>
      <c r="O1134" s="1">
        <v>82755</v>
      </c>
      <c r="P1134" s="1">
        <v>139227.6</v>
      </c>
      <c r="Q1134" s="1">
        <v>10579.2</v>
      </c>
      <c r="R1134" s="1">
        <v>3837.5</v>
      </c>
      <c r="S1134" s="1">
        <v>14416.7</v>
      </c>
      <c r="T1134" s="1">
        <v>31.53</v>
      </c>
      <c r="U1134" s="1">
        <v>0.16</v>
      </c>
      <c r="V1134" s="1">
        <v>3837.5</v>
      </c>
      <c r="W1134" s="1">
        <v>14416.7</v>
      </c>
      <c r="X1134" s="1">
        <v>600.45000000000005</v>
      </c>
      <c r="Y1134" s="1">
        <v>600</v>
      </c>
      <c r="Z1134" s="1">
        <v>153644.29999999999</v>
      </c>
      <c r="AA1134" s="1">
        <v>31.53</v>
      </c>
      <c r="AB1134" s="1">
        <v>2000</v>
      </c>
    </row>
    <row r="1135" spans="1:28" x14ac:dyDescent="0.4">
      <c r="A1135" s="1" t="s">
        <v>38</v>
      </c>
      <c r="B1135" s="1">
        <v>2000</v>
      </c>
      <c r="C1135" s="1">
        <v>0.3</v>
      </c>
      <c r="D1135" s="1">
        <v>0.5</v>
      </c>
      <c r="E1135" s="1">
        <v>1000</v>
      </c>
      <c r="F1135" s="1">
        <v>2</v>
      </c>
      <c r="G1135" s="1">
        <v>4</v>
      </c>
      <c r="H1135" s="1" t="s">
        <v>592</v>
      </c>
      <c r="I1135" s="1">
        <v>226364.1</v>
      </c>
      <c r="J1135" s="1">
        <v>92915.3</v>
      </c>
      <c r="K1135" s="1">
        <v>133448.79999999999</v>
      </c>
      <c r="L1135" s="1">
        <v>600</v>
      </c>
      <c r="M1135" s="1">
        <v>600.39</v>
      </c>
      <c r="N1135" s="1">
        <v>57610</v>
      </c>
      <c r="O1135" s="1">
        <v>82019</v>
      </c>
      <c r="P1135" s="1">
        <v>139629</v>
      </c>
      <c r="Q1135" s="1">
        <v>10191.5</v>
      </c>
      <c r="R1135" s="1">
        <v>3839</v>
      </c>
      <c r="S1135" s="1">
        <v>14030.5</v>
      </c>
      <c r="T1135" s="1">
        <v>32.119999999999997</v>
      </c>
      <c r="U1135" s="1">
        <v>0.13</v>
      </c>
      <c r="V1135" s="1">
        <v>3837.6</v>
      </c>
      <c r="W1135" s="1">
        <v>14029.1</v>
      </c>
      <c r="X1135" s="1">
        <v>600.51</v>
      </c>
      <c r="Y1135" s="1">
        <v>599</v>
      </c>
      <c r="Z1135" s="1">
        <v>153658.1</v>
      </c>
      <c r="AA1135" s="1">
        <v>32.119999999999997</v>
      </c>
      <c r="AB1135" s="1">
        <v>2000</v>
      </c>
    </row>
    <row r="1136" spans="1:28" x14ac:dyDescent="0.4">
      <c r="A1136" s="1" t="s">
        <v>39</v>
      </c>
      <c r="B1136" s="1">
        <v>2000</v>
      </c>
      <c r="C1136" s="1">
        <v>0.3</v>
      </c>
      <c r="D1136" s="1">
        <v>0.5</v>
      </c>
      <c r="E1136" s="1">
        <v>1000</v>
      </c>
      <c r="F1136" s="1">
        <v>2</v>
      </c>
      <c r="G1136" s="1">
        <v>5</v>
      </c>
      <c r="H1136" s="1" t="s">
        <v>592</v>
      </c>
      <c r="I1136" s="1">
        <v>223723.8</v>
      </c>
      <c r="J1136" s="1">
        <v>88167.2</v>
      </c>
      <c r="K1136" s="1">
        <v>135556.6</v>
      </c>
      <c r="L1136" s="1">
        <v>600</v>
      </c>
      <c r="M1136" s="1">
        <v>600</v>
      </c>
      <c r="N1136" s="1">
        <v>53994.400000000001</v>
      </c>
      <c r="O1136" s="1">
        <v>82454.5</v>
      </c>
      <c r="P1136" s="1">
        <v>136448.9</v>
      </c>
      <c r="Q1136" s="1">
        <v>11202.3</v>
      </c>
      <c r="R1136" s="1">
        <v>4191.6000000000004</v>
      </c>
      <c r="S1136" s="1">
        <v>15393.9</v>
      </c>
      <c r="T1136" s="1">
        <v>32.130000000000003</v>
      </c>
      <c r="U1136" s="1">
        <v>0.12</v>
      </c>
      <c r="V1136" s="1">
        <v>4182.5</v>
      </c>
      <c r="W1136" s="1">
        <v>15384.8</v>
      </c>
      <c r="X1136" s="1">
        <v>600.12</v>
      </c>
      <c r="Y1136" s="1">
        <v>600</v>
      </c>
      <c r="Z1136" s="1">
        <v>151833.70000000001</v>
      </c>
      <c r="AA1136" s="1">
        <v>32.130000000000003</v>
      </c>
      <c r="AB1136" s="1">
        <v>2000</v>
      </c>
    </row>
    <row r="1137" spans="1:28" x14ac:dyDescent="0.4">
      <c r="A1137" s="1" t="s">
        <v>40</v>
      </c>
      <c r="B1137" s="1">
        <v>2000</v>
      </c>
      <c r="C1137" s="1">
        <v>0.3</v>
      </c>
      <c r="D1137" s="1">
        <v>0.5</v>
      </c>
      <c r="E1137" s="1">
        <v>1000</v>
      </c>
      <c r="F1137" s="1">
        <v>3</v>
      </c>
      <c r="G1137" s="1">
        <v>1</v>
      </c>
      <c r="H1137" s="1" t="s">
        <v>592</v>
      </c>
      <c r="I1137" s="1">
        <v>288442.5</v>
      </c>
      <c r="J1137" s="1">
        <v>113101.1</v>
      </c>
      <c r="K1137" s="1">
        <v>175341.4</v>
      </c>
      <c r="L1137" s="1">
        <v>600</v>
      </c>
      <c r="M1137" s="1">
        <v>600.97</v>
      </c>
      <c r="N1137" s="1">
        <v>71275.600000000006</v>
      </c>
      <c r="O1137" s="1">
        <v>111114.8</v>
      </c>
      <c r="P1137" s="1">
        <v>182390.39999999999</v>
      </c>
      <c r="Q1137" s="1">
        <v>10562.7</v>
      </c>
      <c r="R1137" s="1">
        <v>4021.4</v>
      </c>
      <c r="S1137" s="1">
        <v>14584.1</v>
      </c>
      <c r="T1137" s="1">
        <v>31.71</v>
      </c>
      <c r="U1137" s="1">
        <v>0.18</v>
      </c>
      <c r="V1137" s="1">
        <v>4017.2</v>
      </c>
      <c r="W1137" s="1">
        <v>14579.9</v>
      </c>
      <c r="X1137" s="1">
        <v>601.15</v>
      </c>
      <c r="Y1137" s="1">
        <v>600</v>
      </c>
      <c r="Z1137" s="1">
        <v>196970.3</v>
      </c>
      <c r="AA1137" s="1">
        <v>31.71</v>
      </c>
      <c r="AB1137" s="1">
        <v>2000</v>
      </c>
    </row>
    <row r="1138" spans="1:28" x14ac:dyDescent="0.4">
      <c r="A1138" s="1" t="s">
        <v>41</v>
      </c>
      <c r="B1138" s="1">
        <v>2000</v>
      </c>
      <c r="C1138" s="1">
        <v>0.3</v>
      </c>
      <c r="D1138" s="1">
        <v>0.5</v>
      </c>
      <c r="E1138" s="1">
        <v>1000</v>
      </c>
      <c r="F1138" s="1">
        <v>3</v>
      </c>
      <c r="G1138" s="1">
        <v>2</v>
      </c>
      <c r="H1138" s="1" t="s">
        <v>592</v>
      </c>
      <c r="I1138" s="1">
        <v>287701.09999999998</v>
      </c>
      <c r="J1138" s="1">
        <v>113553.1</v>
      </c>
      <c r="K1138" s="1">
        <v>174148</v>
      </c>
      <c r="L1138" s="1">
        <v>600</v>
      </c>
      <c r="M1138" s="1">
        <v>600.53</v>
      </c>
      <c r="N1138" s="1">
        <v>70815.3</v>
      </c>
      <c r="O1138" s="1">
        <v>108842.9</v>
      </c>
      <c r="P1138" s="1">
        <v>179658.2</v>
      </c>
      <c r="Q1138" s="1">
        <v>11203.3</v>
      </c>
      <c r="R1138" s="1">
        <v>4207</v>
      </c>
      <c r="S1138" s="1">
        <v>15410.3</v>
      </c>
      <c r="T1138" s="1">
        <v>32.200000000000003</v>
      </c>
      <c r="U1138" s="1">
        <v>0.13</v>
      </c>
      <c r="V1138" s="1">
        <v>4196.5</v>
      </c>
      <c r="W1138" s="1">
        <v>15399.8</v>
      </c>
      <c r="X1138" s="1">
        <v>600.66</v>
      </c>
      <c r="Y1138" s="1">
        <v>600</v>
      </c>
      <c r="Z1138" s="1">
        <v>195058</v>
      </c>
      <c r="AA1138" s="1">
        <v>32.200000000000003</v>
      </c>
      <c r="AB1138" s="1">
        <v>2000</v>
      </c>
    </row>
    <row r="1139" spans="1:28" x14ac:dyDescent="0.4">
      <c r="A1139" s="1" t="s">
        <v>42</v>
      </c>
      <c r="B1139" s="1">
        <v>2000</v>
      </c>
      <c r="C1139" s="1">
        <v>0.3</v>
      </c>
      <c r="D1139" s="1">
        <v>0.5</v>
      </c>
      <c r="E1139" s="1">
        <v>1000</v>
      </c>
      <c r="F1139" s="1">
        <v>3</v>
      </c>
      <c r="G1139" s="1">
        <v>3</v>
      </c>
      <c r="H1139" s="1" t="s">
        <v>592</v>
      </c>
      <c r="I1139" s="1">
        <v>274857.09999999998</v>
      </c>
      <c r="J1139" s="1">
        <v>108945.7</v>
      </c>
      <c r="K1139" s="1">
        <v>165911.4</v>
      </c>
      <c r="L1139" s="1">
        <v>600</v>
      </c>
      <c r="M1139" s="1">
        <v>600.01</v>
      </c>
      <c r="N1139" s="1">
        <v>68779</v>
      </c>
      <c r="O1139" s="1">
        <v>107705</v>
      </c>
      <c r="P1139" s="1">
        <v>176484</v>
      </c>
      <c r="Q1139" s="1">
        <v>10919.4</v>
      </c>
      <c r="R1139" s="1">
        <v>3925.3</v>
      </c>
      <c r="S1139" s="1">
        <v>14844.7</v>
      </c>
      <c r="T1139" s="1">
        <v>30.39</v>
      </c>
      <c r="U1139" s="1">
        <v>0.15</v>
      </c>
      <c r="V1139" s="1">
        <v>3925.3</v>
      </c>
      <c r="W1139" s="1">
        <v>14844.7</v>
      </c>
      <c r="X1139" s="1">
        <v>600.16</v>
      </c>
      <c r="Y1139" s="1">
        <v>600</v>
      </c>
      <c r="Z1139" s="1">
        <v>191328.7</v>
      </c>
      <c r="AA1139" s="1">
        <v>30.39</v>
      </c>
      <c r="AB1139" s="1">
        <v>2000</v>
      </c>
    </row>
    <row r="1140" spans="1:28" x14ac:dyDescent="0.4">
      <c r="A1140" s="1" t="s">
        <v>43</v>
      </c>
      <c r="B1140" s="1">
        <v>2000</v>
      </c>
      <c r="C1140" s="1">
        <v>0.3</v>
      </c>
      <c r="D1140" s="1">
        <v>0.5</v>
      </c>
      <c r="E1140" s="1">
        <v>1000</v>
      </c>
      <c r="F1140" s="1">
        <v>3</v>
      </c>
      <c r="G1140" s="1">
        <v>4</v>
      </c>
      <c r="H1140" s="1" t="s">
        <v>592</v>
      </c>
      <c r="I1140" s="1">
        <v>292725.7</v>
      </c>
      <c r="J1140" s="1">
        <v>118548.5</v>
      </c>
      <c r="K1140" s="1">
        <v>174177.2</v>
      </c>
      <c r="L1140" s="1">
        <v>600</v>
      </c>
      <c r="M1140" s="1">
        <v>600.95000000000005</v>
      </c>
      <c r="N1140" s="1">
        <v>75981.2</v>
      </c>
      <c r="O1140" s="1">
        <v>112302.8</v>
      </c>
      <c r="P1140" s="1">
        <v>188284</v>
      </c>
      <c r="Q1140" s="1">
        <v>10939</v>
      </c>
      <c r="R1140" s="1">
        <v>3864.8</v>
      </c>
      <c r="S1140" s="1">
        <v>14803.8</v>
      </c>
      <c r="T1140" s="1">
        <v>30.62</v>
      </c>
      <c r="U1140" s="1">
        <v>0.12</v>
      </c>
      <c r="V1140" s="1">
        <v>3856.6</v>
      </c>
      <c r="W1140" s="1">
        <v>14795.6</v>
      </c>
      <c r="X1140" s="1">
        <v>601.07000000000005</v>
      </c>
      <c r="Y1140" s="1">
        <v>600</v>
      </c>
      <c r="Z1140" s="1">
        <v>203079.6</v>
      </c>
      <c r="AA1140" s="1">
        <v>30.62</v>
      </c>
      <c r="AB1140" s="1">
        <v>2000</v>
      </c>
    </row>
    <row r="1141" spans="1:28" x14ac:dyDescent="0.4">
      <c r="A1141" s="1" t="s">
        <v>44</v>
      </c>
      <c r="B1141" s="1">
        <v>2000</v>
      </c>
      <c r="C1141" s="1">
        <v>0.3</v>
      </c>
      <c r="D1141" s="1">
        <v>0.5</v>
      </c>
      <c r="E1141" s="1">
        <v>1000</v>
      </c>
      <c r="F1141" s="1">
        <v>3</v>
      </c>
      <c r="G1141" s="1">
        <v>5</v>
      </c>
      <c r="H1141" s="1" t="s">
        <v>592</v>
      </c>
      <c r="I1141" s="1">
        <v>279635.3</v>
      </c>
      <c r="J1141" s="1">
        <v>110407.9</v>
      </c>
      <c r="K1141" s="1">
        <v>169227.4</v>
      </c>
      <c r="L1141" s="1">
        <v>600</v>
      </c>
      <c r="M1141" s="1">
        <v>600.41999999999996</v>
      </c>
      <c r="N1141" s="1">
        <v>69883.100000000006</v>
      </c>
      <c r="O1141" s="1">
        <v>107485.6</v>
      </c>
      <c r="P1141" s="1">
        <v>177368.7</v>
      </c>
      <c r="Q1141" s="1">
        <v>10622.7</v>
      </c>
      <c r="R1141" s="1">
        <v>3992.5</v>
      </c>
      <c r="S1141" s="1">
        <v>14615.2</v>
      </c>
      <c r="T1141" s="1">
        <v>31.34</v>
      </c>
      <c r="U1141" s="1">
        <v>0.16</v>
      </c>
      <c r="V1141" s="1">
        <v>3992.5</v>
      </c>
      <c r="W1141" s="1">
        <v>14615.2</v>
      </c>
      <c r="X1141" s="1">
        <v>600.58000000000004</v>
      </c>
      <c r="Y1141" s="1">
        <v>600</v>
      </c>
      <c r="Z1141" s="1">
        <v>191983.9</v>
      </c>
      <c r="AA1141" s="1">
        <v>31.34</v>
      </c>
      <c r="AB1141" s="1">
        <v>2000</v>
      </c>
    </row>
    <row r="1142" spans="1:28" x14ac:dyDescent="0.4">
      <c r="A1142" s="1" t="s">
        <v>317</v>
      </c>
      <c r="B1142" s="1">
        <v>2000</v>
      </c>
      <c r="C1142" s="1">
        <v>0.3</v>
      </c>
      <c r="D1142" s="1">
        <v>0.5</v>
      </c>
      <c r="E1142" s="1">
        <v>2000</v>
      </c>
      <c r="F1142" s="1">
        <v>1</v>
      </c>
      <c r="G1142" s="1">
        <v>1</v>
      </c>
      <c r="H1142" s="1" t="s">
        <v>592</v>
      </c>
      <c r="I1142" s="1">
        <v>289583.90000000002</v>
      </c>
      <c r="J1142" s="1">
        <v>121580.7</v>
      </c>
      <c r="K1142" s="1">
        <v>168003.20000000001</v>
      </c>
      <c r="L1142" s="1">
        <v>600</v>
      </c>
      <c r="M1142" s="1">
        <v>601.12</v>
      </c>
      <c r="N1142" s="1">
        <v>74676.399999999994</v>
      </c>
      <c r="O1142" s="1">
        <v>101914.2</v>
      </c>
      <c r="P1142" s="1">
        <v>176590.6</v>
      </c>
      <c r="Q1142" s="1">
        <v>12726.1</v>
      </c>
      <c r="R1142" s="1">
        <v>5571</v>
      </c>
      <c r="S1142" s="1">
        <v>18297.099999999999</v>
      </c>
      <c r="T1142" s="1">
        <v>32.700000000000003</v>
      </c>
      <c r="U1142" s="1">
        <v>0.11</v>
      </c>
      <c r="V1142" s="1">
        <v>5571</v>
      </c>
      <c r="W1142" s="1">
        <v>18297.099999999999</v>
      </c>
      <c r="X1142" s="1">
        <v>601.23</v>
      </c>
      <c r="Y1142" s="1">
        <v>600</v>
      </c>
      <c r="Z1142" s="1">
        <v>194887.7</v>
      </c>
      <c r="AA1142" s="1">
        <v>32.700000000000003</v>
      </c>
      <c r="AB1142" s="1">
        <v>2000</v>
      </c>
    </row>
    <row r="1143" spans="1:28" x14ac:dyDescent="0.4">
      <c r="A1143" s="1" t="s">
        <v>318</v>
      </c>
      <c r="B1143" s="1">
        <v>2000</v>
      </c>
      <c r="C1143" s="1">
        <v>0.3</v>
      </c>
      <c r="D1143" s="1">
        <v>0.5</v>
      </c>
      <c r="E1143" s="1">
        <v>2000</v>
      </c>
      <c r="F1143" s="1">
        <v>1</v>
      </c>
      <c r="G1143" s="1">
        <v>2</v>
      </c>
      <c r="H1143" s="1" t="s">
        <v>592</v>
      </c>
      <c r="I1143" s="1">
        <v>300140.09999999998</v>
      </c>
      <c r="J1143" s="1">
        <v>119249.7</v>
      </c>
      <c r="K1143" s="1">
        <v>180890.4</v>
      </c>
      <c r="L1143" s="1">
        <v>600</v>
      </c>
      <c r="M1143" s="1">
        <v>600.91</v>
      </c>
      <c r="N1143" s="1">
        <v>72500.600000000006</v>
      </c>
      <c r="O1143" s="1">
        <v>108404.1</v>
      </c>
      <c r="P1143" s="1">
        <v>180904.7</v>
      </c>
      <c r="Q1143" s="1">
        <v>13019.4</v>
      </c>
      <c r="R1143" s="1">
        <v>5439.5</v>
      </c>
      <c r="S1143" s="1">
        <v>18458.900000000001</v>
      </c>
      <c r="T1143" s="1">
        <v>33.58</v>
      </c>
      <c r="U1143" s="1">
        <v>0.11</v>
      </c>
      <c r="V1143" s="1">
        <v>5439.5</v>
      </c>
      <c r="W1143" s="1">
        <v>18458.900000000001</v>
      </c>
      <c r="X1143" s="1">
        <v>601.02</v>
      </c>
      <c r="Y1143" s="1">
        <v>600</v>
      </c>
      <c r="Z1143" s="1">
        <v>199363.6</v>
      </c>
      <c r="AA1143" s="1">
        <v>33.58</v>
      </c>
      <c r="AB1143" s="1">
        <v>2000</v>
      </c>
    </row>
    <row r="1144" spans="1:28" x14ac:dyDescent="0.4">
      <c r="A1144" s="1" t="s">
        <v>319</v>
      </c>
      <c r="B1144" s="1">
        <v>2000</v>
      </c>
      <c r="C1144" s="1">
        <v>0.3</v>
      </c>
      <c r="D1144" s="1">
        <v>0.5</v>
      </c>
      <c r="E1144" s="1">
        <v>2000</v>
      </c>
      <c r="F1144" s="1">
        <v>1</v>
      </c>
      <c r="G1144" s="1">
        <v>3</v>
      </c>
      <c r="H1144" s="1" t="s">
        <v>592</v>
      </c>
      <c r="I1144" s="1">
        <v>290338.59999999998</v>
      </c>
      <c r="J1144" s="1">
        <v>115863.1</v>
      </c>
      <c r="K1144" s="1">
        <v>174475.5</v>
      </c>
      <c r="L1144" s="1">
        <v>600</v>
      </c>
      <c r="M1144" s="1">
        <v>600.66</v>
      </c>
      <c r="N1144" s="1">
        <v>73173.600000000006</v>
      </c>
      <c r="O1144" s="1">
        <v>108079.4</v>
      </c>
      <c r="P1144" s="1">
        <v>181253</v>
      </c>
      <c r="Q1144" s="1">
        <v>12923.1</v>
      </c>
      <c r="R1144" s="1">
        <v>5564.6</v>
      </c>
      <c r="S1144" s="1">
        <v>18487.7</v>
      </c>
      <c r="T1144" s="1">
        <v>31.2</v>
      </c>
      <c r="U1144" s="1">
        <v>0.09</v>
      </c>
      <c r="V1144" s="1">
        <v>5564.6</v>
      </c>
      <c r="W1144" s="1">
        <v>18487.7</v>
      </c>
      <c r="X1144" s="1">
        <v>600.75</v>
      </c>
      <c r="Y1144" s="1">
        <v>600</v>
      </c>
      <c r="Z1144" s="1">
        <v>199740.7</v>
      </c>
      <c r="AA1144" s="1">
        <v>31.2</v>
      </c>
      <c r="AB1144" s="1">
        <v>2000</v>
      </c>
    </row>
    <row r="1145" spans="1:28" x14ac:dyDescent="0.4">
      <c r="A1145" s="1" t="s">
        <v>320</v>
      </c>
      <c r="B1145" s="1">
        <v>2000</v>
      </c>
      <c r="C1145" s="1">
        <v>0.3</v>
      </c>
      <c r="D1145" s="1">
        <v>0.5</v>
      </c>
      <c r="E1145" s="1">
        <v>2000</v>
      </c>
      <c r="F1145" s="1">
        <v>1</v>
      </c>
      <c r="G1145" s="1">
        <v>4</v>
      </c>
      <c r="H1145" s="1" t="s">
        <v>592</v>
      </c>
      <c r="I1145" s="1">
        <v>295767.40000000002</v>
      </c>
      <c r="J1145" s="1">
        <v>117585.9</v>
      </c>
      <c r="K1145" s="1">
        <v>178181.5</v>
      </c>
      <c r="L1145" s="1">
        <v>600</v>
      </c>
      <c r="M1145" s="1">
        <v>601.01</v>
      </c>
      <c r="N1145" s="1">
        <v>73084.399999999994</v>
      </c>
      <c r="O1145" s="1">
        <v>108730.1</v>
      </c>
      <c r="P1145" s="1">
        <v>181814.5</v>
      </c>
      <c r="Q1145" s="1">
        <v>12944.3</v>
      </c>
      <c r="R1145" s="1">
        <v>5369.5</v>
      </c>
      <c r="S1145" s="1">
        <v>18313.8</v>
      </c>
      <c r="T1145" s="1">
        <v>32.340000000000003</v>
      </c>
      <c r="U1145" s="1">
        <v>0.1</v>
      </c>
      <c r="V1145" s="1">
        <v>5367.2</v>
      </c>
      <c r="W1145" s="1">
        <v>18311.5</v>
      </c>
      <c r="X1145" s="1">
        <v>601.11</v>
      </c>
      <c r="Y1145" s="1">
        <v>600</v>
      </c>
      <c r="Z1145" s="1">
        <v>200126</v>
      </c>
      <c r="AA1145" s="1">
        <v>32.340000000000003</v>
      </c>
      <c r="AB1145" s="1">
        <v>2000</v>
      </c>
    </row>
    <row r="1146" spans="1:28" x14ac:dyDescent="0.4">
      <c r="A1146" s="1" t="s">
        <v>321</v>
      </c>
      <c r="B1146" s="1">
        <v>2000</v>
      </c>
      <c r="C1146" s="1">
        <v>0.3</v>
      </c>
      <c r="D1146" s="1">
        <v>0.5</v>
      </c>
      <c r="E1146" s="1">
        <v>2000</v>
      </c>
      <c r="F1146" s="1">
        <v>1</v>
      </c>
      <c r="G1146" s="1">
        <v>5</v>
      </c>
      <c r="H1146" s="1" t="s">
        <v>592</v>
      </c>
      <c r="I1146" s="1">
        <v>304712</v>
      </c>
      <c r="J1146" s="1">
        <v>117046.9</v>
      </c>
      <c r="K1146" s="1">
        <v>187665.1</v>
      </c>
      <c r="L1146" s="1">
        <v>600</v>
      </c>
      <c r="M1146" s="1">
        <v>600.98</v>
      </c>
      <c r="N1146" s="1">
        <v>71961.600000000006</v>
      </c>
      <c r="O1146" s="1">
        <v>114514</v>
      </c>
      <c r="P1146" s="1">
        <v>186475.6</v>
      </c>
      <c r="Q1146" s="1">
        <v>13031</v>
      </c>
      <c r="R1146" s="1">
        <v>5367</v>
      </c>
      <c r="S1146" s="1">
        <v>18398</v>
      </c>
      <c r="T1146" s="1">
        <v>32.76</v>
      </c>
      <c r="U1146" s="1">
        <v>0.11</v>
      </c>
      <c r="V1146" s="1">
        <v>5367</v>
      </c>
      <c r="W1146" s="1">
        <v>18398</v>
      </c>
      <c r="X1146" s="1">
        <v>601.09</v>
      </c>
      <c r="Y1146" s="1">
        <v>600</v>
      </c>
      <c r="Z1146" s="1">
        <v>204873.60000000001</v>
      </c>
      <c r="AA1146" s="1">
        <v>32.76</v>
      </c>
      <c r="AB1146" s="1">
        <v>2000</v>
      </c>
    </row>
    <row r="1147" spans="1:28" x14ac:dyDescent="0.4">
      <c r="A1147" s="1" t="s">
        <v>322</v>
      </c>
      <c r="B1147" s="1">
        <v>2000</v>
      </c>
      <c r="C1147" s="1">
        <v>0.3</v>
      </c>
      <c r="D1147" s="1">
        <v>0.5</v>
      </c>
      <c r="E1147" s="1">
        <v>2000</v>
      </c>
      <c r="F1147" s="1">
        <v>2</v>
      </c>
      <c r="G1147" s="1">
        <v>1</v>
      </c>
      <c r="H1147" s="1" t="s">
        <v>592</v>
      </c>
      <c r="I1147" s="1">
        <v>439539.6</v>
      </c>
      <c r="J1147" s="1">
        <v>174410.9</v>
      </c>
      <c r="K1147" s="1">
        <v>265128.7</v>
      </c>
      <c r="L1147" s="1">
        <v>600</v>
      </c>
      <c r="M1147" s="1">
        <v>600.25</v>
      </c>
      <c r="N1147" s="1">
        <v>108707.4</v>
      </c>
      <c r="O1147" s="1">
        <v>164831.4</v>
      </c>
      <c r="P1147" s="1">
        <v>273538.8</v>
      </c>
      <c r="Q1147" s="1">
        <v>11809.2</v>
      </c>
      <c r="R1147" s="1">
        <v>5040.3</v>
      </c>
      <c r="S1147" s="1">
        <v>16849.5</v>
      </c>
      <c r="T1147" s="1">
        <v>33.93</v>
      </c>
      <c r="U1147" s="1">
        <v>0.14000000000000001</v>
      </c>
      <c r="V1147" s="1">
        <v>5038.8999999999996</v>
      </c>
      <c r="W1147" s="1">
        <v>16848.099999999999</v>
      </c>
      <c r="X1147" s="1">
        <v>600.39</v>
      </c>
      <c r="Y1147" s="1">
        <v>600</v>
      </c>
      <c r="Z1147" s="1">
        <v>290386.90000000002</v>
      </c>
      <c r="AA1147" s="1">
        <v>33.93</v>
      </c>
      <c r="AB1147" s="1">
        <v>2000</v>
      </c>
    </row>
    <row r="1148" spans="1:28" x14ac:dyDescent="0.4">
      <c r="A1148" s="1" t="s">
        <v>323</v>
      </c>
      <c r="B1148" s="1">
        <v>2000</v>
      </c>
      <c r="C1148" s="1">
        <v>0.3</v>
      </c>
      <c r="D1148" s="1">
        <v>0.5</v>
      </c>
      <c r="E1148" s="1">
        <v>2000</v>
      </c>
      <c r="F1148" s="1">
        <v>2</v>
      </c>
      <c r="G1148" s="1">
        <v>2</v>
      </c>
      <c r="H1148" s="1" t="s">
        <v>592</v>
      </c>
      <c r="I1148" s="1">
        <v>439572.5</v>
      </c>
      <c r="J1148" s="1">
        <v>169352</v>
      </c>
      <c r="K1148" s="1">
        <v>270220.5</v>
      </c>
      <c r="L1148" s="1">
        <v>600</v>
      </c>
      <c r="M1148" s="1">
        <v>601.20000000000005</v>
      </c>
      <c r="N1148" s="1">
        <v>108882.1</v>
      </c>
      <c r="O1148" s="1">
        <v>172854.2</v>
      </c>
      <c r="P1148" s="1">
        <v>281736.3</v>
      </c>
      <c r="Q1148" s="1">
        <v>12466.7</v>
      </c>
      <c r="R1148" s="1">
        <v>4799.1000000000004</v>
      </c>
      <c r="S1148" s="1">
        <v>17265.8</v>
      </c>
      <c r="T1148" s="1">
        <v>31.98</v>
      </c>
      <c r="U1148" s="1">
        <v>0.15</v>
      </c>
      <c r="V1148" s="1">
        <v>4799.1000000000004</v>
      </c>
      <c r="W1148" s="1">
        <v>17265.8</v>
      </c>
      <c r="X1148" s="1">
        <v>601.35</v>
      </c>
      <c r="Y1148" s="1">
        <v>600</v>
      </c>
      <c r="Z1148" s="1">
        <v>299002.09999999998</v>
      </c>
      <c r="AA1148" s="1">
        <v>31.98</v>
      </c>
      <c r="AB1148" s="1">
        <v>2000</v>
      </c>
    </row>
    <row r="1149" spans="1:28" x14ac:dyDescent="0.4">
      <c r="A1149" s="1" t="s">
        <v>324</v>
      </c>
      <c r="B1149" s="1">
        <v>2000</v>
      </c>
      <c r="C1149" s="1">
        <v>0.3</v>
      </c>
      <c r="D1149" s="1">
        <v>0.5</v>
      </c>
      <c r="E1149" s="1">
        <v>2000</v>
      </c>
      <c r="F1149" s="1">
        <v>2</v>
      </c>
      <c r="G1149" s="1">
        <v>3</v>
      </c>
      <c r="H1149" s="1" t="s">
        <v>592</v>
      </c>
      <c r="I1149" s="1">
        <v>444091.5</v>
      </c>
      <c r="J1149" s="1">
        <v>175675.5</v>
      </c>
      <c r="K1149" s="1">
        <v>268416</v>
      </c>
      <c r="L1149" s="1">
        <v>600</v>
      </c>
      <c r="M1149" s="1">
        <v>601.03</v>
      </c>
      <c r="N1149" s="1">
        <v>113057.5</v>
      </c>
      <c r="O1149" s="1">
        <v>168418.5</v>
      </c>
      <c r="P1149" s="1">
        <v>281476</v>
      </c>
      <c r="Q1149" s="1">
        <v>11514.4</v>
      </c>
      <c r="R1149" s="1">
        <v>4552.5</v>
      </c>
      <c r="S1149" s="1">
        <v>16066.9</v>
      </c>
      <c r="T1149" s="1">
        <v>33</v>
      </c>
      <c r="U1149" s="1">
        <v>0.17</v>
      </c>
      <c r="V1149" s="1">
        <v>4552.5</v>
      </c>
      <c r="W1149" s="1">
        <v>16066.9</v>
      </c>
      <c r="X1149" s="1">
        <v>601.20000000000005</v>
      </c>
      <c r="Y1149" s="1">
        <v>600</v>
      </c>
      <c r="Z1149" s="1">
        <v>297542.90000000002</v>
      </c>
      <c r="AA1149" s="1">
        <v>33</v>
      </c>
      <c r="AB1149" s="1">
        <v>2000</v>
      </c>
    </row>
    <row r="1150" spans="1:28" x14ac:dyDescent="0.4">
      <c r="A1150" s="1" t="s">
        <v>325</v>
      </c>
      <c r="B1150" s="1">
        <v>2000</v>
      </c>
      <c r="C1150" s="1">
        <v>0.3</v>
      </c>
      <c r="D1150" s="1">
        <v>0.5</v>
      </c>
      <c r="E1150" s="1">
        <v>2000</v>
      </c>
      <c r="F1150" s="1">
        <v>2</v>
      </c>
      <c r="G1150" s="1">
        <v>4</v>
      </c>
      <c r="H1150" s="1" t="s">
        <v>592</v>
      </c>
      <c r="I1150" s="1">
        <v>443193.7</v>
      </c>
      <c r="J1150" s="1">
        <v>177975.9</v>
      </c>
      <c r="K1150" s="1">
        <v>265217.8</v>
      </c>
      <c r="L1150" s="1">
        <v>600</v>
      </c>
      <c r="M1150" s="1">
        <v>600.65</v>
      </c>
      <c r="N1150" s="1">
        <v>113707.7</v>
      </c>
      <c r="O1150" s="1">
        <v>166908.6</v>
      </c>
      <c r="P1150" s="1">
        <v>280616.3</v>
      </c>
      <c r="Q1150" s="1">
        <v>12093.3</v>
      </c>
      <c r="R1150" s="1">
        <v>5201.3</v>
      </c>
      <c r="S1150" s="1">
        <v>17294.599999999999</v>
      </c>
      <c r="T1150" s="1">
        <v>32.78</v>
      </c>
      <c r="U1150" s="1">
        <v>0.17</v>
      </c>
      <c r="V1150" s="1">
        <v>5187.1000000000004</v>
      </c>
      <c r="W1150" s="1">
        <v>17280.400000000001</v>
      </c>
      <c r="X1150" s="1">
        <v>600.82000000000005</v>
      </c>
      <c r="Y1150" s="1">
        <v>600</v>
      </c>
      <c r="Z1150" s="1">
        <v>297896.7</v>
      </c>
      <c r="AA1150" s="1">
        <v>32.78</v>
      </c>
      <c r="AB1150" s="1">
        <v>2000</v>
      </c>
    </row>
    <row r="1151" spans="1:28" x14ac:dyDescent="0.4">
      <c r="A1151" s="1" t="s">
        <v>326</v>
      </c>
      <c r="B1151" s="1">
        <v>2000</v>
      </c>
      <c r="C1151" s="1">
        <v>0.3</v>
      </c>
      <c r="D1151" s="1">
        <v>0.5</v>
      </c>
      <c r="E1151" s="1">
        <v>2000</v>
      </c>
      <c r="F1151" s="1">
        <v>2</v>
      </c>
      <c r="G1151" s="1">
        <v>5</v>
      </c>
      <c r="H1151" s="1" t="s">
        <v>592</v>
      </c>
      <c r="I1151" s="1">
        <v>463838.9</v>
      </c>
      <c r="J1151" s="1">
        <v>182621.5</v>
      </c>
      <c r="K1151" s="1">
        <v>281217.40000000002</v>
      </c>
      <c r="L1151" s="1">
        <v>600</v>
      </c>
      <c r="M1151" s="1">
        <v>600.01</v>
      </c>
      <c r="N1151" s="1">
        <v>115587.7</v>
      </c>
      <c r="O1151" s="1">
        <v>177402.4</v>
      </c>
      <c r="P1151" s="1">
        <v>292990.09999999998</v>
      </c>
      <c r="Q1151" s="1">
        <v>11676.5</v>
      </c>
      <c r="R1151" s="1">
        <v>4430.3</v>
      </c>
      <c r="S1151" s="1">
        <v>16106.8</v>
      </c>
      <c r="T1151" s="1">
        <v>33.36</v>
      </c>
      <c r="U1151" s="1">
        <v>0.13</v>
      </c>
      <c r="V1151" s="1">
        <v>4415.6000000000004</v>
      </c>
      <c r="W1151" s="1">
        <v>16092.1</v>
      </c>
      <c r="X1151" s="1">
        <v>600.13</v>
      </c>
      <c r="Y1151" s="1">
        <v>599</v>
      </c>
      <c r="Z1151" s="1">
        <v>309082.2</v>
      </c>
      <c r="AA1151" s="1">
        <v>33.36</v>
      </c>
      <c r="AB1151" s="1">
        <v>2000</v>
      </c>
    </row>
    <row r="1152" spans="1:28" x14ac:dyDescent="0.4">
      <c r="A1152" s="1" t="s">
        <v>327</v>
      </c>
      <c r="B1152" s="1">
        <v>2000</v>
      </c>
      <c r="C1152" s="1">
        <v>0.3</v>
      </c>
      <c r="D1152" s="1">
        <v>0.5</v>
      </c>
      <c r="E1152" s="1">
        <v>2000</v>
      </c>
      <c r="F1152" s="1">
        <v>3</v>
      </c>
      <c r="G1152" s="1">
        <v>1</v>
      </c>
      <c r="H1152" s="1" t="s">
        <v>592</v>
      </c>
      <c r="I1152" s="1">
        <v>556141.4</v>
      </c>
      <c r="J1152" s="1">
        <v>221894.1</v>
      </c>
      <c r="K1152" s="1">
        <v>334247.3</v>
      </c>
      <c r="L1152" s="1">
        <v>600</v>
      </c>
      <c r="M1152" s="1">
        <v>600.22</v>
      </c>
      <c r="N1152" s="1">
        <v>143455</v>
      </c>
      <c r="O1152" s="1">
        <v>218082.1</v>
      </c>
      <c r="P1152" s="1">
        <v>361537.1</v>
      </c>
      <c r="Q1152" s="1">
        <v>11677.5</v>
      </c>
      <c r="R1152" s="1">
        <v>4562.1000000000004</v>
      </c>
      <c r="S1152" s="1">
        <v>16239.6</v>
      </c>
      <c r="T1152" s="1">
        <v>32.07</v>
      </c>
      <c r="U1152" s="1">
        <v>0.19</v>
      </c>
      <c r="V1152" s="1">
        <v>4552.8999999999996</v>
      </c>
      <c r="W1152" s="1">
        <v>16230.4</v>
      </c>
      <c r="X1152" s="1">
        <v>600.4</v>
      </c>
      <c r="Y1152" s="1">
        <v>600</v>
      </c>
      <c r="Z1152" s="1">
        <v>377767.5</v>
      </c>
      <c r="AA1152" s="1">
        <v>32.07</v>
      </c>
      <c r="AB1152" s="1">
        <v>2000</v>
      </c>
    </row>
    <row r="1153" spans="1:28" x14ac:dyDescent="0.4">
      <c r="A1153" s="1" t="s">
        <v>328</v>
      </c>
      <c r="B1153" s="1">
        <v>2000</v>
      </c>
      <c r="C1153" s="1">
        <v>0.3</v>
      </c>
      <c r="D1153" s="1">
        <v>0.5</v>
      </c>
      <c r="E1153" s="1">
        <v>2000</v>
      </c>
      <c r="F1153" s="1">
        <v>3</v>
      </c>
      <c r="G1153" s="1">
        <v>2</v>
      </c>
      <c r="H1153" s="1" t="s">
        <v>592</v>
      </c>
      <c r="I1153" s="1">
        <v>560257</v>
      </c>
      <c r="J1153" s="1">
        <v>221512.4</v>
      </c>
      <c r="K1153" s="1">
        <v>338744.6</v>
      </c>
      <c r="L1153" s="1">
        <v>600</v>
      </c>
      <c r="M1153" s="1">
        <v>600.03</v>
      </c>
      <c r="N1153" s="1">
        <v>145008.5</v>
      </c>
      <c r="O1153" s="1">
        <v>223301.2</v>
      </c>
      <c r="P1153" s="1">
        <v>368309.7</v>
      </c>
      <c r="Q1153" s="1">
        <v>11713.2</v>
      </c>
      <c r="R1153" s="1">
        <v>4537.1000000000004</v>
      </c>
      <c r="S1153" s="1">
        <v>16250.3</v>
      </c>
      <c r="T1153" s="1">
        <v>31.36</v>
      </c>
      <c r="U1153" s="1">
        <v>0.16</v>
      </c>
      <c r="V1153" s="1">
        <v>4537.1000000000004</v>
      </c>
      <c r="W1153" s="1">
        <v>16250.3</v>
      </c>
      <c r="X1153" s="1">
        <v>600.19000000000005</v>
      </c>
      <c r="Y1153" s="1">
        <v>600</v>
      </c>
      <c r="Z1153" s="1">
        <v>384560</v>
      </c>
      <c r="AA1153" s="1">
        <v>31.36</v>
      </c>
      <c r="AB1153" s="1">
        <v>2000</v>
      </c>
    </row>
    <row r="1154" spans="1:28" x14ac:dyDescent="0.4">
      <c r="A1154" s="1" t="s">
        <v>329</v>
      </c>
      <c r="B1154" s="1">
        <v>2000</v>
      </c>
      <c r="C1154" s="1">
        <v>0.3</v>
      </c>
      <c r="D1154" s="1">
        <v>0.5</v>
      </c>
      <c r="E1154" s="1">
        <v>2000</v>
      </c>
      <c r="F1154" s="1">
        <v>3</v>
      </c>
      <c r="G1154" s="1">
        <v>3</v>
      </c>
      <c r="H1154" s="1" t="s">
        <v>592</v>
      </c>
      <c r="I1154" s="1">
        <v>568524.9</v>
      </c>
      <c r="J1154" s="1">
        <v>227982.2</v>
      </c>
      <c r="K1154" s="1">
        <v>340542.7</v>
      </c>
      <c r="L1154" s="1">
        <v>600</v>
      </c>
      <c r="M1154" s="1">
        <v>600.01</v>
      </c>
      <c r="N1154" s="1">
        <v>146750.20000000001</v>
      </c>
      <c r="O1154" s="1">
        <v>223779.20000000001</v>
      </c>
      <c r="P1154" s="1">
        <v>370529.4</v>
      </c>
      <c r="Q1154" s="1">
        <v>11759</v>
      </c>
      <c r="R1154" s="1">
        <v>4589.8</v>
      </c>
      <c r="S1154" s="1">
        <v>16348.8</v>
      </c>
      <c r="T1154" s="1">
        <v>31.95</v>
      </c>
      <c r="U1154" s="1">
        <v>0.15</v>
      </c>
      <c r="V1154" s="1">
        <v>4589.8</v>
      </c>
      <c r="W1154" s="1">
        <v>16348.8</v>
      </c>
      <c r="X1154" s="1">
        <v>600.16</v>
      </c>
      <c r="Y1154" s="1">
        <v>600</v>
      </c>
      <c r="Z1154" s="1">
        <v>386878.2</v>
      </c>
      <c r="AA1154" s="1">
        <v>31.95</v>
      </c>
      <c r="AB1154" s="1">
        <v>2000</v>
      </c>
    </row>
    <row r="1155" spans="1:28" x14ac:dyDescent="0.4">
      <c r="A1155" s="1" t="s">
        <v>330</v>
      </c>
      <c r="B1155" s="1">
        <v>2000</v>
      </c>
      <c r="C1155" s="1">
        <v>0.3</v>
      </c>
      <c r="D1155" s="1">
        <v>0.5</v>
      </c>
      <c r="E1155" s="1">
        <v>2000</v>
      </c>
      <c r="F1155" s="1">
        <v>3</v>
      </c>
      <c r="G1155" s="1">
        <v>4</v>
      </c>
      <c r="H1155" s="1" t="s">
        <v>592</v>
      </c>
      <c r="I1155" s="1">
        <v>572096.9</v>
      </c>
      <c r="J1155" s="1">
        <v>227950.6</v>
      </c>
      <c r="K1155" s="1">
        <v>344146.3</v>
      </c>
      <c r="L1155" s="1">
        <v>600</v>
      </c>
      <c r="M1155" s="1">
        <v>601.1</v>
      </c>
      <c r="N1155" s="1">
        <v>148659.1</v>
      </c>
      <c r="O1155" s="1">
        <v>228956.6</v>
      </c>
      <c r="P1155" s="1">
        <v>377615.7</v>
      </c>
      <c r="Q1155" s="1">
        <v>11738.9</v>
      </c>
      <c r="R1155" s="1">
        <v>4327.7</v>
      </c>
      <c r="S1155" s="1">
        <v>16066.6</v>
      </c>
      <c r="T1155" s="1">
        <v>31.19</v>
      </c>
      <c r="U1155" s="1">
        <v>0.22</v>
      </c>
      <c r="V1155" s="1">
        <v>4324.8999999999996</v>
      </c>
      <c r="W1155" s="1">
        <v>16063.8</v>
      </c>
      <c r="X1155" s="1">
        <v>601.32000000000005</v>
      </c>
      <c r="Y1155" s="1">
        <v>600</v>
      </c>
      <c r="Z1155" s="1">
        <v>393679.5</v>
      </c>
      <c r="AA1155" s="1">
        <v>31.19</v>
      </c>
      <c r="AB1155" s="1">
        <v>2000</v>
      </c>
    </row>
    <row r="1156" spans="1:28" x14ac:dyDescent="0.4">
      <c r="A1156" s="1" t="s">
        <v>331</v>
      </c>
      <c r="B1156" s="1">
        <v>2000</v>
      </c>
      <c r="C1156" s="1">
        <v>0.3</v>
      </c>
      <c r="D1156" s="1">
        <v>0.5</v>
      </c>
      <c r="E1156" s="1">
        <v>2000</v>
      </c>
      <c r="F1156" s="1">
        <v>3</v>
      </c>
      <c r="G1156" s="1">
        <v>5</v>
      </c>
      <c r="H1156" s="1" t="s">
        <v>592</v>
      </c>
      <c r="I1156" s="1">
        <v>563961.5</v>
      </c>
      <c r="J1156" s="1">
        <v>224204.2</v>
      </c>
      <c r="K1156" s="1">
        <v>339757.3</v>
      </c>
      <c r="L1156" s="1">
        <v>600</v>
      </c>
      <c r="M1156" s="1">
        <v>601.04999999999995</v>
      </c>
      <c r="N1156" s="1">
        <v>146251.70000000001</v>
      </c>
      <c r="O1156" s="1">
        <v>221298.5</v>
      </c>
      <c r="P1156" s="1">
        <v>367550.2</v>
      </c>
      <c r="Q1156" s="1">
        <v>11776</v>
      </c>
      <c r="R1156" s="1">
        <v>4309.8</v>
      </c>
      <c r="S1156" s="1">
        <v>16085.8</v>
      </c>
      <c r="T1156" s="1">
        <v>31.97</v>
      </c>
      <c r="U1156" s="1">
        <v>0.16</v>
      </c>
      <c r="V1156" s="1">
        <v>4308.3999999999996</v>
      </c>
      <c r="W1156" s="1">
        <v>16084.4</v>
      </c>
      <c r="X1156" s="1">
        <v>601.21</v>
      </c>
      <c r="Y1156" s="1">
        <v>600</v>
      </c>
      <c r="Z1156" s="1">
        <v>383634.6</v>
      </c>
      <c r="AA1156" s="1">
        <v>31.98</v>
      </c>
      <c r="AB1156" s="1">
        <v>2000</v>
      </c>
    </row>
    <row r="1157" spans="1:28" x14ac:dyDescent="0.4">
      <c r="A1157" s="1" t="s">
        <v>332</v>
      </c>
      <c r="B1157" s="1">
        <v>2000</v>
      </c>
      <c r="C1157" s="1">
        <v>0.3</v>
      </c>
      <c r="D1157" s="1">
        <v>0.5</v>
      </c>
      <c r="E1157" s="1">
        <v>500</v>
      </c>
      <c r="F1157" s="1">
        <v>1</v>
      </c>
      <c r="G1157" s="1">
        <v>1</v>
      </c>
      <c r="H1157" s="1" t="s">
        <v>592</v>
      </c>
      <c r="I1157" s="1">
        <v>74756.5</v>
      </c>
      <c r="J1157" s="1">
        <v>30616.9</v>
      </c>
      <c r="K1157" s="1">
        <v>44139.6</v>
      </c>
      <c r="L1157" s="1">
        <v>600</v>
      </c>
      <c r="M1157" s="1">
        <v>600.17999999999995</v>
      </c>
      <c r="N1157" s="1">
        <v>17389.5</v>
      </c>
      <c r="O1157" s="1">
        <v>24342.400000000001</v>
      </c>
      <c r="P1157" s="1">
        <v>41731.9</v>
      </c>
      <c r="Q1157" s="1">
        <v>9158</v>
      </c>
      <c r="R1157" s="1">
        <v>2568.3000000000002</v>
      </c>
      <c r="S1157" s="1">
        <v>11726.3</v>
      </c>
      <c r="T1157" s="1">
        <v>28.49</v>
      </c>
      <c r="U1157" s="1">
        <v>7.0000000000000007E-2</v>
      </c>
      <c r="V1157" s="1">
        <v>2561.9</v>
      </c>
      <c r="W1157" s="1">
        <v>11719.9</v>
      </c>
      <c r="X1157" s="1">
        <v>600.25</v>
      </c>
      <c r="Y1157" s="1">
        <v>599</v>
      </c>
      <c r="Z1157" s="1">
        <v>53451.8</v>
      </c>
      <c r="AA1157" s="1">
        <v>28.5</v>
      </c>
      <c r="AB1157" s="1">
        <v>2000</v>
      </c>
    </row>
    <row r="1158" spans="1:28" x14ac:dyDescent="0.4">
      <c r="A1158" s="1" t="s">
        <v>333</v>
      </c>
      <c r="B1158" s="1">
        <v>2000</v>
      </c>
      <c r="C1158" s="1">
        <v>0.3</v>
      </c>
      <c r="D1158" s="1">
        <v>0.5</v>
      </c>
      <c r="E1158" s="1">
        <v>500</v>
      </c>
      <c r="F1158" s="1">
        <v>1</v>
      </c>
      <c r="G1158" s="1">
        <v>2</v>
      </c>
      <c r="H1158" s="1" t="s">
        <v>592</v>
      </c>
      <c r="I1158" s="1">
        <v>70154.3</v>
      </c>
      <c r="J1158" s="1">
        <v>27368.3</v>
      </c>
      <c r="K1158" s="1">
        <v>42786</v>
      </c>
      <c r="L1158" s="1">
        <v>600</v>
      </c>
      <c r="M1158" s="1">
        <v>600.78</v>
      </c>
      <c r="N1158" s="1">
        <v>16560.7</v>
      </c>
      <c r="O1158" s="1">
        <v>23880</v>
      </c>
      <c r="P1158" s="1">
        <v>40440.699999999997</v>
      </c>
      <c r="Q1158" s="1">
        <v>8745.2000000000007</v>
      </c>
      <c r="R1158" s="1">
        <v>2580.5</v>
      </c>
      <c r="S1158" s="1">
        <v>11325.7</v>
      </c>
      <c r="T1158" s="1">
        <v>26.21</v>
      </c>
      <c r="U1158" s="1">
        <v>0.09</v>
      </c>
      <c r="V1158" s="1">
        <v>2576.4</v>
      </c>
      <c r="W1158" s="1">
        <v>11321.6</v>
      </c>
      <c r="X1158" s="1">
        <v>600.87</v>
      </c>
      <c r="Y1158" s="1">
        <v>600</v>
      </c>
      <c r="Z1158" s="1">
        <v>51762.3</v>
      </c>
      <c r="AA1158" s="1">
        <v>26.22</v>
      </c>
      <c r="AB1158" s="1">
        <v>2000</v>
      </c>
    </row>
    <row r="1159" spans="1:28" x14ac:dyDescent="0.4">
      <c r="A1159" s="1" t="s">
        <v>334</v>
      </c>
      <c r="B1159" s="1">
        <v>2000</v>
      </c>
      <c r="C1159" s="1">
        <v>0.3</v>
      </c>
      <c r="D1159" s="1">
        <v>0.5</v>
      </c>
      <c r="E1159" s="1">
        <v>500</v>
      </c>
      <c r="F1159" s="1">
        <v>1</v>
      </c>
      <c r="G1159" s="1">
        <v>3</v>
      </c>
      <c r="H1159" s="1" t="s">
        <v>592</v>
      </c>
      <c r="I1159" s="1">
        <v>75606.899999999994</v>
      </c>
      <c r="J1159" s="1">
        <v>30252.1</v>
      </c>
      <c r="K1159" s="1">
        <v>45354.8</v>
      </c>
      <c r="L1159" s="1">
        <v>600</v>
      </c>
      <c r="M1159" s="1">
        <v>601.26</v>
      </c>
      <c r="N1159" s="1">
        <v>18010.400000000001</v>
      </c>
      <c r="O1159" s="1">
        <v>25468.2</v>
      </c>
      <c r="P1159" s="1">
        <v>43478.6</v>
      </c>
      <c r="Q1159" s="1">
        <v>8733.7999999999993</v>
      </c>
      <c r="R1159" s="1">
        <v>2551.1</v>
      </c>
      <c r="S1159" s="1">
        <v>11284.9</v>
      </c>
      <c r="T1159" s="1">
        <v>27.57</v>
      </c>
      <c r="U1159" s="1">
        <v>0.14000000000000001</v>
      </c>
      <c r="V1159" s="1">
        <v>2535.1</v>
      </c>
      <c r="W1159" s="1">
        <v>11268.9</v>
      </c>
      <c r="X1159" s="1">
        <v>601.4</v>
      </c>
      <c r="Y1159" s="1">
        <v>600</v>
      </c>
      <c r="Z1159" s="1">
        <v>54747.5</v>
      </c>
      <c r="AA1159" s="1">
        <v>27.59</v>
      </c>
      <c r="AB1159" s="1">
        <v>2000</v>
      </c>
    </row>
    <row r="1160" spans="1:28" x14ac:dyDescent="0.4">
      <c r="A1160" s="1" t="s">
        <v>335</v>
      </c>
      <c r="B1160" s="1">
        <v>2000</v>
      </c>
      <c r="C1160" s="1">
        <v>0.3</v>
      </c>
      <c r="D1160" s="1">
        <v>0.5</v>
      </c>
      <c r="E1160" s="1">
        <v>500</v>
      </c>
      <c r="F1160" s="1">
        <v>1</v>
      </c>
      <c r="G1160" s="1">
        <v>4</v>
      </c>
      <c r="H1160" s="1" t="s">
        <v>592</v>
      </c>
      <c r="I1160" s="1">
        <v>75315.199999999997</v>
      </c>
      <c r="J1160" s="1">
        <v>30632</v>
      </c>
      <c r="K1160" s="1">
        <v>44683.199999999997</v>
      </c>
      <c r="L1160" s="1">
        <v>600</v>
      </c>
      <c r="M1160" s="1">
        <v>600.83000000000004</v>
      </c>
      <c r="N1160" s="1">
        <v>17737.400000000001</v>
      </c>
      <c r="O1160" s="1">
        <v>24715</v>
      </c>
      <c r="P1160" s="1">
        <v>42452.4</v>
      </c>
      <c r="Q1160" s="1">
        <v>9065.7000000000007</v>
      </c>
      <c r="R1160" s="1">
        <v>2736.6</v>
      </c>
      <c r="S1160" s="1">
        <v>11802.3</v>
      </c>
      <c r="T1160" s="1">
        <v>27.96</v>
      </c>
      <c r="U1160" s="1">
        <v>0.1</v>
      </c>
      <c r="V1160" s="1">
        <v>2729.6</v>
      </c>
      <c r="W1160" s="1">
        <v>11795.3</v>
      </c>
      <c r="X1160" s="1">
        <v>600.92999999999995</v>
      </c>
      <c r="Y1160" s="1">
        <v>599</v>
      </c>
      <c r="Z1160" s="1">
        <v>54247.7</v>
      </c>
      <c r="AA1160" s="1">
        <v>27.97</v>
      </c>
      <c r="AB1160" s="1">
        <v>2000</v>
      </c>
    </row>
    <row r="1161" spans="1:28" x14ac:dyDescent="0.4">
      <c r="A1161" s="1" t="s">
        <v>336</v>
      </c>
      <c r="B1161" s="1">
        <v>2000</v>
      </c>
      <c r="C1161" s="1">
        <v>0.3</v>
      </c>
      <c r="D1161" s="1">
        <v>0.5</v>
      </c>
      <c r="E1161" s="1">
        <v>500</v>
      </c>
      <c r="F1161" s="1">
        <v>1</v>
      </c>
      <c r="G1161" s="1">
        <v>5</v>
      </c>
      <c r="H1161" s="1" t="s">
        <v>592</v>
      </c>
      <c r="I1161" s="1">
        <v>73279.899999999994</v>
      </c>
      <c r="J1161" s="1">
        <v>27895.1</v>
      </c>
      <c r="K1161" s="1">
        <v>45384.800000000003</v>
      </c>
      <c r="L1161" s="1">
        <v>600</v>
      </c>
      <c r="M1161" s="1">
        <v>601.23</v>
      </c>
      <c r="N1161" s="1">
        <v>16790.900000000001</v>
      </c>
      <c r="O1161" s="1">
        <v>24603.7</v>
      </c>
      <c r="P1161" s="1">
        <v>41394.6</v>
      </c>
      <c r="Q1161" s="1">
        <v>9036.2000000000007</v>
      </c>
      <c r="R1161" s="1">
        <v>2642.2</v>
      </c>
      <c r="S1161" s="1">
        <v>11678.4</v>
      </c>
      <c r="T1161" s="1">
        <v>27.57</v>
      </c>
      <c r="U1161" s="1">
        <v>0.11</v>
      </c>
      <c r="V1161" s="1">
        <v>2605.1</v>
      </c>
      <c r="W1161" s="1">
        <v>11641.3</v>
      </c>
      <c r="X1161" s="1">
        <v>601.35</v>
      </c>
      <c r="Y1161" s="1">
        <v>600</v>
      </c>
      <c r="Z1161" s="1">
        <v>53035.9</v>
      </c>
      <c r="AA1161" s="1">
        <v>27.63</v>
      </c>
      <c r="AB1161" s="1">
        <v>2000</v>
      </c>
    </row>
    <row r="1162" spans="1:28" x14ac:dyDescent="0.4">
      <c r="A1162" s="1" t="s">
        <v>337</v>
      </c>
      <c r="B1162" s="1">
        <v>2000</v>
      </c>
      <c r="C1162" s="1">
        <v>0.3</v>
      </c>
      <c r="D1162" s="1">
        <v>0.5</v>
      </c>
      <c r="E1162" s="1">
        <v>500</v>
      </c>
      <c r="F1162" s="1">
        <v>2</v>
      </c>
      <c r="G1162" s="1">
        <v>1</v>
      </c>
      <c r="H1162" s="1" t="s">
        <v>592</v>
      </c>
      <c r="I1162" s="1">
        <v>110472.8</v>
      </c>
      <c r="J1162" s="1">
        <v>42931.8</v>
      </c>
      <c r="K1162" s="1">
        <v>67541</v>
      </c>
      <c r="L1162" s="1">
        <v>600</v>
      </c>
      <c r="M1162" s="1">
        <v>600.6</v>
      </c>
      <c r="N1162" s="1">
        <v>25049.7</v>
      </c>
      <c r="O1162" s="1">
        <v>39176.1</v>
      </c>
      <c r="P1162" s="1">
        <v>64225.8</v>
      </c>
      <c r="Q1162" s="1">
        <v>9269.1</v>
      </c>
      <c r="R1162" s="1">
        <v>3290.3</v>
      </c>
      <c r="S1162" s="1">
        <v>12559.4</v>
      </c>
      <c r="T1162" s="1">
        <v>30.49</v>
      </c>
      <c r="U1162" s="1">
        <v>0.14000000000000001</v>
      </c>
      <c r="V1162" s="1">
        <v>3290.3</v>
      </c>
      <c r="W1162" s="1">
        <v>12559.4</v>
      </c>
      <c r="X1162" s="1">
        <v>600.73</v>
      </c>
      <c r="Y1162" s="1">
        <v>596</v>
      </c>
      <c r="Z1162" s="1">
        <v>76785.2</v>
      </c>
      <c r="AA1162" s="1">
        <v>30.49</v>
      </c>
      <c r="AB1162" s="1">
        <v>2000</v>
      </c>
    </row>
    <row r="1163" spans="1:28" x14ac:dyDescent="0.4">
      <c r="A1163" s="1" t="s">
        <v>338</v>
      </c>
      <c r="B1163" s="1">
        <v>2000</v>
      </c>
      <c r="C1163" s="1">
        <v>0.3</v>
      </c>
      <c r="D1163" s="1">
        <v>0.5</v>
      </c>
      <c r="E1163" s="1">
        <v>500</v>
      </c>
      <c r="F1163" s="1">
        <v>2</v>
      </c>
      <c r="G1163" s="1">
        <v>2</v>
      </c>
      <c r="H1163" s="1" t="s">
        <v>592</v>
      </c>
      <c r="I1163" s="1">
        <v>106280.6</v>
      </c>
      <c r="J1163" s="1">
        <v>42654.400000000001</v>
      </c>
      <c r="K1163" s="1">
        <v>63626.2</v>
      </c>
      <c r="L1163" s="1">
        <v>600</v>
      </c>
      <c r="M1163" s="1">
        <v>600.62</v>
      </c>
      <c r="N1163" s="1">
        <v>25388.5</v>
      </c>
      <c r="O1163" s="1">
        <v>37026.699999999997</v>
      </c>
      <c r="P1163" s="1">
        <v>62415.199999999997</v>
      </c>
      <c r="Q1163" s="1">
        <v>9005.7000000000007</v>
      </c>
      <c r="R1163" s="1">
        <v>2917.2</v>
      </c>
      <c r="S1163" s="1">
        <v>11922.9</v>
      </c>
      <c r="T1163" s="1">
        <v>30.05</v>
      </c>
      <c r="U1163" s="1">
        <v>0.14000000000000001</v>
      </c>
      <c r="V1163" s="1">
        <v>2909.4</v>
      </c>
      <c r="W1163" s="1">
        <v>11915.1</v>
      </c>
      <c r="X1163" s="1">
        <v>600.75</v>
      </c>
      <c r="Y1163" s="1">
        <v>600</v>
      </c>
      <c r="Z1163" s="1">
        <v>74330.3</v>
      </c>
      <c r="AA1163" s="1">
        <v>30.06</v>
      </c>
      <c r="AB1163" s="1">
        <v>2000</v>
      </c>
    </row>
    <row r="1164" spans="1:28" x14ac:dyDescent="0.4">
      <c r="A1164" s="1" t="s">
        <v>339</v>
      </c>
      <c r="B1164" s="1">
        <v>2000</v>
      </c>
      <c r="C1164" s="1">
        <v>0.3</v>
      </c>
      <c r="D1164" s="1">
        <v>0.5</v>
      </c>
      <c r="E1164" s="1">
        <v>500</v>
      </c>
      <c r="F1164" s="1">
        <v>2</v>
      </c>
      <c r="G1164" s="1">
        <v>3</v>
      </c>
      <c r="H1164" s="1" t="s">
        <v>592</v>
      </c>
      <c r="I1164" s="1">
        <v>107447.3</v>
      </c>
      <c r="J1164" s="1">
        <v>42720.6</v>
      </c>
      <c r="K1164" s="1">
        <v>64726.7</v>
      </c>
      <c r="L1164" s="1">
        <v>600</v>
      </c>
      <c r="M1164" s="1">
        <v>600.38</v>
      </c>
      <c r="N1164" s="1">
        <v>24823.7</v>
      </c>
      <c r="O1164" s="1">
        <v>37181</v>
      </c>
      <c r="P1164" s="1">
        <v>62004.7</v>
      </c>
      <c r="Q1164" s="1">
        <v>8970.2999999999993</v>
      </c>
      <c r="R1164" s="1">
        <v>2908.8</v>
      </c>
      <c r="S1164" s="1">
        <v>11879.1</v>
      </c>
      <c r="T1164" s="1">
        <v>31.24</v>
      </c>
      <c r="U1164" s="1">
        <v>0.09</v>
      </c>
      <c r="V1164" s="1">
        <v>2904.7</v>
      </c>
      <c r="W1164" s="1">
        <v>11875</v>
      </c>
      <c r="X1164" s="1">
        <v>600.47</v>
      </c>
      <c r="Y1164" s="1">
        <v>598</v>
      </c>
      <c r="Z1164" s="1">
        <v>73879.7</v>
      </c>
      <c r="AA1164" s="1">
        <v>31.24</v>
      </c>
      <c r="AB1164" s="1">
        <v>2000</v>
      </c>
    </row>
    <row r="1165" spans="1:28" x14ac:dyDescent="0.4">
      <c r="A1165" s="1" t="s">
        <v>340</v>
      </c>
      <c r="B1165" s="1">
        <v>2000</v>
      </c>
      <c r="C1165" s="1">
        <v>0.3</v>
      </c>
      <c r="D1165" s="1">
        <v>0.5</v>
      </c>
      <c r="E1165" s="1">
        <v>500</v>
      </c>
      <c r="F1165" s="1">
        <v>2</v>
      </c>
      <c r="G1165" s="1">
        <v>4</v>
      </c>
      <c r="H1165" s="1" t="s">
        <v>592</v>
      </c>
      <c r="I1165" s="1">
        <v>109197.5</v>
      </c>
      <c r="J1165" s="1">
        <v>44088</v>
      </c>
      <c r="K1165" s="1">
        <v>65109.5</v>
      </c>
      <c r="L1165" s="1">
        <v>600</v>
      </c>
      <c r="M1165" s="1">
        <v>600.29999999999995</v>
      </c>
      <c r="N1165" s="1">
        <v>25819.5</v>
      </c>
      <c r="O1165" s="1">
        <v>37159.9</v>
      </c>
      <c r="P1165" s="1">
        <v>62979.4</v>
      </c>
      <c r="Q1165" s="1">
        <v>9391.5</v>
      </c>
      <c r="R1165" s="1">
        <v>3311</v>
      </c>
      <c r="S1165" s="1">
        <v>12702.5</v>
      </c>
      <c r="T1165" s="1">
        <v>30.69</v>
      </c>
      <c r="U1165" s="1">
        <v>0.14000000000000001</v>
      </c>
      <c r="V1165" s="1">
        <v>3300.4</v>
      </c>
      <c r="W1165" s="1">
        <v>12691.9</v>
      </c>
      <c r="X1165" s="1">
        <v>600.44000000000005</v>
      </c>
      <c r="Y1165" s="1">
        <v>599</v>
      </c>
      <c r="Z1165" s="1">
        <v>75671.3</v>
      </c>
      <c r="AA1165" s="1">
        <v>30.7</v>
      </c>
      <c r="AB1165" s="1">
        <v>2000</v>
      </c>
    </row>
    <row r="1166" spans="1:28" x14ac:dyDescent="0.4">
      <c r="A1166" s="1" t="s">
        <v>341</v>
      </c>
      <c r="B1166" s="1">
        <v>2000</v>
      </c>
      <c r="C1166" s="1">
        <v>0.3</v>
      </c>
      <c r="D1166" s="1">
        <v>0.5</v>
      </c>
      <c r="E1166" s="1">
        <v>500</v>
      </c>
      <c r="F1166" s="1">
        <v>2</v>
      </c>
      <c r="G1166" s="1">
        <v>5</v>
      </c>
      <c r="H1166" s="1" t="s">
        <v>592</v>
      </c>
      <c r="I1166" s="1">
        <v>111481.7</v>
      </c>
      <c r="J1166" s="1">
        <v>43469.4</v>
      </c>
      <c r="K1166" s="1">
        <v>68012.3</v>
      </c>
      <c r="L1166" s="1">
        <v>600</v>
      </c>
      <c r="M1166" s="1">
        <v>600.37</v>
      </c>
      <c r="N1166" s="1">
        <v>25370.5</v>
      </c>
      <c r="O1166" s="1">
        <v>39060.400000000001</v>
      </c>
      <c r="P1166" s="1">
        <v>64430.9</v>
      </c>
      <c r="Q1166" s="1">
        <v>8924.2999999999993</v>
      </c>
      <c r="R1166" s="1">
        <v>3171.7</v>
      </c>
      <c r="S1166" s="1">
        <v>12096</v>
      </c>
      <c r="T1166" s="1">
        <v>31.35</v>
      </c>
      <c r="U1166" s="1">
        <v>0.17</v>
      </c>
      <c r="V1166" s="1">
        <v>3171.7</v>
      </c>
      <c r="W1166" s="1">
        <v>12096</v>
      </c>
      <c r="X1166" s="1">
        <v>600.54</v>
      </c>
      <c r="Y1166" s="1">
        <v>598</v>
      </c>
      <c r="Z1166" s="1">
        <v>76526.899999999994</v>
      </c>
      <c r="AA1166" s="1">
        <v>31.35</v>
      </c>
      <c r="AB1166" s="1">
        <v>2000</v>
      </c>
    </row>
    <row r="1167" spans="1:28" x14ac:dyDescent="0.4">
      <c r="A1167" s="1" t="s">
        <v>342</v>
      </c>
      <c r="B1167" s="1">
        <v>2000</v>
      </c>
      <c r="C1167" s="1">
        <v>0.3</v>
      </c>
      <c r="D1167" s="1">
        <v>0.5</v>
      </c>
      <c r="E1167" s="1">
        <v>500</v>
      </c>
      <c r="F1167" s="1">
        <v>3</v>
      </c>
      <c r="G1167" s="1">
        <v>1</v>
      </c>
      <c r="H1167" s="1" t="s">
        <v>592</v>
      </c>
      <c r="I1167" s="1">
        <v>143946.29999999999</v>
      </c>
      <c r="J1167" s="1">
        <v>57323.8</v>
      </c>
      <c r="K1167" s="1">
        <v>86622.5</v>
      </c>
      <c r="L1167" s="1">
        <v>600</v>
      </c>
      <c r="M1167" s="1">
        <v>600.91999999999996</v>
      </c>
      <c r="N1167" s="1">
        <v>34452.199999999997</v>
      </c>
      <c r="O1167" s="1">
        <v>52927.199999999997</v>
      </c>
      <c r="P1167" s="1">
        <v>87379.4</v>
      </c>
      <c r="Q1167" s="1">
        <v>8963.9</v>
      </c>
      <c r="R1167" s="1">
        <v>3490.2</v>
      </c>
      <c r="S1167" s="1">
        <v>12454.1</v>
      </c>
      <c r="T1167" s="1">
        <v>30.65</v>
      </c>
      <c r="U1167" s="1">
        <v>0.2</v>
      </c>
      <c r="V1167" s="1">
        <v>3483.9</v>
      </c>
      <c r="W1167" s="1">
        <v>12447.8</v>
      </c>
      <c r="X1167" s="1">
        <v>601.11</v>
      </c>
      <c r="Y1167" s="1">
        <v>600</v>
      </c>
      <c r="Z1167" s="1">
        <v>99827.199999999997</v>
      </c>
      <c r="AA1167" s="1">
        <v>30.65</v>
      </c>
      <c r="AB1167" s="1">
        <v>2000</v>
      </c>
    </row>
    <row r="1168" spans="1:28" x14ac:dyDescent="0.4">
      <c r="A1168" s="1" t="s">
        <v>343</v>
      </c>
      <c r="B1168" s="1">
        <v>2000</v>
      </c>
      <c r="C1168" s="1">
        <v>0.3</v>
      </c>
      <c r="D1168" s="1">
        <v>0.5</v>
      </c>
      <c r="E1168" s="1">
        <v>500</v>
      </c>
      <c r="F1168" s="1">
        <v>3</v>
      </c>
      <c r="G1168" s="1">
        <v>2</v>
      </c>
      <c r="H1168" s="1" t="s">
        <v>592</v>
      </c>
      <c r="I1168" s="1">
        <v>137491.9</v>
      </c>
      <c r="J1168" s="1">
        <v>53804.5</v>
      </c>
      <c r="K1168" s="1">
        <v>83687.399999999994</v>
      </c>
      <c r="L1168" s="1">
        <v>600</v>
      </c>
      <c r="M1168" s="1">
        <v>601.08000000000004</v>
      </c>
      <c r="N1168" s="1">
        <v>31955</v>
      </c>
      <c r="O1168" s="1">
        <v>51138.8</v>
      </c>
      <c r="P1168" s="1">
        <v>83093.8</v>
      </c>
      <c r="Q1168" s="1">
        <v>9443.2999999999993</v>
      </c>
      <c r="R1168" s="1">
        <v>3323.7</v>
      </c>
      <c r="S1168" s="1">
        <v>12767</v>
      </c>
      <c r="T1168" s="1">
        <v>30.28</v>
      </c>
      <c r="U1168" s="1">
        <v>0.15</v>
      </c>
      <c r="V1168" s="1">
        <v>3323.7</v>
      </c>
      <c r="W1168" s="1">
        <v>12767</v>
      </c>
      <c r="X1168" s="1">
        <v>601.23</v>
      </c>
      <c r="Y1168" s="1">
        <v>600</v>
      </c>
      <c r="Z1168" s="1">
        <v>95860.800000000003</v>
      </c>
      <c r="AA1168" s="1">
        <v>30.28</v>
      </c>
      <c r="AB1168" s="1">
        <v>2000</v>
      </c>
    </row>
    <row r="1169" spans="1:28" x14ac:dyDescent="0.4">
      <c r="A1169" s="1" t="s">
        <v>344</v>
      </c>
      <c r="B1169" s="1">
        <v>2000</v>
      </c>
      <c r="C1169" s="1">
        <v>0.3</v>
      </c>
      <c r="D1169" s="1">
        <v>0.5</v>
      </c>
      <c r="E1169" s="1">
        <v>500</v>
      </c>
      <c r="F1169" s="1">
        <v>3</v>
      </c>
      <c r="G1169" s="1">
        <v>3</v>
      </c>
      <c r="H1169" s="1" t="s">
        <v>592</v>
      </c>
      <c r="I1169" s="1">
        <v>134184.20000000001</v>
      </c>
      <c r="J1169" s="1">
        <v>54224.9</v>
      </c>
      <c r="K1169" s="1">
        <v>79959.3</v>
      </c>
      <c r="L1169" s="1">
        <v>600</v>
      </c>
      <c r="M1169" s="1">
        <v>600.64</v>
      </c>
      <c r="N1169" s="1">
        <v>32643.8</v>
      </c>
      <c r="O1169" s="1">
        <v>48370.6</v>
      </c>
      <c r="P1169" s="1">
        <v>81014.399999999994</v>
      </c>
      <c r="Q1169" s="1">
        <v>8858.7000000000007</v>
      </c>
      <c r="R1169" s="1">
        <v>3261.6</v>
      </c>
      <c r="S1169" s="1">
        <v>12120.3</v>
      </c>
      <c r="T1169" s="1">
        <v>30.59</v>
      </c>
      <c r="U1169" s="1">
        <v>0.17</v>
      </c>
      <c r="V1169" s="1">
        <v>3258.8</v>
      </c>
      <c r="W1169" s="1">
        <v>12117.5</v>
      </c>
      <c r="X1169" s="1">
        <v>600.80999999999995</v>
      </c>
      <c r="Y1169" s="1">
        <v>600</v>
      </c>
      <c r="Z1169" s="1">
        <v>93131.9</v>
      </c>
      <c r="AA1169" s="1">
        <v>30.59</v>
      </c>
      <c r="AB1169" s="1">
        <v>2000</v>
      </c>
    </row>
    <row r="1170" spans="1:28" x14ac:dyDescent="0.4">
      <c r="A1170" s="1" t="s">
        <v>345</v>
      </c>
      <c r="B1170" s="1">
        <v>2000</v>
      </c>
      <c r="C1170" s="1">
        <v>0.3</v>
      </c>
      <c r="D1170" s="1">
        <v>0.5</v>
      </c>
      <c r="E1170" s="1">
        <v>500</v>
      </c>
      <c r="F1170" s="1">
        <v>3</v>
      </c>
      <c r="G1170" s="1">
        <v>4</v>
      </c>
      <c r="H1170" s="1" t="s">
        <v>592</v>
      </c>
      <c r="I1170" s="1">
        <v>140703.4</v>
      </c>
      <c r="J1170" s="1">
        <v>54175.8</v>
      </c>
      <c r="K1170" s="1">
        <v>86527.6</v>
      </c>
      <c r="L1170" s="1">
        <v>600</v>
      </c>
      <c r="M1170" s="1">
        <v>600.47</v>
      </c>
      <c r="N1170" s="1">
        <v>33959.5</v>
      </c>
      <c r="O1170" s="1">
        <v>53405.8</v>
      </c>
      <c r="P1170" s="1">
        <v>87365.3</v>
      </c>
      <c r="Q1170" s="1">
        <v>8744.5</v>
      </c>
      <c r="R1170" s="1">
        <v>3074.2</v>
      </c>
      <c r="S1170" s="1">
        <v>11818.7</v>
      </c>
      <c r="T1170" s="1">
        <v>29.51</v>
      </c>
      <c r="U1170" s="1">
        <v>0.2</v>
      </c>
      <c r="V1170" s="1">
        <v>3072.8</v>
      </c>
      <c r="W1170" s="1">
        <v>11817.3</v>
      </c>
      <c r="X1170" s="1">
        <v>600.66999999999996</v>
      </c>
      <c r="Y1170" s="1">
        <v>600</v>
      </c>
      <c r="Z1170" s="1">
        <v>99182.6</v>
      </c>
      <c r="AA1170" s="1">
        <v>29.51</v>
      </c>
      <c r="AB1170" s="1">
        <v>2000</v>
      </c>
    </row>
    <row r="1171" spans="1:28" x14ac:dyDescent="0.4">
      <c r="A1171" s="1" t="s">
        <v>346</v>
      </c>
      <c r="B1171" s="1">
        <v>2000</v>
      </c>
      <c r="C1171" s="1">
        <v>0.3</v>
      </c>
      <c r="D1171" s="1">
        <v>0.5</v>
      </c>
      <c r="E1171" s="1">
        <v>500</v>
      </c>
      <c r="F1171" s="1">
        <v>3</v>
      </c>
      <c r="G1171" s="1">
        <v>5</v>
      </c>
      <c r="H1171" s="1" t="s">
        <v>592</v>
      </c>
      <c r="I1171" s="1">
        <v>136155.6</v>
      </c>
      <c r="J1171" s="1">
        <v>51030.7</v>
      </c>
      <c r="K1171" s="1">
        <v>85124.9</v>
      </c>
      <c r="L1171" s="1">
        <v>600</v>
      </c>
      <c r="M1171" s="1">
        <v>600.62</v>
      </c>
      <c r="N1171" s="1">
        <v>30964.1</v>
      </c>
      <c r="O1171" s="1">
        <v>51237.2</v>
      </c>
      <c r="P1171" s="1">
        <v>82201.3</v>
      </c>
      <c r="Q1171" s="1">
        <v>9043.5</v>
      </c>
      <c r="R1171" s="1">
        <v>3264</v>
      </c>
      <c r="S1171" s="1">
        <v>12307.5</v>
      </c>
      <c r="T1171" s="1">
        <v>30.59</v>
      </c>
      <c r="U1171" s="1">
        <v>0.14000000000000001</v>
      </c>
      <c r="V1171" s="1">
        <v>3246.6</v>
      </c>
      <c r="W1171" s="1">
        <v>12290.1</v>
      </c>
      <c r="X1171" s="1">
        <v>600.77</v>
      </c>
      <c r="Y1171" s="1">
        <v>600</v>
      </c>
      <c r="Z1171" s="1">
        <v>94491.4</v>
      </c>
      <c r="AA1171" s="1">
        <v>30.6</v>
      </c>
      <c r="AB1171" s="1">
        <v>2000</v>
      </c>
    </row>
    <row r="1172" spans="1:28" x14ac:dyDescent="0.4">
      <c r="A1172" s="1" t="s">
        <v>45</v>
      </c>
      <c r="B1172" s="1">
        <v>2000</v>
      </c>
      <c r="C1172" s="1">
        <v>0.4</v>
      </c>
      <c r="D1172" s="1">
        <v>0.5</v>
      </c>
      <c r="E1172" s="1">
        <v>1000</v>
      </c>
      <c r="F1172" s="1">
        <v>1</v>
      </c>
      <c r="G1172" s="1">
        <v>1</v>
      </c>
      <c r="H1172" s="1" t="s">
        <v>592</v>
      </c>
      <c r="I1172" s="1">
        <v>146743.6</v>
      </c>
      <c r="J1172" s="1">
        <v>58000.4</v>
      </c>
      <c r="K1172" s="1">
        <v>88743.2</v>
      </c>
      <c r="L1172" s="1">
        <v>600</v>
      </c>
      <c r="M1172" s="1">
        <v>601.05999999999995</v>
      </c>
      <c r="N1172" s="1">
        <v>32480.5</v>
      </c>
      <c r="O1172" s="1">
        <v>48304</v>
      </c>
      <c r="P1172" s="1">
        <v>80784.5</v>
      </c>
      <c r="Q1172" s="1">
        <v>11690.7</v>
      </c>
      <c r="R1172" s="1">
        <v>5628.4</v>
      </c>
      <c r="S1172" s="1">
        <v>17319.099999999999</v>
      </c>
      <c r="T1172" s="1">
        <v>33.15</v>
      </c>
      <c r="U1172" s="1">
        <v>0.15</v>
      </c>
      <c r="V1172" s="1">
        <v>5628.4</v>
      </c>
      <c r="W1172" s="1">
        <v>17319.099999999999</v>
      </c>
      <c r="X1172" s="1">
        <v>601.21</v>
      </c>
      <c r="Y1172" s="1">
        <v>600</v>
      </c>
      <c r="Z1172" s="1">
        <v>98103.6</v>
      </c>
      <c r="AA1172" s="1">
        <v>33.15</v>
      </c>
      <c r="AB1172" s="1">
        <v>2000</v>
      </c>
    </row>
    <row r="1173" spans="1:28" x14ac:dyDescent="0.4">
      <c r="A1173" s="1" t="s">
        <v>46</v>
      </c>
      <c r="B1173" s="1">
        <v>2000</v>
      </c>
      <c r="C1173" s="1">
        <v>0.4</v>
      </c>
      <c r="D1173" s="1">
        <v>0.5</v>
      </c>
      <c r="E1173" s="1">
        <v>1000</v>
      </c>
      <c r="F1173" s="1">
        <v>1</v>
      </c>
      <c r="G1173" s="1">
        <v>2</v>
      </c>
      <c r="H1173" s="1" t="s">
        <v>592</v>
      </c>
      <c r="I1173" s="1">
        <v>147538.70000000001</v>
      </c>
      <c r="J1173" s="1">
        <v>60411.8</v>
      </c>
      <c r="K1173" s="1">
        <v>87126.9</v>
      </c>
      <c r="L1173" s="1">
        <v>600</v>
      </c>
      <c r="M1173" s="1">
        <v>601.05999999999995</v>
      </c>
      <c r="N1173" s="1">
        <v>33672.800000000003</v>
      </c>
      <c r="O1173" s="1">
        <v>47077.1</v>
      </c>
      <c r="P1173" s="1">
        <v>80749.899999999994</v>
      </c>
      <c r="Q1173" s="1">
        <v>11748.1</v>
      </c>
      <c r="R1173" s="1">
        <v>5574.3</v>
      </c>
      <c r="S1173" s="1">
        <v>17322.400000000001</v>
      </c>
      <c r="T1173" s="1">
        <v>33.53</v>
      </c>
      <c r="U1173" s="1">
        <v>0.14000000000000001</v>
      </c>
      <c r="V1173" s="1">
        <v>5574.3</v>
      </c>
      <c r="W1173" s="1">
        <v>17322.400000000001</v>
      </c>
      <c r="X1173" s="1">
        <v>601.20000000000005</v>
      </c>
      <c r="Y1173" s="1">
        <v>600</v>
      </c>
      <c r="Z1173" s="1">
        <v>98072.3</v>
      </c>
      <c r="AA1173" s="1">
        <v>33.53</v>
      </c>
      <c r="AB1173" s="1">
        <v>2000</v>
      </c>
    </row>
    <row r="1174" spans="1:28" x14ac:dyDescent="0.4">
      <c r="A1174" s="1" t="s">
        <v>47</v>
      </c>
      <c r="B1174" s="1">
        <v>2000</v>
      </c>
      <c r="C1174" s="1">
        <v>0.4</v>
      </c>
      <c r="D1174" s="1">
        <v>0.5</v>
      </c>
      <c r="E1174" s="1">
        <v>1000</v>
      </c>
      <c r="F1174" s="1">
        <v>1</v>
      </c>
      <c r="G1174" s="1">
        <v>3</v>
      </c>
      <c r="H1174" s="1" t="s">
        <v>592</v>
      </c>
      <c r="I1174" s="1">
        <v>147212.4</v>
      </c>
      <c r="J1174" s="1">
        <v>60036.4</v>
      </c>
      <c r="K1174" s="1">
        <v>87176</v>
      </c>
      <c r="L1174" s="1">
        <v>600</v>
      </c>
      <c r="M1174" s="1">
        <v>600.25</v>
      </c>
      <c r="N1174" s="1">
        <v>32526.1</v>
      </c>
      <c r="O1174" s="1">
        <v>46778.2</v>
      </c>
      <c r="P1174" s="1">
        <v>79304.3</v>
      </c>
      <c r="Q1174" s="1">
        <v>11363.3</v>
      </c>
      <c r="R1174" s="1">
        <v>5627.4</v>
      </c>
      <c r="S1174" s="1">
        <v>16990.7</v>
      </c>
      <c r="T1174" s="1">
        <v>34.590000000000003</v>
      </c>
      <c r="U1174" s="1">
        <v>0.15</v>
      </c>
      <c r="V1174" s="1">
        <v>5611.9</v>
      </c>
      <c r="W1174" s="1">
        <v>16975.2</v>
      </c>
      <c r="X1174" s="1">
        <v>600.4</v>
      </c>
      <c r="Y1174" s="1">
        <v>600</v>
      </c>
      <c r="Z1174" s="1">
        <v>96279.5</v>
      </c>
      <c r="AA1174" s="1">
        <v>34.6</v>
      </c>
      <c r="AB1174" s="1">
        <v>2000</v>
      </c>
    </row>
    <row r="1175" spans="1:28" x14ac:dyDescent="0.4">
      <c r="A1175" s="1" t="s">
        <v>48</v>
      </c>
      <c r="B1175" s="1">
        <v>2000</v>
      </c>
      <c r="C1175" s="1">
        <v>0.4</v>
      </c>
      <c r="D1175" s="1">
        <v>0.5</v>
      </c>
      <c r="E1175" s="1">
        <v>1000</v>
      </c>
      <c r="F1175" s="1">
        <v>1</v>
      </c>
      <c r="G1175" s="1">
        <v>4</v>
      </c>
      <c r="H1175" s="1" t="s">
        <v>592</v>
      </c>
      <c r="I1175" s="1">
        <v>148707.4</v>
      </c>
      <c r="J1175" s="1">
        <v>61039</v>
      </c>
      <c r="K1175" s="1">
        <v>87668.4</v>
      </c>
      <c r="L1175" s="1">
        <v>600</v>
      </c>
      <c r="M1175" s="1">
        <v>600.94000000000005</v>
      </c>
      <c r="N1175" s="1">
        <v>32931.800000000003</v>
      </c>
      <c r="O1175" s="1">
        <v>45834.400000000001</v>
      </c>
      <c r="P1175" s="1">
        <v>78766.2</v>
      </c>
      <c r="Q1175" s="1">
        <v>11788.1</v>
      </c>
      <c r="R1175" s="1">
        <v>5966.3</v>
      </c>
      <c r="S1175" s="1">
        <v>17754.400000000001</v>
      </c>
      <c r="T1175" s="1">
        <v>35.090000000000003</v>
      </c>
      <c r="U1175" s="1">
        <v>0.17</v>
      </c>
      <c r="V1175" s="1">
        <v>5953.5</v>
      </c>
      <c r="W1175" s="1">
        <v>17741.599999999999</v>
      </c>
      <c r="X1175" s="1">
        <v>601.11</v>
      </c>
      <c r="Y1175" s="1">
        <v>600</v>
      </c>
      <c r="Z1175" s="1">
        <v>96507.8</v>
      </c>
      <c r="AA1175" s="1">
        <v>35.1</v>
      </c>
      <c r="AB1175" s="1">
        <v>2000</v>
      </c>
    </row>
    <row r="1176" spans="1:28" x14ac:dyDescent="0.4">
      <c r="A1176" s="1" t="s">
        <v>49</v>
      </c>
      <c r="B1176" s="1">
        <v>2000</v>
      </c>
      <c r="C1176" s="1">
        <v>0.4</v>
      </c>
      <c r="D1176" s="1">
        <v>0.5</v>
      </c>
      <c r="E1176" s="1">
        <v>1000</v>
      </c>
      <c r="F1176" s="1">
        <v>1</v>
      </c>
      <c r="G1176" s="1">
        <v>5</v>
      </c>
      <c r="H1176" s="1" t="s">
        <v>592</v>
      </c>
      <c r="I1176" s="1">
        <v>148055.70000000001</v>
      </c>
      <c r="J1176" s="1">
        <v>57683</v>
      </c>
      <c r="K1176" s="1">
        <v>90372.7</v>
      </c>
      <c r="L1176" s="1">
        <v>600</v>
      </c>
      <c r="M1176" s="1">
        <v>600.71</v>
      </c>
      <c r="N1176" s="1">
        <v>32464</v>
      </c>
      <c r="O1176" s="1">
        <v>48198.5</v>
      </c>
      <c r="P1176" s="1">
        <v>80662.5</v>
      </c>
      <c r="Q1176" s="1">
        <v>11434.5</v>
      </c>
      <c r="R1176" s="1">
        <v>5482.5</v>
      </c>
      <c r="S1176" s="1">
        <v>16917</v>
      </c>
      <c r="T1176" s="1">
        <v>34.090000000000003</v>
      </c>
      <c r="U1176" s="1">
        <v>0.19</v>
      </c>
      <c r="V1176" s="1">
        <v>5482.5</v>
      </c>
      <c r="W1176" s="1">
        <v>16917</v>
      </c>
      <c r="X1176" s="1">
        <v>600.9</v>
      </c>
      <c r="Y1176" s="1">
        <v>600</v>
      </c>
      <c r="Z1176" s="1">
        <v>97579.5</v>
      </c>
      <c r="AA1176" s="1">
        <v>34.090000000000003</v>
      </c>
      <c r="AB1176" s="1">
        <v>2000</v>
      </c>
    </row>
    <row r="1177" spans="1:28" x14ac:dyDescent="0.4">
      <c r="A1177" s="1" t="s">
        <v>50</v>
      </c>
      <c r="B1177" s="1">
        <v>2000</v>
      </c>
      <c r="C1177" s="1">
        <v>0.4</v>
      </c>
      <c r="D1177" s="1">
        <v>0.5</v>
      </c>
      <c r="E1177" s="1">
        <v>1000</v>
      </c>
      <c r="F1177" s="1">
        <v>2</v>
      </c>
      <c r="G1177" s="1">
        <v>1</v>
      </c>
      <c r="H1177" s="1" t="s">
        <v>592</v>
      </c>
      <c r="I1177" s="1">
        <v>230670.1</v>
      </c>
      <c r="J1177" s="1">
        <v>90584.2</v>
      </c>
      <c r="K1177" s="1">
        <v>140085.9</v>
      </c>
      <c r="L1177" s="1">
        <v>600</v>
      </c>
      <c r="M1177" s="1">
        <v>600.89</v>
      </c>
      <c r="N1177" s="1">
        <v>53103.8</v>
      </c>
      <c r="O1177" s="1">
        <v>79845.399999999994</v>
      </c>
      <c r="P1177" s="1">
        <v>132949.20000000001</v>
      </c>
      <c r="Q1177" s="1">
        <v>10467.200000000001</v>
      </c>
      <c r="R1177" s="1">
        <v>4918.5</v>
      </c>
      <c r="S1177" s="1">
        <v>15385.7</v>
      </c>
      <c r="T1177" s="1">
        <v>35.69</v>
      </c>
      <c r="U1177" s="1">
        <v>0.22</v>
      </c>
      <c r="V1177" s="1">
        <v>4918.5</v>
      </c>
      <c r="W1177" s="1">
        <v>15385.7</v>
      </c>
      <c r="X1177" s="1">
        <v>601.11</v>
      </c>
      <c r="Y1177" s="1">
        <v>600</v>
      </c>
      <c r="Z1177" s="1">
        <v>148334.9</v>
      </c>
      <c r="AA1177" s="1">
        <v>35.69</v>
      </c>
      <c r="AB1177" s="1">
        <v>2000</v>
      </c>
    </row>
    <row r="1178" spans="1:28" x14ac:dyDescent="0.4">
      <c r="A1178" s="1" t="s">
        <v>51</v>
      </c>
      <c r="B1178" s="1">
        <v>2000</v>
      </c>
      <c r="C1178" s="1">
        <v>0.4</v>
      </c>
      <c r="D1178" s="1">
        <v>0.5</v>
      </c>
      <c r="E1178" s="1">
        <v>1000</v>
      </c>
      <c r="F1178" s="1">
        <v>2</v>
      </c>
      <c r="G1178" s="1">
        <v>2</v>
      </c>
      <c r="H1178" s="1" t="s">
        <v>592</v>
      </c>
      <c r="I1178" s="1">
        <v>230566.8</v>
      </c>
      <c r="J1178" s="1">
        <v>88402.6</v>
      </c>
      <c r="K1178" s="1">
        <v>142164.20000000001</v>
      </c>
      <c r="L1178" s="1">
        <v>600</v>
      </c>
      <c r="M1178" s="1">
        <v>600.57000000000005</v>
      </c>
      <c r="N1178" s="1">
        <v>51364.4</v>
      </c>
      <c r="O1178" s="1">
        <v>81787.3</v>
      </c>
      <c r="P1178" s="1">
        <v>133151.70000000001</v>
      </c>
      <c r="Q1178" s="1">
        <v>10420.200000000001</v>
      </c>
      <c r="R1178" s="1">
        <v>4749.1000000000004</v>
      </c>
      <c r="S1178" s="1">
        <v>15169.3</v>
      </c>
      <c r="T1178" s="1">
        <v>35.67</v>
      </c>
      <c r="U1178" s="1">
        <v>0.15</v>
      </c>
      <c r="V1178" s="1">
        <v>4747.7</v>
      </c>
      <c r="W1178" s="1">
        <v>15167.9</v>
      </c>
      <c r="X1178" s="1">
        <v>600.72</v>
      </c>
      <c r="Y1178" s="1">
        <v>600</v>
      </c>
      <c r="Z1178" s="1">
        <v>148319.6</v>
      </c>
      <c r="AA1178" s="1">
        <v>35.67</v>
      </c>
      <c r="AB1178" s="1">
        <v>2000</v>
      </c>
    </row>
    <row r="1179" spans="1:28" x14ac:dyDescent="0.4">
      <c r="A1179" s="1" t="s">
        <v>52</v>
      </c>
      <c r="B1179" s="1">
        <v>2000</v>
      </c>
      <c r="C1179" s="1">
        <v>0.4</v>
      </c>
      <c r="D1179" s="1">
        <v>0.5</v>
      </c>
      <c r="E1179" s="1">
        <v>1000</v>
      </c>
      <c r="F1179" s="1">
        <v>2</v>
      </c>
      <c r="G1179" s="1">
        <v>3</v>
      </c>
      <c r="H1179" s="1" t="s">
        <v>592</v>
      </c>
      <c r="I1179" s="1">
        <v>216725.7</v>
      </c>
      <c r="J1179" s="1">
        <v>84765.8</v>
      </c>
      <c r="K1179" s="1">
        <v>131959.9</v>
      </c>
      <c r="L1179" s="1">
        <v>600</v>
      </c>
      <c r="M1179" s="1">
        <v>600.85</v>
      </c>
      <c r="N1179" s="1">
        <v>49646.400000000001</v>
      </c>
      <c r="O1179" s="1">
        <v>75544.3</v>
      </c>
      <c r="P1179" s="1">
        <v>125190.7</v>
      </c>
      <c r="Q1179" s="1">
        <v>10439.299999999999</v>
      </c>
      <c r="R1179" s="1">
        <v>4868.1000000000004</v>
      </c>
      <c r="S1179" s="1">
        <v>15307.4</v>
      </c>
      <c r="T1179" s="1">
        <v>35.17</v>
      </c>
      <c r="U1179" s="1">
        <v>0.22</v>
      </c>
      <c r="V1179" s="1">
        <v>4864</v>
      </c>
      <c r="W1179" s="1">
        <v>15303.3</v>
      </c>
      <c r="X1179" s="1">
        <v>601.07000000000005</v>
      </c>
      <c r="Y1179" s="1">
        <v>600</v>
      </c>
      <c r="Z1179" s="1">
        <v>140494</v>
      </c>
      <c r="AA1179" s="1">
        <v>35.17</v>
      </c>
      <c r="AB1179" s="1">
        <v>2000</v>
      </c>
    </row>
    <row r="1180" spans="1:28" x14ac:dyDescent="0.4">
      <c r="A1180" s="1" t="s">
        <v>53</v>
      </c>
      <c r="B1180" s="1">
        <v>2000</v>
      </c>
      <c r="C1180" s="1">
        <v>0.4</v>
      </c>
      <c r="D1180" s="1">
        <v>0.5</v>
      </c>
      <c r="E1180" s="1">
        <v>1000</v>
      </c>
      <c r="F1180" s="1">
        <v>2</v>
      </c>
      <c r="G1180" s="1">
        <v>4</v>
      </c>
      <c r="H1180" s="1" t="s">
        <v>592</v>
      </c>
      <c r="I1180" s="1">
        <v>228249.8</v>
      </c>
      <c r="J1180" s="1">
        <v>93670.2</v>
      </c>
      <c r="K1180" s="1">
        <v>134579.6</v>
      </c>
      <c r="L1180" s="1">
        <v>600</v>
      </c>
      <c r="M1180" s="1">
        <v>600.84</v>
      </c>
      <c r="N1180" s="1">
        <v>53771.9</v>
      </c>
      <c r="O1180" s="1">
        <v>75371.899999999994</v>
      </c>
      <c r="P1180" s="1">
        <v>129143.8</v>
      </c>
      <c r="Q1180" s="1">
        <v>10825.9</v>
      </c>
      <c r="R1180" s="1">
        <v>5105</v>
      </c>
      <c r="S1180" s="1">
        <v>15930.9</v>
      </c>
      <c r="T1180" s="1">
        <v>36.44</v>
      </c>
      <c r="U1180" s="1">
        <v>0.25</v>
      </c>
      <c r="V1180" s="1">
        <v>5105</v>
      </c>
      <c r="W1180" s="1">
        <v>15930.9</v>
      </c>
      <c r="X1180" s="1">
        <v>601.1</v>
      </c>
      <c r="Y1180" s="1">
        <v>600</v>
      </c>
      <c r="Z1180" s="1">
        <v>145074.70000000001</v>
      </c>
      <c r="AA1180" s="1">
        <v>36.44</v>
      </c>
      <c r="AB1180" s="1">
        <v>2000</v>
      </c>
    </row>
    <row r="1181" spans="1:28" x14ac:dyDescent="0.4">
      <c r="A1181" s="1" t="s">
        <v>54</v>
      </c>
      <c r="B1181" s="1">
        <v>2000</v>
      </c>
      <c r="C1181" s="1">
        <v>0.4</v>
      </c>
      <c r="D1181" s="1">
        <v>0.5</v>
      </c>
      <c r="E1181" s="1">
        <v>1000</v>
      </c>
      <c r="F1181" s="1">
        <v>2</v>
      </c>
      <c r="G1181" s="1">
        <v>5</v>
      </c>
      <c r="H1181" s="1" t="s">
        <v>592</v>
      </c>
      <c r="I1181" s="1">
        <v>216003.3</v>
      </c>
      <c r="J1181" s="1">
        <v>85862.7</v>
      </c>
      <c r="K1181" s="1">
        <v>130140.6</v>
      </c>
      <c r="L1181" s="1">
        <v>600</v>
      </c>
      <c r="M1181" s="1">
        <v>601.26</v>
      </c>
      <c r="N1181" s="1">
        <v>51444.4</v>
      </c>
      <c r="O1181" s="1">
        <v>74623.600000000006</v>
      </c>
      <c r="P1181" s="1">
        <v>126068</v>
      </c>
      <c r="Q1181" s="1">
        <v>10641.9</v>
      </c>
      <c r="R1181" s="1">
        <v>4915.3999999999996</v>
      </c>
      <c r="S1181" s="1">
        <v>15557.3</v>
      </c>
      <c r="T1181" s="1">
        <v>34.43</v>
      </c>
      <c r="U1181" s="1">
        <v>0.23</v>
      </c>
      <c r="V1181" s="1">
        <v>4914</v>
      </c>
      <c r="W1181" s="1">
        <v>15555.9</v>
      </c>
      <c r="X1181" s="1">
        <v>601.48</v>
      </c>
      <c r="Y1181" s="1">
        <v>600</v>
      </c>
      <c r="Z1181" s="1">
        <v>141623.9</v>
      </c>
      <c r="AA1181" s="1">
        <v>34.43</v>
      </c>
      <c r="AB1181" s="1">
        <v>2000</v>
      </c>
    </row>
    <row r="1182" spans="1:28" x14ac:dyDescent="0.4">
      <c r="A1182" s="1" t="s">
        <v>55</v>
      </c>
      <c r="B1182" s="1">
        <v>2000</v>
      </c>
      <c r="C1182" s="1">
        <v>0.4</v>
      </c>
      <c r="D1182" s="1">
        <v>0.5</v>
      </c>
      <c r="E1182" s="1">
        <v>1000</v>
      </c>
      <c r="F1182" s="1">
        <v>3</v>
      </c>
      <c r="G1182" s="1">
        <v>1</v>
      </c>
      <c r="H1182" s="1" t="s">
        <v>592</v>
      </c>
      <c r="I1182" s="1">
        <v>276286</v>
      </c>
      <c r="J1182" s="1">
        <v>109961</v>
      </c>
      <c r="K1182" s="1">
        <v>166325</v>
      </c>
      <c r="L1182" s="1">
        <v>600</v>
      </c>
      <c r="M1182" s="1">
        <v>600.29999999999995</v>
      </c>
      <c r="N1182" s="1">
        <v>66337.100000000006</v>
      </c>
      <c r="O1182" s="1">
        <v>99432.6</v>
      </c>
      <c r="P1182" s="1">
        <v>165769.70000000001</v>
      </c>
      <c r="Q1182" s="1">
        <v>10175.5</v>
      </c>
      <c r="R1182" s="1">
        <v>4301.5</v>
      </c>
      <c r="S1182" s="1">
        <v>14477</v>
      </c>
      <c r="T1182" s="1">
        <v>34.76</v>
      </c>
      <c r="U1182" s="1">
        <v>0.14000000000000001</v>
      </c>
      <c r="V1182" s="1">
        <v>4297.3999999999996</v>
      </c>
      <c r="W1182" s="1">
        <v>14472.9</v>
      </c>
      <c r="X1182" s="1">
        <v>600.44000000000005</v>
      </c>
      <c r="Y1182" s="1">
        <v>600</v>
      </c>
      <c r="Z1182" s="1">
        <v>180242.6</v>
      </c>
      <c r="AA1182" s="1">
        <v>34.76</v>
      </c>
      <c r="AB1182" s="1">
        <v>2000</v>
      </c>
    </row>
    <row r="1183" spans="1:28" x14ac:dyDescent="0.4">
      <c r="A1183" s="1" t="s">
        <v>56</v>
      </c>
      <c r="B1183" s="1">
        <v>2000</v>
      </c>
      <c r="C1183" s="1">
        <v>0.4</v>
      </c>
      <c r="D1183" s="1">
        <v>0.5</v>
      </c>
      <c r="E1183" s="1">
        <v>1000</v>
      </c>
      <c r="F1183" s="1">
        <v>3</v>
      </c>
      <c r="G1183" s="1">
        <v>2</v>
      </c>
      <c r="H1183" s="1" t="s">
        <v>592</v>
      </c>
      <c r="I1183" s="1">
        <v>279729.59999999998</v>
      </c>
      <c r="J1183" s="1">
        <v>113230.9</v>
      </c>
      <c r="K1183" s="1">
        <v>166498.70000000001</v>
      </c>
      <c r="L1183" s="1">
        <v>600</v>
      </c>
      <c r="M1183" s="1">
        <v>601.05999999999995</v>
      </c>
      <c r="N1183" s="1">
        <v>66093.899999999994</v>
      </c>
      <c r="O1183" s="1">
        <v>96035.3</v>
      </c>
      <c r="P1183" s="1">
        <v>162129.20000000001</v>
      </c>
      <c r="Q1183" s="1">
        <v>10484.799999999999</v>
      </c>
      <c r="R1183" s="1">
        <v>4507.7</v>
      </c>
      <c r="S1183" s="1">
        <v>14992.5</v>
      </c>
      <c r="T1183" s="1">
        <v>36.68</v>
      </c>
      <c r="U1183" s="1">
        <v>0.2</v>
      </c>
      <c r="V1183" s="1">
        <v>4498.6000000000004</v>
      </c>
      <c r="W1183" s="1">
        <v>14983.4</v>
      </c>
      <c r="X1183" s="1">
        <v>601.26</v>
      </c>
      <c r="Y1183" s="1">
        <v>600</v>
      </c>
      <c r="Z1183" s="1">
        <v>177112.6</v>
      </c>
      <c r="AA1183" s="1">
        <v>36.68</v>
      </c>
      <c r="AB1183" s="1">
        <v>2000</v>
      </c>
    </row>
    <row r="1184" spans="1:28" x14ac:dyDescent="0.4">
      <c r="A1184" s="1" t="s">
        <v>57</v>
      </c>
      <c r="B1184" s="1">
        <v>2000</v>
      </c>
      <c r="C1184" s="1">
        <v>0.4</v>
      </c>
      <c r="D1184" s="1">
        <v>0.5</v>
      </c>
      <c r="E1184" s="1">
        <v>1000</v>
      </c>
      <c r="F1184" s="1">
        <v>3</v>
      </c>
      <c r="G1184" s="1">
        <v>3</v>
      </c>
      <c r="H1184" s="1" t="s">
        <v>592</v>
      </c>
      <c r="I1184" s="1">
        <v>279169.2</v>
      </c>
      <c r="J1184" s="1">
        <v>112698.4</v>
      </c>
      <c r="K1184" s="1">
        <v>166470.79999999999</v>
      </c>
      <c r="L1184" s="1">
        <v>600</v>
      </c>
      <c r="M1184" s="1">
        <v>600.02</v>
      </c>
      <c r="N1184" s="1">
        <v>67641.7</v>
      </c>
      <c r="O1184" s="1">
        <v>97969.8</v>
      </c>
      <c r="P1184" s="1">
        <v>165611.5</v>
      </c>
      <c r="Q1184" s="1">
        <v>10514</v>
      </c>
      <c r="R1184" s="1">
        <v>4809.3999999999996</v>
      </c>
      <c r="S1184" s="1">
        <v>15323.4</v>
      </c>
      <c r="T1184" s="1">
        <v>35.19</v>
      </c>
      <c r="U1184" s="1">
        <v>0.21</v>
      </c>
      <c r="V1184" s="1">
        <v>4809.3999999999996</v>
      </c>
      <c r="W1184" s="1">
        <v>15323.4</v>
      </c>
      <c r="X1184" s="1">
        <v>600.22</v>
      </c>
      <c r="Y1184" s="1">
        <v>600</v>
      </c>
      <c r="Z1184" s="1">
        <v>180934.9</v>
      </c>
      <c r="AA1184" s="1">
        <v>35.19</v>
      </c>
      <c r="AB1184" s="1">
        <v>2000</v>
      </c>
    </row>
    <row r="1185" spans="1:28" x14ac:dyDescent="0.4">
      <c r="A1185" s="1" t="s">
        <v>58</v>
      </c>
      <c r="B1185" s="1">
        <v>2000</v>
      </c>
      <c r="C1185" s="1">
        <v>0.4</v>
      </c>
      <c r="D1185" s="1">
        <v>0.5</v>
      </c>
      <c r="E1185" s="1">
        <v>1000</v>
      </c>
      <c r="F1185" s="1">
        <v>3</v>
      </c>
      <c r="G1185" s="1">
        <v>4</v>
      </c>
      <c r="H1185" s="1" t="s">
        <v>592</v>
      </c>
      <c r="I1185" s="1">
        <v>283603</v>
      </c>
      <c r="J1185" s="1">
        <v>106923.5</v>
      </c>
      <c r="K1185" s="1">
        <v>176679.5</v>
      </c>
      <c r="L1185" s="1">
        <v>600</v>
      </c>
      <c r="M1185" s="1">
        <v>600.37</v>
      </c>
      <c r="N1185" s="1">
        <v>62613.599999999999</v>
      </c>
      <c r="O1185" s="1">
        <v>103081.1</v>
      </c>
      <c r="P1185" s="1">
        <v>165694.70000000001</v>
      </c>
      <c r="Q1185" s="1">
        <v>10544.5</v>
      </c>
      <c r="R1185" s="1">
        <v>4865.8</v>
      </c>
      <c r="S1185" s="1">
        <v>15410.3</v>
      </c>
      <c r="T1185" s="1">
        <v>36.14</v>
      </c>
      <c r="U1185" s="1">
        <v>0.15</v>
      </c>
      <c r="V1185" s="1">
        <v>4865.8</v>
      </c>
      <c r="W1185" s="1">
        <v>15410.3</v>
      </c>
      <c r="X1185" s="1">
        <v>600.52</v>
      </c>
      <c r="Y1185" s="1">
        <v>600</v>
      </c>
      <c r="Z1185" s="1">
        <v>181105</v>
      </c>
      <c r="AA1185" s="1">
        <v>36.14</v>
      </c>
      <c r="AB1185" s="1">
        <v>2000</v>
      </c>
    </row>
    <row r="1186" spans="1:28" x14ac:dyDescent="0.4">
      <c r="A1186" s="1" t="s">
        <v>59</v>
      </c>
      <c r="B1186" s="1">
        <v>2000</v>
      </c>
      <c r="C1186" s="1">
        <v>0.4</v>
      </c>
      <c r="D1186" s="1">
        <v>0.5</v>
      </c>
      <c r="E1186" s="1">
        <v>1000</v>
      </c>
      <c r="F1186" s="1">
        <v>3</v>
      </c>
      <c r="G1186" s="1">
        <v>5</v>
      </c>
      <c r="H1186" s="1" t="s">
        <v>592</v>
      </c>
      <c r="I1186" s="1">
        <v>280909.3</v>
      </c>
      <c r="J1186" s="1">
        <v>115396.7</v>
      </c>
      <c r="K1186" s="1">
        <v>165512.6</v>
      </c>
      <c r="L1186" s="1">
        <v>600</v>
      </c>
      <c r="M1186" s="1">
        <v>600.89</v>
      </c>
      <c r="N1186" s="1">
        <v>68511.100000000006</v>
      </c>
      <c r="O1186" s="1">
        <v>98005.6</v>
      </c>
      <c r="P1186" s="1">
        <v>166516.70000000001</v>
      </c>
      <c r="Q1186" s="1">
        <v>10546.4</v>
      </c>
      <c r="R1186" s="1">
        <v>4774.2</v>
      </c>
      <c r="S1186" s="1">
        <v>15320.6</v>
      </c>
      <c r="T1186" s="1">
        <v>35.270000000000003</v>
      </c>
      <c r="U1186" s="1">
        <v>0.2</v>
      </c>
      <c r="V1186" s="1">
        <v>4774.2</v>
      </c>
      <c r="W1186" s="1">
        <v>15320.6</v>
      </c>
      <c r="X1186" s="1">
        <v>601.09</v>
      </c>
      <c r="Y1186" s="1">
        <v>600</v>
      </c>
      <c r="Z1186" s="1">
        <v>181837.3</v>
      </c>
      <c r="AA1186" s="1">
        <v>35.270000000000003</v>
      </c>
      <c r="AB1186" s="1">
        <v>2000</v>
      </c>
    </row>
    <row r="1187" spans="1:28" x14ac:dyDescent="0.4">
      <c r="A1187" s="1" t="s">
        <v>347</v>
      </c>
      <c r="B1187" s="1">
        <v>2000</v>
      </c>
      <c r="C1187" s="1">
        <v>0.4</v>
      </c>
      <c r="D1187" s="1">
        <v>0.5</v>
      </c>
      <c r="E1187" s="1">
        <v>2000</v>
      </c>
      <c r="F1187" s="1">
        <v>1</v>
      </c>
      <c r="G1187" s="1">
        <v>1</v>
      </c>
      <c r="H1187" s="1" t="s">
        <v>592</v>
      </c>
      <c r="I1187" s="1">
        <v>295726.09999999998</v>
      </c>
      <c r="J1187" s="1">
        <v>118267.4</v>
      </c>
      <c r="K1187" s="1">
        <v>177458.7</v>
      </c>
      <c r="L1187" s="1">
        <v>600</v>
      </c>
      <c r="M1187" s="1">
        <v>601.03</v>
      </c>
      <c r="N1187" s="1">
        <v>67082</v>
      </c>
      <c r="O1187" s="1">
        <v>100391.2</v>
      </c>
      <c r="P1187" s="1">
        <v>167473.20000000001</v>
      </c>
      <c r="Q1187" s="1">
        <v>12859.7</v>
      </c>
      <c r="R1187" s="1">
        <v>7246.3</v>
      </c>
      <c r="S1187" s="1">
        <v>20106</v>
      </c>
      <c r="T1187" s="1">
        <v>36.57</v>
      </c>
      <c r="U1187" s="1">
        <v>0.16</v>
      </c>
      <c r="V1187" s="1">
        <v>7246.3</v>
      </c>
      <c r="W1187" s="1">
        <v>20106</v>
      </c>
      <c r="X1187" s="1">
        <v>601.19000000000005</v>
      </c>
      <c r="Y1187" s="1">
        <v>600</v>
      </c>
      <c r="Z1187" s="1">
        <v>187579.2</v>
      </c>
      <c r="AA1187" s="1">
        <v>36.57</v>
      </c>
      <c r="AB1187" s="1">
        <v>2000</v>
      </c>
    </row>
    <row r="1188" spans="1:28" x14ac:dyDescent="0.4">
      <c r="A1188" s="1" t="s">
        <v>348</v>
      </c>
      <c r="B1188" s="1">
        <v>2000</v>
      </c>
      <c r="C1188" s="1">
        <v>0.4</v>
      </c>
      <c r="D1188" s="1">
        <v>0.5</v>
      </c>
      <c r="E1188" s="1">
        <v>2000</v>
      </c>
      <c r="F1188" s="1">
        <v>1</v>
      </c>
      <c r="G1188" s="1">
        <v>2</v>
      </c>
      <c r="H1188" s="1" t="s">
        <v>592</v>
      </c>
      <c r="I1188" s="1">
        <v>298600.8</v>
      </c>
      <c r="J1188" s="1">
        <v>119219.5</v>
      </c>
      <c r="K1188" s="1">
        <v>179381.3</v>
      </c>
      <c r="L1188" s="1">
        <v>600</v>
      </c>
      <c r="M1188" s="1">
        <v>600.67999999999995</v>
      </c>
      <c r="N1188" s="1">
        <v>69374.100000000006</v>
      </c>
      <c r="O1188" s="1">
        <v>101264.9</v>
      </c>
      <c r="P1188" s="1">
        <v>170639</v>
      </c>
      <c r="Q1188" s="1">
        <v>12751</v>
      </c>
      <c r="R1188" s="1">
        <v>6979.2</v>
      </c>
      <c r="S1188" s="1">
        <v>19730.2</v>
      </c>
      <c r="T1188" s="1">
        <v>36.25</v>
      </c>
      <c r="U1188" s="1">
        <v>0.2</v>
      </c>
      <c r="V1188" s="1">
        <v>6979.2</v>
      </c>
      <c r="W1188" s="1">
        <v>19730.2</v>
      </c>
      <c r="X1188" s="1">
        <v>600.88</v>
      </c>
      <c r="Y1188" s="1">
        <v>599</v>
      </c>
      <c r="Z1188" s="1">
        <v>190369.2</v>
      </c>
      <c r="AA1188" s="1">
        <v>36.25</v>
      </c>
      <c r="AB1188" s="1">
        <v>2000</v>
      </c>
    </row>
    <row r="1189" spans="1:28" x14ac:dyDescent="0.4">
      <c r="A1189" s="1" t="s">
        <v>349</v>
      </c>
      <c r="B1189" s="1">
        <v>2000</v>
      </c>
      <c r="C1189" s="1">
        <v>0.4</v>
      </c>
      <c r="D1189" s="1">
        <v>0.5</v>
      </c>
      <c r="E1189" s="1">
        <v>2000</v>
      </c>
      <c r="F1189" s="1">
        <v>1</v>
      </c>
      <c r="G1189" s="1">
        <v>3</v>
      </c>
      <c r="H1189" s="1" t="s">
        <v>592</v>
      </c>
      <c r="I1189" s="1">
        <v>292993.3</v>
      </c>
      <c r="J1189" s="1">
        <v>117695.9</v>
      </c>
      <c r="K1189" s="1">
        <v>175297.4</v>
      </c>
      <c r="L1189" s="1">
        <v>600</v>
      </c>
      <c r="M1189" s="1">
        <v>600</v>
      </c>
      <c r="N1189" s="1">
        <v>69111.899999999994</v>
      </c>
      <c r="O1189" s="1">
        <v>100370.7</v>
      </c>
      <c r="P1189" s="1">
        <v>169482.6</v>
      </c>
      <c r="Q1189" s="1">
        <v>12783.9</v>
      </c>
      <c r="R1189" s="1">
        <v>7052.6</v>
      </c>
      <c r="S1189" s="1">
        <v>19836.5</v>
      </c>
      <c r="T1189" s="1">
        <v>35.380000000000003</v>
      </c>
      <c r="U1189" s="1">
        <v>0.15</v>
      </c>
      <c r="V1189" s="1">
        <v>7037</v>
      </c>
      <c r="W1189" s="1">
        <v>19820.900000000001</v>
      </c>
      <c r="X1189" s="1">
        <v>600.16</v>
      </c>
      <c r="Y1189" s="1">
        <v>600</v>
      </c>
      <c r="Z1189" s="1">
        <v>189303.5</v>
      </c>
      <c r="AA1189" s="1">
        <v>35.39</v>
      </c>
      <c r="AB1189" s="1">
        <v>2000</v>
      </c>
    </row>
    <row r="1190" spans="1:28" x14ac:dyDescent="0.4">
      <c r="A1190" s="1" t="s">
        <v>350</v>
      </c>
      <c r="B1190" s="1">
        <v>2000</v>
      </c>
      <c r="C1190" s="1">
        <v>0.4</v>
      </c>
      <c r="D1190" s="1">
        <v>0.5</v>
      </c>
      <c r="E1190" s="1">
        <v>2000</v>
      </c>
      <c r="F1190" s="1">
        <v>1</v>
      </c>
      <c r="G1190" s="1">
        <v>4</v>
      </c>
      <c r="H1190" s="1" t="s">
        <v>592</v>
      </c>
      <c r="I1190" s="1">
        <v>301400.5</v>
      </c>
      <c r="J1190" s="1">
        <v>122960.4</v>
      </c>
      <c r="K1190" s="1">
        <v>178440.1</v>
      </c>
      <c r="L1190" s="1">
        <v>600</v>
      </c>
      <c r="M1190" s="1">
        <v>600.86</v>
      </c>
      <c r="N1190" s="1">
        <v>69391.199999999997</v>
      </c>
      <c r="O1190" s="1">
        <v>97919.4</v>
      </c>
      <c r="P1190" s="1">
        <v>167310.6</v>
      </c>
      <c r="Q1190" s="1">
        <v>13137.7</v>
      </c>
      <c r="R1190" s="1">
        <v>7129.8</v>
      </c>
      <c r="S1190" s="1">
        <v>20267.5</v>
      </c>
      <c r="T1190" s="1">
        <v>37.76</v>
      </c>
      <c r="U1190" s="1">
        <v>0.15</v>
      </c>
      <c r="V1190" s="1">
        <v>7123.4</v>
      </c>
      <c r="W1190" s="1">
        <v>20261.099999999999</v>
      </c>
      <c r="X1190" s="1">
        <v>601.01</v>
      </c>
      <c r="Y1190" s="1">
        <v>600</v>
      </c>
      <c r="Z1190" s="1">
        <v>187571.7</v>
      </c>
      <c r="AA1190" s="1">
        <v>37.770000000000003</v>
      </c>
      <c r="AB1190" s="1">
        <v>2000</v>
      </c>
    </row>
    <row r="1191" spans="1:28" x14ac:dyDescent="0.4">
      <c r="A1191" s="1" t="s">
        <v>351</v>
      </c>
      <c r="B1191" s="1">
        <v>2000</v>
      </c>
      <c r="C1191" s="1">
        <v>0.4</v>
      </c>
      <c r="D1191" s="1">
        <v>0.5</v>
      </c>
      <c r="E1191" s="1">
        <v>2000</v>
      </c>
      <c r="F1191" s="1">
        <v>1</v>
      </c>
      <c r="G1191" s="1">
        <v>5</v>
      </c>
      <c r="H1191" s="1" t="s">
        <v>592</v>
      </c>
      <c r="I1191" s="1">
        <v>299455.59999999998</v>
      </c>
      <c r="J1191" s="1">
        <v>121744.5</v>
      </c>
      <c r="K1191" s="1">
        <v>177711.1</v>
      </c>
      <c r="L1191" s="1">
        <v>600</v>
      </c>
      <c r="M1191" s="1">
        <v>600.6</v>
      </c>
      <c r="N1191" s="1">
        <v>68878.600000000006</v>
      </c>
      <c r="O1191" s="1">
        <v>100169.4</v>
      </c>
      <c r="P1191" s="1">
        <v>169048</v>
      </c>
      <c r="Q1191" s="1">
        <v>12853.6</v>
      </c>
      <c r="R1191" s="1">
        <v>7205.2</v>
      </c>
      <c r="S1191" s="1">
        <v>20058.8</v>
      </c>
      <c r="T1191" s="1">
        <v>36.85</v>
      </c>
      <c r="U1191" s="1">
        <v>0.16</v>
      </c>
      <c r="V1191" s="1">
        <v>7205.2</v>
      </c>
      <c r="W1191" s="1">
        <v>20058.8</v>
      </c>
      <c r="X1191" s="1">
        <v>600.76</v>
      </c>
      <c r="Y1191" s="1">
        <v>600</v>
      </c>
      <c r="Z1191" s="1">
        <v>189106.8</v>
      </c>
      <c r="AA1191" s="1">
        <v>36.85</v>
      </c>
      <c r="AB1191" s="1">
        <v>2000</v>
      </c>
    </row>
    <row r="1192" spans="1:28" x14ac:dyDescent="0.4">
      <c r="A1192" s="1" t="s">
        <v>352</v>
      </c>
      <c r="B1192" s="1">
        <v>2000</v>
      </c>
      <c r="C1192" s="1">
        <v>0.4</v>
      </c>
      <c r="D1192" s="1">
        <v>0.5</v>
      </c>
      <c r="E1192" s="1">
        <v>2000</v>
      </c>
      <c r="F1192" s="1">
        <v>2</v>
      </c>
      <c r="G1192" s="1">
        <v>1</v>
      </c>
      <c r="H1192" s="1" t="s">
        <v>592</v>
      </c>
      <c r="I1192" s="1">
        <v>447962.7</v>
      </c>
      <c r="J1192" s="1">
        <v>187483.7</v>
      </c>
      <c r="K1192" s="1">
        <v>260479</v>
      </c>
      <c r="L1192" s="1">
        <v>600</v>
      </c>
      <c r="M1192" s="1">
        <v>600.28</v>
      </c>
      <c r="N1192" s="1">
        <v>113526.6</v>
      </c>
      <c r="O1192" s="1">
        <v>153938.70000000001</v>
      </c>
      <c r="P1192" s="1">
        <v>267465.3</v>
      </c>
      <c r="Q1192" s="1">
        <v>11949.8</v>
      </c>
      <c r="R1192" s="1">
        <v>5653.3</v>
      </c>
      <c r="S1192" s="1">
        <v>17603.099999999999</v>
      </c>
      <c r="T1192" s="1">
        <v>36.36</v>
      </c>
      <c r="U1192" s="1">
        <v>0.25</v>
      </c>
      <c r="V1192" s="1">
        <v>5653.3</v>
      </c>
      <c r="W1192" s="1">
        <v>17603.099999999999</v>
      </c>
      <c r="X1192" s="1">
        <v>600.52</v>
      </c>
      <c r="Y1192" s="1">
        <v>600</v>
      </c>
      <c r="Z1192" s="1">
        <v>285068.40000000002</v>
      </c>
      <c r="AA1192" s="1">
        <v>36.36</v>
      </c>
      <c r="AB1192" s="1">
        <v>2000</v>
      </c>
    </row>
    <row r="1193" spans="1:28" x14ac:dyDescent="0.4">
      <c r="A1193" s="1" t="s">
        <v>353</v>
      </c>
      <c r="B1193" s="1">
        <v>2000</v>
      </c>
      <c r="C1193" s="1">
        <v>0.4</v>
      </c>
      <c r="D1193" s="1">
        <v>0.5</v>
      </c>
      <c r="E1193" s="1">
        <v>2000</v>
      </c>
      <c r="F1193" s="1">
        <v>2</v>
      </c>
      <c r="G1193" s="1">
        <v>2</v>
      </c>
      <c r="H1193" s="1" t="s">
        <v>592</v>
      </c>
      <c r="I1193" s="1">
        <v>453956.8</v>
      </c>
      <c r="J1193" s="1">
        <v>177453.1</v>
      </c>
      <c r="K1193" s="1">
        <v>276503.7</v>
      </c>
      <c r="L1193" s="1">
        <v>600</v>
      </c>
      <c r="M1193" s="1">
        <v>601.16999999999996</v>
      </c>
      <c r="N1193" s="1">
        <v>107194.6</v>
      </c>
      <c r="O1193" s="1">
        <v>162411.5</v>
      </c>
      <c r="P1193" s="1">
        <v>269606.09999999998</v>
      </c>
      <c r="Q1193" s="1">
        <v>11758.7</v>
      </c>
      <c r="R1193" s="1">
        <v>5654.7</v>
      </c>
      <c r="S1193" s="1">
        <v>17413.400000000001</v>
      </c>
      <c r="T1193" s="1">
        <v>36.770000000000003</v>
      </c>
      <c r="U1193" s="1">
        <v>0.26</v>
      </c>
      <c r="V1193" s="1">
        <v>5654.7</v>
      </c>
      <c r="W1193" s="1">
        <v>17413.400000000001</v>
      </c>
      <c r="X1193" s="1">
        <v>601.42999999999995</v>
      </c>
      <c r="Y1193" s="1">
        <v>600</v>
      </c>
      <c r="Z1193" s="1">
        <v>287019.5</v>
      </c>
      <c r="AA1193" s="1">
        <v>36.770000000000003</v>
      </c>
      <c r="AB1193" s="1">
        <v>2000</v>
      </c>
    </row>
    <row r="1194" spans="1:28" x14ac:dyDescent="0.4">
      <c r="A1194" s="1" t="s">
        <v>354</v>
      </c>
      <c r="B1194" s="1">
        <v>2000</v>
      </c>
      <c r="C1194" s="1">
        <v>0.4</v>
      </c>
      <c r="D1194" s="1">
        <v>0.5</v>
      </c>
      <c r="E1194" s="1">
        <v>2000</v>
      </c>
      <c r="F1194" s="1">
        <v>2</v>
      </c>
      <c r="G1194" s="1">
        <v>3</v>
      </c>
      <c r="H1194" s="1" t="s">
        <v>592</v>
      </c>
      <c r="I1194" s="1">
        <v>446076.3</v>
      </c>
      <c r="J1194" s="1">
        <v>172106.3</v>
      </c>
      <c r="K1194" s="1">
        <v>273970</v>
      </c>
      <c r="L1194" s="1">
        <v>600</v>
      </c>
      <c r="M1194" s="1">
        <v>600.32000000000005</v>
      </c>
      <c r="N1194" s="1">
        <v>103172.5</v>
      </c>
      <c r="O1194" s="1">
        <v>159044.4</v>
      </c>
      <c r="P1194" s="1">
        <v>262216.90000000002</v>
      </c>
      <c r="Q1194" s="1">
        <v>11798.9</v>
      </c>
      <c r="R1194" s="1">
        <v>6000.1</v>
      </c>
      <c r="S1194" s="1">
        <v>17799</v>
      </c>
      <c r="T1194" s="1">
        <v>37.229999999999997</v>
      </c>
      <c r="U1194" s="1">
        <v>0.27</v>
      </c>
      <c r="V1194" s="1">
        <v>6000.1</v>
      </c>
      <c r="W1194" s="1">
        <v>17799</v>
      </c>
      <c r="X1194" s="1">
        <v>600.59</v>
      </c>
      <c r="Y1194" s="1">
        <v>600</v>
      </c>
      <c r="Z1194" s="1">
        <v>280015.90000000002</v>
      </c>
      <c r="AA1194" s="1">
        <v>37.229999999999997</v>
      </c>
      <c r="AB1194" s="1">
        <v>2000</v>
      </c>
    </row>
    <row r="1195" spans="1:28" x14ac:dyDescent="0.4">
      <c r="A1195" s="1" t="s">
        <v>355</v>
      </c>
      <c r="B1195" s="1">
        <v>2000</v>
      </c>
      <c r="C1195" s="1">
        <v>0.4</v>
      </c>
      <c r="D1195" s="1">
        <v>0.5</v>
      </c>
      <c r="E1195" s="1">
        <v>2000</v>
      </c>
      <c r="F1195" s="1">
        <v>2</v>
      </c>
      <c r="G1195" s="1">
        <v>4</v>
      </c>
      <c r="H1195" s="1" t="s">
        <v>592</v>
      </c>
      <c r="I1195" s="1">
        <v>439522.5</v>
      </c>
      <c r="J1195" s="1">
        <v>174035.5</v>
      </c>
      <c r="K1195" s="1">
        <v>265487</v>
      </c>
      <c r="L1195" s="1">
        <v>600</v>
      </c>
      <c r="M1195" s="1">
        <v>601.16999999999996</v>
      </c>
      <c r="N1195" s="1">
        <v>103777</v>
      </c>
      <c r="O1195" s="1">
        <v>154150.39999999999</v>
      </c>
      <c r="P1195" s="1">
        <v>257927.4</v>
      </c>
      <c r="Q1195" s="1">
        <v>11406.3</v>
      </c>
      <c r="R1195" s="1">
        <v>5656.8</v>
      </c>
      <c r="S1195" s="1">
        <v>17063.099999999999</v>
      </c>
      <c r="T1195" s="1">
        <v>37.43</v>
      </c>
      <c r="U1195" s="1">
        <v>0.24</v>
      </c>
      <c r="V1195" s="1">
        <v>5656.8</v>
      </c>
      <c r="W1195" s="1">
        <v>17063.099999999999</v>
      </c>
      <c r="X1195" s="1">
        <v>601.41</v>
      </c>
      <c r="Y1195" s="1">
        <v>600</v>
      </c>
      <c r="Z1195" s="1">
        <v>274990.5</v>
      </c>
      <c r="AA1195" s="1">
        <v>37.43</v>
      </c>
      <c r="AB1195" s="1">
        <v>2000</v>
      </c>
    </row>
    <row r="1196" spans="1:28" x14ac:dyDescent="0.4">
      <c r="A1196" s="1" t="s">
        <v>356</v>
      </c>
      <c r="B1196" s="1">
        <v>2000</v>
      </c>
      <c r="C1196" s="1">
        <v>0.4</v>
      </c>
      <c r="D1196" s="1">
        <v>0.5</v>
      </c>
      <c r="E1196" s="1">
        <v>2000</v>
      </c>
      <c r="F1196" s="1">
        <v>2</v>
      </c>
      <c r="G1196" s="1">
        <v>5</v>
      </c>
      <c r="H1196" s="1" t="s">
        <v>592</v>
      </c>
      <c r="I1196" s="1">
        <v>445828</v>
      </c>
      <c r="J1196" s="1">
        <v>180145.2</v>
      </c>
      <c r="K1196" s="1">
        <v>265682.8</v>
      </c>
      <c r="L1196" s="1">
        <v>600</v>
      </c>
      <c r="M1196" s="1">
        <v>600.22</v>
      </c>
      <c r="N1196" s="1">
        <v>104078</v>
      </c>
      <c r="O1196" s="1">
        <v>153884.6</v>
      </c>
      <c r="P1196" s="1">
        <v>257962.6</v>
      </c>
      <c r="Q1196" s="1">
        <v>12113.2</v>
      </c>
      <c r="R1196" s="1">
        <v>6215.3</v>
      </c>
      <c r="S1196" s="1">
        <v>18328.5</v>
      </c>
      <c r="T1196" s="1">
        <v>38.03</v>
      </c>
      <c r="U1196" s="1">
        <v>0.24</v>
      </c>
      <c r="V1196" s="1">
        <v>6215.3</v>
      </c>
      <c r="W1196" s="1">
        <v>18328.5</v>
      </c>
      <c r="X1196" s="1">
        <v>600.46</v>
      </c>
      <c r="Y1196" s="1">
        <v>600</v>
      </c>
      <c r="Z1196" s="1">
        <v>276291.09999999998</v>
      </c>
      <c r="AA1196" s="1">
        <v>38.03</v>
      </c>
      <c r="AB1196" s="1">
        <v>2000</v>
      </c>
    </row>
    <row r="1197" spans="1:28" x14ac:dyDescent="0.4">
      <c r="A1197" s="1" t="s">
        <v>357</v>
      </c>
      <c r="B1197" s="1">
        <v>2000</v>
      </c>
      <c r="C1197" s="1">
        <v>0.4</v>
      </c>
      <c r="D1197" s="1">
        <v>0.5</v>
      </c>
      <c r="E1197" s="1">
        <v>2000</v>
      </c>
      <c r="F1197" s="1">
        <v>3</v>
      </c>
      <c r="G1197" s="1">
        <v>1</v>
      </c>
      <c r="H1197" s="1" t="s">
        <v>592</v>
      </c>
      <c r="I1197" s="1">
        <v>562335.69999999995</v>
      </c>
      <c r="J1197" s="1">
        <v>220931.3</v>
      </c>
      <c r="K1197" s="1">
        <v>341404.4</v>
      </c>
      <c r="L1197" s="1">
        <v>600</v>
      </c>
      <c r="M1197" s="1">
        <v>600.01</v>
      </c>
      <c r="N1197" s="1">
        <v>135686.6</v>
      </c>
      <c r="O1197" s="1">
        <v>206344.2</v>
      </c>
      <c r="P1197" s="1">
        <v>342030.8</v>
      </c>
      <c r="Q1197" s="1">
        <v>11818.1</v>
      </c>
      <c r="R1197" s="1">
        <v>4991.8999999999996</v>
      </c>
      <c r="S1197" s="1">
        <v>16810</v>
      </c>
      <c r="T1197" s="1">
        <v>36.19</v>
      </c>
      <c r="U1197" s="1">
        <v>0.28000000000000003</v>
      </c>
      <c r="V1197" s="1">
        <v>4989.2</v>
      </c>
      <c r="W1197" s="1">
        <v>16807.3</v>
      </c>
      <c r="X1197" s="1">
        <v>600.29999999999995</v>
      </c>
      <c r="Y1197" s="1">
        <v>600</v>
      </c>
      <c r="Z1197" s="1">
        <v>358838.1</v>
      </c>
      <c r="AA1197" s="1">
        <v>36.19</v>
      </c>
      <c r="AB1197" s="1">
        <v>2000</v>
      </c>
    </row>
    <row r="1198" spans="1:28" x14ac:dyDescent="0.4">
      <c r="A1198" s="1" t="s">
        <v>358</v>
      </c>
      <c r="B1198" s="1">
        <v>2000</v>
      </c>
      <c r="C1198" s="1">
        <v>0.4</v>
      </c>
      <c r="D1198" s="1">
        <v>0.5</v>
      </c>
      <c r="E1198" s="1">
        <v>2000</v>
      </c>
      <c r="F1198" s="1">
        <v>3</v>
      </c>
      <c r="G1198" s="1">
        <v>2</v>
      </c>
      <c r="H1198" s="1" t="s">
        <v>592</v>
      </c>
      <c r="I1198" s="1">
        <v>564231</v>
      </c>
      <c r="J1198" s="1">
        <v>222582</v>
      </c>
      <c r="K1198" s="1">
        <v>341649</v>
      </c>
      <c r="L1198" s="1">
        <v>600</v>
      </c>
      <c r="M1198" s="1">
        <v>600.6</v>
      </c>
      <c r="N1198" s="1">
        <v>136299.5</v>
      </c>
      <c r="O1198" s="1">
        <v>205675.1</v>
      </c>
      <c r="P1198" s="1">
        <v>341974.6</v>
      </c>
      <c r="Q1198" s="1">
        <v>11500.6</v>
      </c>
      <c r="R1198" s="1">
        <v>5090.2</v>
      </c>
      <c r="S1198" s="1">
        <v>16590.8</v>
      </c>
      <c r="T1198" s="1">
        <v>36.450000000000003</v>
      </c>
      <c r="U1198" s="1">
        <v>0.28999999999999998</v>
      </c>
      <c r="V1198" s="1">
        <v>5090.2</v>
      </c>
      <c r="W1198" s="1">
        <v>16590.8</v>
      </c>
      <c r="X1198" s="1">
        <v>600.89</v>
      </c>
      <c r="Y1198" s="1">
        <v>600</v>
      </c>
      <c r="Z1198" s="1">
        <v>358565.4</v>
      </c>
      <c r="AA1198" s="1">
        <v>36.450000000000003</v>
      </c>
      <c r="AB1198" s="1">
        <v>2000</v>
      </c>
    </row>
    <row r="1199" spans="1:28" x14ac:dyDescent="0.4">
      <c r="A1199" s="1" t="s">
        <v>359</v>
      </c>
      <c r="B1199" s="1">
        <v>2000</v>
      </c>
      <c r="C1199" s="1">
        <v>0.4</v>
      </c>
      <c r="D1199" s="1">
        <v>0.5</v>
      </c>
      <c r="E1199" s="1">
        <v>2000</v>
      </c>
      <c r="F1199" s="1">
        <v>3</v>
      </c>
      <c r="G1199" s="1">
        <v>3</v>
      </c>
      <c r="H1199" s="1" t="s">
        <v>592</v>
      </c>
      <c r="I1199" s="1">
        <v>568389.69999999995</v>
      </c>
      <c r="J1199" s="1">
        <v>224541</v>
      </c>
      <c r="K1199" s="1">
        <v>343848.7</v>
      </c>
      <c r="L1199" s="1">
        <v>600</v>
      </c>
      <c r="M1199" s="1">
        <v>600.32000000000005</v>
      </c>
      <c r="N1199" s="1">
        <v>136467.1</v>
      </c>
      <c r="O1199" s="1">
        <v>207153.1</v>
      </c>
      <c r="P1199" s="1">
        <v>343620.2</v>
      </c>
      <c r="Q1199" s="1">
        <v>11438.5</v>
      </c>
      <c r="R1199" s="1">
        <v>4977.5</v>
      </c>
      <c r="S1199" s="1">
        <v>16416</v>
      </c>
      <c r="T1199" s="1">
        <v>36.659999999999997</v>
      </c>
      <c r="U1199" s="1">
        <v>0.25</v>
      </c>
      <c r="V1199" s="1">
        <v>4977.5</v>
      </c>
      <c r="W1199" s="1">
        <v>16416</v>
      </c>
      <c r="X1199" s="1">
        <v>600.57000000000005</v>
      </c>
      <c r="Y1199" s="1">
        <v>600</v>
      </c>
      <c r="Z1199" s="1">
        <v>360036.2</v>
      </c>
      <c r="AA1199" s="1">
        <v>36.659999999999997</v>
      </c>
      <c r="AB1199" s="1">
        <v>2000</v>
      </c>
    </row>
    <row r="1200" spans="1:28" x14ac:dyDescent="0.4">
      <c r="A1200" s="1" t="s">
        <v>360</v>
      </c>
      <c r="B1200" s="1">
        <v>2000</v>
      </c>
      <c r="C1200" s="1">
        <v>0.4</v>
      </c>
      <c r="D1200" s="1">
        <v>0.5</v>
      </c>
      <c r="E1200" s="1">
        <v>2000</v>
      </c>
      <c r="F1200" s="1">
        <v>3</v>
      </c>
      <c r="G1200" s="1">
        <v>4</v>
      </c>
      <c r="H1200" s="1" t="s">
        <v>592</v>
      </c>
      <c r="I1200" s="1">
        <v>568260.4</v>
      </c>
      <c r="J1200" s="1">
        <v>228002</v>
      </c>
      <c r="K1200" s="1">
        <v>340258.4</v>
      </c>
      <c r="L1200" s="1">
        <v>600</v>
      </c>
      <c r="M1200" s="1">
        <v>600.04</v>
      </c>
      <c r="N1200" s="1">
        <v>141978.29999999999</v>
      </c>
      <c r="O1200" s="1">
        <v>209464.7</v>
      </c>
      <c r="P1200" s="1">
        <v>351443</v>
      </c>
      <c r="Q1200" s="1">
        <v>11499.7</v>
      </c>
      <c r="R1200" s="1">
        <v>5347.3</v>
      </c>
      <c r="S1200" s="1">
        <v>16847</v>
      </c>
      <c r="T1200" s="1">
        <v>35.19</v>
      </c>
      <c r="U1200" s="1">
        <v>0.24</v>
      </c>
      <c r="V1200" s="1">
        <v>5347.3</v>
      </c>
      <c r="W1200" s="1">
        <v>16847</v>
      </c>
      <c r="X1200" s="1">
        <v>600.28</v>
      </c>
      <c r="Y1200" s="1">
        <v>600</v>
      </c>
      <c r="Z1200" s="1">
        <v>368290</v>
      </c>
      <c r="AA1200" s="1">
        <v>35.19</v>
      </c>
      <c r="AB1200" s="1">
        <v>2000</v>
      </c>
    </row>
    <row r="1201" spans="1:28" x14ac:dyDescent="0.4">
      <c r="A1201" s="1" t="s">
        <v>361</v>
      </c>
      <c r="B1201" s="1">
        <v>2000</v>
      </c>
      <c r="C1201" s="1">
        <v>0.4</v>
      </c>
      <c r="D1201" s="1">
        <v>0.5</v>
      </c>
      <c r="E1201" s="1">
        <v>2000</v>
      </c>
      <c r="F1201" s="1">
        <v>3</v>
      </c>
      <c r="G1201" s="1">
        <v>5</v>
      </c>
      <c r="H1201" s="1" t="s">
        <v>592</v>
      </c>
      <c r="I1201" s="1">
        <v>567033.1</v>
      </c>
      <c r="J1201" s="1">
        <v>227548.79999999999</v>
      </c>
      <c r="K1201" s="1">
        <v>339484.3</v>
      </c>
      <c r="L1201" s="1">
        <v>600</v>
      </c>
      <c r="M1201" s="1">
        <v>600.92999999999995</v>
      </c>
      <c r="N1201" s="1">
        <v>138482.70000000001</v>
      </c>
      <c r="O1201" s="1">
        <v>208075.1</v>
      </c>
      <c r="P1201" s="1">
        <v>346557.8</v>
      </c>
      <c r="Q1201" s="1">
        <v>11712.8</v>
      </c>
      <c r="R1201" s="1">
        <v>4990.7</v>
      </c>
      <c r="S1201" s="1">
        <v>16703.5</v>
      </c>
      <c r="T1201" s="1">
        <v>35.94</v>
      </c>
      <c r="U1201" s="1">
        <v>0.18</v>
      </c>
      <c r="V1201" s="1">
        <v>4990.7</v>
      </c>
      <c r="W1201" s="1">
        <v>16703.5</v>
      </c>
      <c r="X1201" s="1">
        <v>601.11</v>
      </c>
      <c r="Y1201" s="1">
        <v>600</v>
      </c>
      <c r="Z1201" s="1">
        <v>363261.3</v>
      </c>
      <c r="AA1201" s="1">
        <v>35.94</v>
      </c>
      <c r="AB1201" s="1">
        <v>2000</v>
      </c>
    </row>
    <row r="1202" spans="1:28" x14ac:dyDescent="0.4">
      <c r="A1202" s="1" t="s">
        <v>362</v>
      </c>
      <c r="B1202" s="1">
        <v>2000</v>
      </c>
      <c r="C1202" s="1">
        <v>0.4</v>
      </c>
      <c r="D1202" s="1">
        <v>0.5</v>
      </c>
      <c r="E1202" s="1">
        <v>500</v>
      </c>
      <c r="F1202" s="1">
        <v>1</v>
      </c>
      <c r="G1202" s="1">
        <v>1</v>
      </c>
      <c r="H1202" s="1" t="s">
        <v>592</v>
      </c>
      <c r="I1202" s="1">
        <v>72750.3</v>
      </c>
      <c r="J1202" s="1">
        <v>28783.5</v>
      </c>
      <c r="K1202" s="1">
        <v>43966.8</v>
      </c>
      <c r="L1202" s="1">
        <v>600</v>
      </c>
      <c r="M1202" s="1">
        <v>601.16</v>
      </c>
      <c r="N1202" s="1">
        <v>14697.5</v>
      </c>
      <c r="O1202" s="1">
        <v>22394</v>
      </c>
      <c r="P1202" s="1">
        <v>37091.5</v>
      </c>
      <c r="Q1202" s="1">
        <v>9071.5</v>
      </c>
      <c r="R1202" s="1">
        <v>3497</v>
      </c>
      <c r="S1202" s="1">
        <v>12568.5</v>
      </c>
      <c r="T1202" s="1">
        <v>31.74</v>
      </c>
      <c r="U1202" s="1">
        <v>0.21</v>
      </c>
      <c r="V1202" s="1">
        <v>3482.8</v>
      </c>
      <c r="W1202" s="1">
        <v>12554.3</v>
      </c>
      <c r="X1202" s="1">
        <v>601.38</v>
      </c>
      <c r="Y1202" s="1">
        <v>600</v>
      </c>
      <c r="Z1202" s="1">
        <v>49645.8</v>
      </c>
      <c r="AA1202" s="1">
        <v>31.76</v>
      </c>
      <c r="AB1202" s="1">
        <v>2000</v>
      </c>
    </row>
    <row r="1203" spans="1:28" x14ac:dyDescent="0.4">
      <c r="A1203" s="1" t="s">
        <v>363</v>
      </c>
      <c r="B1203" s="1">
        <v>2000</v>
      </c>
      <c r="C1203" s="1">
        <v>0.4</v>
      </c>
      <c r="D1203" s="1">
        <v>0.5</v>
      </c>
      <c r="E1203" s="1">
        <v>500</v>
      </c>
      <c r="F1203" s="1">
        <v>1</v>
      </c>
      <c r="G1203" s="1">
        <v>2</v>
      </c>
      <c r="H1203" s="1" t="s">
        <v>592</v>
      </c>
      <c r="I1203" s="1">
        <v>73605.100000000006</v>
      </c>
      <c r="J1203" s="1">
        <v>29630.9</v>
      </c>
      <c r="K1203" s="1">
        <v>43974.2</v>
      </c>
      <c r="L1203" s="1">
        <v>600</v>
      </c>
      <c r="M1203" s="1">
        <v>600.88</v>
      </c>
      <c r="N1203" s="1">
        <v>16597.400000000001</v>
      </c>
      <c r="O1203" s="1">
        <v>22314.1</v>
      </c>
      <c r="P1203" s="1">
        <v>38911.5</v>
      </c>
      <c r="Q1203" s="1">
        <v>9078.2000000000007</v>
      </c>
      <c r="R1203" s="1">
        <v>3336.8</v>
      </c>
      <c r="S1203" s="1">
        <v>12415</v>
      </c>
      <c r="T1203" s="1">
        <v>30.27</v>
      </c>
      <c r="U1203" s="1">
        <v>0.17</v>
      </c>
      <c r="V1203" s="1">
        <v>3336.8</v>
      </c>
      <c r="W1203" s="1">
        <v>12415</v>
      </c>
      <c r="X1203" s="1">
        <v>601.04999999999995</v>
      </c>
      <c r="Y1203" s="1">
        <v>600</v>
      </c>
      <c r="Z1203" s="1">
        <v>51326.5</v>
      </c>
      <c r="AA1203" s="1">
        <v>30.27</v>
      </c>
      <c r="AB1203" s="1">
        <v>2000</v>
      </c>
    </row>
    <row r="1204" spans="1:28" x14ac:dyDescent="0.4">
      <c r="A1204" s="1" t="s">
        <v>364</v>
      </c>
      <c r="B1204" s="1">
        <v>2000</v>
      </c>
      <c r="C1204" s="1">
        <v>0.4</v>
      </c>
      <c r="D1204" s="1">
        <v>0.5</v>
      </c>
      <c r="E1204" s="1">
        <v>500</v>
      </c>
      <c r="F1204" s="1">
        <v>1</v>
      </c>
      <c r="G1204" s="1">
        <v>3</v>
      </c>
      <c r="H1204" s="1" t="s">
        <v>592</v>
      </c>
      <c r="I1204" s="1">
        <v>76455.600000000006</v>
      </c>
      <c r="J1204" s="1">
        <v>31014.400000000001</v>
      </c>
      <c r="K1204" s="1">
        <v>45441.2</v>
      </c>
      <c r="L1204" s="1">
        <v>600</v>
      </c>
      <c r="M1204" s="1">
        <v>600.77</v>
      </c>
      <c r="N1204" s="1">
        <v>16578.5</v>
      </c>
      <c r="O1204" s="1">
        <v>22941.7</v>
      </c>
      <c r="P1204" s="1">
        <v>39520.199999999997</v>
      </c>
      <c r="Q1204" s="1">
        <v>9823.4</v>
      </c>
      <c r="R1204" s="1">
        <v>3682.1</v>
      </c>
      <c r="S1204" s="1">
        <v>13505.5</v>
      </c>
      <c r="T1204" s="1">
        <v>30.65</v>
      </c>
      <c r="U1204" s="1">
        <v>0.16</v>
      </c>
      <c r="V1204" s="1">
        <v>3679.3</v>
      </c>
      <c r="W1204" s="1">
        <v>13502.7</v>
      </c>
      <c r="X1204" s="1">
        <v>600.92999999999995</v>
      </c>
      <c r="Y1204" s="1">
        <v>599</v>
      </c>
      <c r="Z1204" s="1">
        <v>53022.9</v>
      </c>
      <c r="AA1204" s="1">
        <v>30.65</v>
      </c>
      <c r="AB1204" s="1">
        <v>2000</v>
      </c>
    </row>
    <row r="1205" spans="1:28" x14ac:dyDescent="0.4">
      <c r="A1205" s="1" t="s">
        <v>365</v>
      </c>
      <c r="B1205" s="1">
        <v>2000</v>
      </c>
      <c r="C1205" s="1">
        <v>0.4</v>
      </c>
      <c r="D1205" s="1">
        <v>0.5</v>
      </c>
      <c r="E1205" s="1">
        <v>500</v>
      </c>
      <c r="F1205" s="1">
        <v>1</v>
      </c>
      <c r="G1205" s="1">
        <v>4</v>
      </c>
      <c r="H1205" s="1" t="s">
        <v>592</v>
      </c>
      <c r="I1205" s="1">
        <v>73701.600000000006</v>
      </c>
      <c r="J1205" s="1">
        <v>29454.6</v>
      </c>
      <c r="K1205" s="1">
        <v>44247</v>
      </c>
      <c r="L1205" s="1">
        <v>600</v>
      </c>
      <c r="M1205" s="1">
        <v>600.09</v>
      </c>
      <c r="N1205" s="1">
        <v>16868.099999999999</v>
      </c>
      <c r="O1205" s="1">
        <v>23562.5</v>
      </c>
      <c r="P1205" s="1">
        <v>40430.6</v>
      </c>
      <c r="Q1205" s="1">
        <v>8363.1</v>
      </c>
      <c r="R1205" s="1">
        <v>3342.4</v>
      </c>
      <c r="S1205" s="1">
        <v>11705.5</v>
      </c>
      <c r="T1205" s="1">
        <v>29.26</v>
      </c>
      <c r="U1205" s="1">
        <v>0.14000000000000001</v>
      </c>
      <c r="V1205" s="1">
        <v>3321.2</v>
      </c>
      <c r="W1205" s="1">
        <v>11684.3</v>
      </c>
      <c r="X1205" s="1">
        <v>600.23</v>
      </c>
      <c r="Y1205" s="1">
        <v>600</v>
      </c>
      <c r="Z1205" s="1">
        <v>52114.9</v>
      </c>
      <c r="AA1205" s="1">
        <v>29.29</v>
      </c>
      <c r="AB1205" s="1">
        <v>2000</v>
      </c>
    </row>
    <row r="1206" spans="1:28" x14ac:dyDescent="0.4">
      <c r="A1206" s="1" t="s">
        <v>366</v>
      </c>
      <c r="B1206" s="1">
        <v>2000</v>
      </c>
      <c r="C1206" s="1">
        <v>0.4</v>
      </c>
      <c r="D1206" s="1">
        <v>0.5</v>
      </c>
      <c r="E1206" s="1">
        <v>500</v>
      </c>
      <c r="F1206" s="1">
        <v>1</v>
      </c>
      <c r="G1206" s="1">
        <v>5</v>
      </c>
      <c r="H1206" s="1" t="s">
        <v>592</v>
      </c>
      <c r="I1206" s="1">
        <v>76721.100000000006</v>
      </c>
      <c r="J1206" s="1">
        <v>28543.3</v>
      </c>
      <c r="K1206" s="1">
        <v>48177.8</v>
      </c>
      <c r="L1206" s="1">
        <v>600</v>
      </c>
      <c r="M1206" s="1">
        <v>600.91</v>
      </c>
      <c r="N1206" s="1">
        <v>16124.4</v>
      </c>
      <c r="O1206" s="1">
        <v>24293.7</v>
      </c>
      <c r="P1206" s="1">
        <v>40418.1</v>
      </c>
      <c r="Q1206" s="1">
        <v>9327.7999999999993</v>
      </c>
      <c r="R1206" s="1">
        <v>3598.3</v>
      </c>
      <c r="S1206" s="1">
        <v>12926.1</v>
      </c>
      <c r="T1206" s="1">
        <v>30.47</v>
      </c>
      <c r="U1206" s="1">
        <v>0.15</v>
      </c>
      <c r="V1206" s="1">
        <v>3585.5</v>
      </c>
      <c r="W1206" s="1">
        <v>12913.3</v>
      </c>
      <c r="X1206" s="1">
        <v>601.05999999999995</v>
      </c>
      <c r="Y1206" s="1">
        <v>600</v>
      </c>
      <c r="Z1206" s="1">
        <v>53331.4</v>
      </c>
      <c r="AA1206" s="1">
        <v>30.49</v>
      </c>
      <c r="AB1206" s="1">
        <v>2000</v>
      </c>
    </row>
    <row r="1207" spans="1:28" x14ac:dyDescent="0.4">
      <c r="A1207" s="1" t="s">
        <v>367</v>
      </c>
      <c r="B1207" s="1">
        <v>2000</v>
      </c>
      <c r="C1207" s="1">
        <v>0.4</v>
      </c>
      <c r="D1207" s="1">
        <v>0.5</v>
      </c>
      <c r="E1207" s="1">
        <v>500</v>
      </c>
      <c r="F1207" s="1">
        <v>2</v>
      </c>
      <c r="G1207" s="1">
        <v>1</v>
      </c>
      <c r="H1207" s="1" t="s">
        <v>592</v>
      </c>
      <c r="I1207" s="1">
        <v>111543.7</v>
      </c>
      <c r="J1207" s="1">
        <v>44482</v>
      </c>
      <c r="K1207" s="1">
        <v>67061.7</v>
      </c>
      <c r="L1207" s="1">
        <v>600</v>
      </c>
      <c r="M1207" s="1">
        <v>600.73</v>
      </c>
      <c r="N1207" s="1">
        <v>24691.3</v>
      </c>
      <c r="O1207" s="1">
        <v>36019.9</v>
      </c>
      <c r="P1207" s="1">
        <v>60711.199999999997</v>
      </c>
      <c r="Q1207" s="1">
        <v>9022.6</v>
      </c>
      <c r="R1207" s="1">
        <v>4011.3</v>
      </c>
      <c r="S1207" s="1">
        <v>13033.9</v>
      </c>
      <c r="T1207" s="1">
        <v>33.89</v>
      </c>
      <c r="U1207" s="1">
        <v>0.28000000000000003</v>
      </c>
      <c r="V1207" s="1">
        <v>4002.2</v>
      </c>
      <c r="W1207" s="1">
        <v>13024.8</v>
      </c>
      <c r="X1207" s="1">
        <v>601.01</v>
      </c>
      <c r="Y1207" s="1">
        <v>600</v>
      </c>
      <c r="Z1207" s="1">
        <v>73736</v>
      </c>
      <c r="AA1207" s="1">
        <v>33.89</v>
      </c>
      <c r="AB1207" s="1">
        <v>2000</v>
      </c>
    </row>
    <row r="1208" spans="1:28" x14ac:dyDescent="0.4">
      <c r="A1208" s="1" t="s">
        <v>368</v>
      </c>
      <c r="B1208" s="1">
        <v>2000</v>
      </c>
      <c r="C1208" s="1">
        <v>0.4</v>
      </c>
      <c r="D1208" s="1">
        <v>0.5</v>
      </c>
      <c r="E1208" s="1">
        <v>500</v>
      </c>
      <c r="F1208" s="1">
        <v>2</v>
      </c>
      <c r="G1208" s="1">
        <v>2</v>
      </c>
      <c r="H1208" s="1" t="s">
        <v>592</v>
      </c>
      <c r="I1208" s="1">
        <v>110422.6</v>
      </c>
      <c r="J1208" s="1">
        <v>43034.5</v>
      </c>
      <c r="K1208" s="1">
        <v>67388.100000000006</v>
      </c>
      <c r="L1208" s="1">
        <v>600</v>
      </c>
      <c r="M1208" s="1">
        <v>600</v>
      </c>
      <c r="N1208" s="1">
        <v>24723.1</v>
      </c>
      <c r="O1208" s="1">
        <v>35793.599999999999</v>
      </c>
      <c r="P1208" s="1">
        <v>60516.7</v>
      </c>
      <c r="Q1208" s="1">
        <v>8961.9</v>
      </c>
      <c r="R1208" s="1">
        <v>3718.7</v>
      </c>
      <c r="S1208" s="1">
        <v>12680.6</v>
      </c>
      <c r="T1208" s="1">
        <v>33.71</v>
      </c>
      <c r="U1208" s="1">
        <v>0.2</v>
      </c>
      <c r="V1208" s="1">
        <v>3718.7</v>
      </c>
      <c r="W1208" s="1">
        <v>12680.6</v>
      </c>
      <c r="X1208" s="1">
        <v>600.20000000000005</v>
      </c>
      <c r="Y1208" s="1">
        <v>600</v>
      </c>
      <c r="Z1208" s="1">
        <v>73197.3</v>
      </c>
      <c r="AA1208" s="1">
        <v>33.71</v>
      </c>
      <c r="AB1208" s="1">
        <v>2000</v>
      </c>
    </row>
    <row r="1209" spans="1:28" x14ac:dyDescent="0.4">
      <c r="A1209" s="1" t="s">
        <v>369</v>
      </c>
      <c r="B1209" s="1">
        <v>2000</v>
      </c>
      <c r="C1209" s="1">
        <v>0.4</v>
      </c>
      <c r="D1209" s="1">
        <v>0.5</v>
      </c>
      <c r="E1209" s="1">
        <v>500</v>
      </c>
      <c r="F1209" s="1">
        <v>2</v>
      </c>
      <c r="G1209" s="1">
        <v>3</v>
      </c>
      <c r="H1209" s="1" t="s">
        <v>592</v>
      </c>
      <c r="I1209" s="1">
        <v>112921.7</v>
      </c>
      <c r="J1209" s="1">
        <v>43531.7</v>
      </c>
      <c r="K1209" s="1">
        <v>69390</v>
      </c>
      <c r="L1209" s="1">
        <v>600</v>
      </c>
      <c r="M1209" s="1">
        <v>601.15</v>
      </c>
      <c r="N1209" s="1">
        <v>24378.2</v>
      </c>
      <c r="O1209" s="1">
        <v>36684.300000000003</v>
      </c>
      <c r="P1209" s="1">
        <v>61062.5</v>
      </c>
      <c r="Q1209" s="1">
        <v>8974.5</v>
      </c>
      <c r="R1209" s="1">
        <v>3875.3</v>
      </c>
      <c r="S1209" s="1">
        <v>12849.8</v>
      </c>
      <c r="T1209" s="1">
        <v>34.549999999999997</v>
      </c>
      <c r="U1209" s="1">
        <v>0.18</v>
      </c>
      <c r="V1209" s="1">
        <v>3864.3</v>
      </c>
      <c r="W1209" s="1">
        <v>12838.8</v>
      </c>
      <c r="X1209" s="1">
        <v>601.33000000000004</v>
      </c>
      <c r="Y1209" s="1">
        <v>600</v>
      </c>
      <c r="Z1209" s="1">
        <v>73901.3</v>
      </c>
      <c r="AA1209" s="1">
        <v>34.56</v>
      </c>
      <c r="AB1209" s="1">
        <v>2000</v>
      </c>
    </row>
    <row r="1210" spans="1:28" x14ac:dyDescent="0.4">
      <c r="A1210" s="1" t="s">
        <v>370</v>
      </c>
      <c r="B1210" s="1">
        <v>2000</v>
      </c>
      <c r="C1210" s="1">
        <v>0.4</v>
      </c>
      <c r="D1210" s="1">
        <v>0.5</v>
      </c>
      <c r="E1210" s="1">
        <v>500</v>
      </c>
      <c r="F1210" s="1">
        <v>2</v>
      </c>
      <c r="G1210" s="1">
        <v>4</v>
      </c>
      <c r="H1210" s="1" t="s">
        <v>592</v>
      </c>
      <c r="I1210" s="1">
        <v>114643.4</v>
      </c>
      <c r="J1210" s="1">
        <v>45320.5</v>
      </c>
      <c r="K1210" s="1">
        <v>69322.899999999994</v>
      </c>
      <c r="L1210" s="1">
        <v>600</v>
      </c>
      <c r="M1210" s="1">
        <v>600.32000000000005</v>
      </c>
      <c r="N1210" s="1">
        <v>26384.1</v>
      </c>
      <c r="O1210" s="1">
        <v>38143</v>
      </c>
      <c r="P1210" s="1">
        <v>64527.1</v>
      </c>
      <c r="Q1210" s="1">
        <v>8587.1</v>
      </c>
      <c r="R1210" s="1">
        <v>3704.9</v>
      </c>
      <c r="S1210" s="1">
        <v>12292</v>
      </c>
      <c r="T1210" s="1">
        <v>32.99</v>
      </c>
      <c r="U1210" s="1">
        <v>0.24</v>
      </c>
      <c r="V1210" s="1">
        <v>3703.5</v>
      </c>
      <c r="W1210" s="1">
        <v>12290.6</v>
      </c>
      <c r="X1210" s="1">
        <v>600.55999999999995</v>
      </c>
      <c r="Y1210" s="1">
        <v>600</v>
      </c>
      <c r="Z1210" s="1">
        <v>76817.7</v>
      </c>
      <c r="AA1210" s="1">
        <v>32.99</v>
      </c>
      <c r="AB1210" s="1">
        <v>2000</v>
      </c>
    </row>
    <row r="1211" spans="1:28" x14ac:dyDescent="0.4">
      <c r="A1211" s="1" t="s">
        <v>371</v>
      </c>
      <c r="B1211" s="1">
        <v>2000</v>
      </c>
      <c r="C1211" s="1">
        <v>0.4</v>
      </c>
      <c r="D1211" s="1">
        <v>0.5</v>
      </c>
      <c r="E1211" s="1">
        <v>500</v>
      </c>
      <c r="F1211" s="1">
        <v>2</v>
      </c>
      <c r="G1211" s="1">
        <v>5</v>
      </c>
      <c r="H1211" s="1" t="s">
        <v>592</v>
      </c>
      <c r="I1211" s="1">
        <v>115340.8</v>
      </c>
      <c r="J1211" s="1">
        <v>46197.7</v>
      </c>
      <c r="K1211" s="1">
        <v>69143.100000000006</v>
      </c>
      <c r="L1211" s="1">
        <v>600</v>
      </c>
      <c r="M1211" s="1">
        <v>601.01</v>
      </c>
      <c r="N1211" s="1">
        <v>26464.3</v>
      </c>
      <c r="O1211" s="1">
        <v>36417.1</v>
      </c>
      <c r="P1211" s="1">
        <v>62881.4</v>
      </c>
      <c r="Q1211" s="1">
        <v>9237.9</v>
      </c>
      <c r="R1211" s="1">
        <v>4023</v>
      </c>
      <c r="S1211" s="1">
        <v>13260.9</v>
      </c>
      <c r="T1211" s="1">
        <v>33.979999999999997</v>
      </c>
      <c r="U1211" s="1">
        <v>0.32</v>
      </c>
      <c r="V1211" s="1">
        <v>4008.3</v>
      </c>
      <c r="W1211" s="1">
        <v>13246.2</v>
      </c>
      <c r="X1211" s="1">
        <v>601.33000000000004</v>
      </c>
      <c r="Y1211" s="1">
        <v>600</v>
      </c>
      <c r="Z1211" s="1">
        <v>76127.600000000006</v>
      </c>
      <c r="AA1211" s="1">
        <v>34</v>
      </c>
      <c r="AB1211" s="1">
        <v>2000</v>
      </c>
    </row>
    <row r="1212" spans="1:28" x14ac:dyDescent="0.4">
      <c r="A1212" s="1" t="s">
        <v>372</v>
      </c>
      <c r="B1212" s="1">
        <v>2000</v>
      </c>
      <c r="C1212" s="1">
        <v>0.4</v>
      </c>
      <c r="D1212" s="1">
        <v>0.5</v>
      </c>
      <c r="E1212" s="1">
        <v>500</v>
      </c>
      <c r="F1212" s="1">
        <v>3</v>
      </c>
      <c r="G1212" s="1">
        <v>1</v>
      </c>
      <c r="H1212" s="1" t="s">
        <v>592</v>
      </c>
      <c r="I1212" s="1">
        <v>146342.70000000001</v>
      </c>
      <c r="J1212" s="1">
        <v>61182.8</v>
      </c>
      <c r="K1212" s="1">
        <v>85159.9</v>
      </c>
      <c r="L1212" s="1">
        <v>600</v>
      </c>
      <c r="M1212" s="1">
        <v>600.01</v>
      </c>
      <c r="N1212" s="1">
        <v>34107.199999999997</v>
      </c>
      <c r="O1212" s="1">
        <v>47381.8</v>
      </c>
      <c r="P1212" s="1">
        <v>81489</v>
      </c>
      <c r="Q1212" s="1">
        <v>9266.2000000000007</v>
      </c>
      <c r="R1212" s="1">
        <v>3935.3</v>
      </c>
      <c r="S1212" s="1">
        <v>13201.5</v>
      </c>
      <c r="T1212" s="1">
        <v>35.299999999999997</v>
      </c>
      <c r="U1212" s="1">
        <v>0.26</v>
      </c>
      <c r="V1212" s="1">
        <v>3928.9</v>
      </c>
      <c r="W1212" s="1">
        <v>13195.1</v>
      </c>
      <c r="X1212" s="1">
        <v>600.27</v>
      </c>
      <c r="Y1212" s="1">
        <v>600</v>
      </c>
      <c r="Z1212" s="1">
        <v>94684.1</v>
      </c>
      <c r="AA1212" s="1">
        <v>35.299999999999997</v>
      </c>
      <c r="AB1212" s="1">
        <v>2000</v>
      </c>
    </row>
    <row r="1213" spans="1:28" x14ac:dyDescent="0.4">
      <c r="A1213" s="1" t="s">
        <v>373</v>
      </c>
      <c r="B1213" s="1">
        <v>2000</v>
      </c>
      <c r="C1213" s="1">
        <v>0.4</v>
      </c>
      <c r="D1213" s="1">
        <v>0.5</v>
      </c>
      <c r="E1213" s="1">
        <v>500</v>
      </c>
      <c r="F1213" s="1">
        <v>3</v>
      </c>
      <c r="G1213" s="1">
        <v>2</v>
      </c>
      <c r="H1213" s="1" t="s">
        <v>592</v>
      </c>
      <c r="I1213" s="1">
        <v>145711.4</v>
      </c>
      <c r="J1213" s="1">
        <v>61224.5</v>
      </c>
      <c r="K1213" s="1">
        <v>84486.9</v>
      </c>
      <c r="L1213" s="1">
        <v>600</v>
      </c>
      <c r="M1213" s="1">
        <v>600.94000000000005</v>
      </c>
      <c r="N1213" s="1">
        <v>34311.699999999997</v>
      </c>
      <c r="O1213" s="1">
        <v>47114.6</v>
      </c>
      <c r="P1213" s="1">
        <v>81426.3</v>
      </c>
      <c r="Q1213" s="1">
        <v>9314.7999999999993</v>
      </c>
      <c r="R1213" s="1">
        <v>3983.3</v>
      </c>
      <c r="S1213" s="1">
        <v>13298.1</v>
      </c>
      <c r="T1213" s="1">
        <v>34.99</v>
      </c>
      <c r="U1213" s="1">
        <v>0.27</v>
      </c>
      <c r="V1213" s="1">
        <v>3983.3</v>
      </c>
      <c r="W1213" s="1">
        <v>13298.1</v>
      </c>
      <c r="X1213" s="1">
        <v>601.20000000000005</v>
      </c>
      <c r="Y1213" s="1">
        <v>600</v>
      </c>
      <c r="Z1213" s="1">
        <v>94724.4</v>
      </c>
      <c r="AA1213" s="1">
        <v>34.99</v>
      </c>
      <c r="AB1213" s="1">
        <v>2000</v>
      </c>
    </row>
    <row r="1214" spans="1:28" x14ac:dyDescent="0.4">
      <c r="A1214" s="1" t="s">
        <v>374</v>
      </c>
      <c r="B1214" s="1">
        <v>2000</v>
      </c>
      <c r="C1214" s="1">
        <v>0.4</v>
      </c>
      <c r="D1214" s="1">
        <v>0.5</v>
      </c>
      <c r="E1214" s="1">
        <v>500</v>
      </c>
      <c r="F1214" s="1">
        <v>3</v>
      </c>
      <c r="G1214" s="1">
        <v>3</v>
      </c>
      <c r="H1214" s="1" t="s">
        <v>592</v>
      </c>
      <c r="I1214" s="1">
        <v>138058.9</v>
      </c>
      <c r="J1214" s="1">
        <v>55101.1</v>
      </c>
      <c r="K1214" s="1">
        <v>82957.8</v>
      </c>
      <c r="L1214" s="1">
        <v>600</v>
      </c>
      <c r="M1214" s="1">
        <v>600.01</v>
      </c>
      <c r="N1214" s="1">
        <v>31018.2</v>
      </c>
      <c r="O1214" s="1">
        <v>46279.6</v>
      </c>
      <c r="P1214" s="1">
        <v>77297.8</v>
      </c>
      <c r="Q1214" s="1">
        <v>8584</v>
      </c>
      <c r="R1214" s="1">
        <v>3733.5</v>
      </c>
      <c r="S1214" s="1">
        <v>12317.5</v>
      </c>
      <c r="T1214" s="1">
        <v>35.090000000000003</v>
      </c>
      <c r="U1214" s="1">
        <v>0.23</v>
      </c>
      <c r="V1214" s="1">
        <v>3727.1</v>
      </c>
      <c r="W1214" s="1">
        <v>12311.1</v>
      </c>
      <c r="X1214" s="1">
        <v>600.23</v>
      </c>
      <c r="Y1214" s="1">
        <v>600</v>
      </c>
      <c r="Z1214" s="1">
        <v>89608.9</v>
      </c>
      <c r="AA1214" s="1">
        <v>35.090000000000003</v>
      </c>
      <c r="AB1214" s="1">
        <v>2000</v>
      </c>
    </row>
    <row r="1215" spans="1:28" x14ac:dyDescent="0.4">
      <c r="A1215" s="1" t="s">
        <v>375</v>
      </c>
      <c r="B1215" s="1">
        <v>2000</v>
      </c>
      <c r="C1215" s="1">
        <v>0.4</v>
      </c>
      <c r="D1215" s="1">
        <v>0.5</v>
      </c>
      <c r="E1215" s="1">
        <v>500</v>
      </c>
      <c r="F1215" s="1">
        <v>3</v>
      </c>
      <c r="G1215" s="1">
        <v>4</v>
      </c>
      <c r="H1215" s="1" t="s">
        <v>592</v>
      </c>
      <c r="I1215" s="1">
        <v>144089.60000000001</v>
      </c>
      <c r="J1215" s="1">
        <v>60356.7</v>
      </c>
      <c r="K1215" s="1">
        <v>83732.899999999994</v>
      </c>
      <c r="L1215" s="1">
        <v>600</v>
      </c>
      <c r="M1215" s="1">
        <v>600</v>
      </c>
      <c r="N1215" s="1">
        <v>34041.199999999997</v>
      </c>
      <c r="O1215" s="1">
        <v>46743.199999999997</v>
      </c>
      <c r="P1215" s="1">
        <v>80784.399999999994</v>
      </c>
      <c r="Q1215" s="1">
        <v>9135.7999999999993</v>
      </c>
      <c r="R1215" s="1">
        <v>3980.4</v>
      </c>
      <c r="S1215" s="1">
        <v>13116.2</v>
      </c>
      <c r="T1215" s="1">
        <v>34.83</v>
      </c>
      <c r="U1215" s="1">
        <v>0.25</v>
      </c>
      <c r="V1215" s="1">
        <v>3979</v>
      </c>
      <c r="W1215" s="1">
        <v>13114.8</v>
      </c>
      <c r="X1215" s="1">
        <v>600.26</v>
      </c>
      <c r="Y1215" s="1">
        <v>600</v>
      </c>
      <c r="Z1215" s="1">
        <v>93899.199999999997</v>
      </c>
      <c r="AA1215" s="1">
        <v>34.83</v>
      </c>
      <c r="AB1215" s="1">
        <v>2000</v>
      </c>
    </row>
    <row r="1216" spans="1:28" x14ac:dyDescent="0.4">
      <c r="A1216" s="1" t="s">
        <v>376</v>
      </c>
      <c r="B1216" s="1">
        <v>2000</v>
      </c>
      <c r="C1216" s="1">
        <v>0.4</v>
      </c>
      <c r="D1216" s="1">
        <v>0.5</v>
      </c>
      <c r="E1216" s="1">
        <v>500</v>
      </c>
      <c r="F1216" s="1">
        <v>3</v>
      </c>
      <c r="G1216" s="1">
        <v>5</v>
      </c>
      <c r="H1216" s="1" t="s">
        <v>592</v>
      </c>
      <c r="I1216" s="1">
        <v>135459.1</v>
      </c>
      <c r="J1216" s="1">
        <v>52439.1</v>
      </c>
      <c r="K1216" s="1">
        <v>83020</v>
      </c>
      <c r="L1216" s="1">
        <v>600</v>
      </c>
      <c r="M1216" s="1">
        <v>600.49</v>
      </c>
      <c r="N1216" s="1">
        <v>30577.5</v>
      </c>
      <c r="O1216" s="1">
        <v>46694.6</v>
      </c>
      <c r="P1216" s="1">
        <v>77272.100000000006</v>
      </c>
      <c r="Q1216" s="1">
        <v>8995.6</v>
      </c>
      <c r="R1216" s="1">
        <v>3835.6</v>
      </c>
      <c r="S1216" s="1">
        <v>12831.2</v>
      </c>
      <c r="T1216" s="1">
        <v>33.479999999999997</v>
      </c>
      <c r="U1216" s="1">
        <v>0.18</v>
      </c>
      <c r="V1216" s="1">
        <v>3834.2</v>
      </c>
      <c r="W1216" s="1">
        <v>12829.8</v>
      </c>
      <c r="X1216" s="1">
        <v>600.67999999999995</v>
      </c>
      <c r="Y1216" s="1">
        <v>599</v>
      </c>
      <c r="Z1216" s="1">
        <v>90101.9</v>
      </c>
      <c r="AA1216" s="1">
        <v>33.479999999999997</v>
      </c>
      <c r="AB1216" s="1">
        <v>2000</v>
      </c>
    </row>
    <row r="1217" spans="1:28" x14ac:dyDescent="0.4">
      <c r="A1217" s="1" t="s">
        <v>60</v>
      </c>
      <c r="B1217" s="1">
        <v>4000</v>
      </c>
      <c r="C1217" s="1">
        <v>0.2</v>
      </c>
      <c r="D1217" s="1">
        <v>0.5</v>
      </c>
      <c r="E1217" s="1">
        <v>1000</v>
      </c>
      <c r="F1217" s="1">
        <v>1</v>
      </c>
      <c r="G1217" s="1">
        <v>1</v>
      </c>
      <c r="H1217" s="1" t="s">
        <v>592</v>
      </c>
      <c r="I1217" s="1">
        <v>176793.4</v>
      </c>
      <c r="J1217" s="1">
        <v>69235.899999999994</v>
      </c>
      <c r="K1217" s="1">
        <v>107557.5</v>
      </c>
      <c r="L1217" s="1">
        <v>1200</v>
      </c>
      <c r="M1217" s="1">
        <v>601.22</v>
      </c>
      <c r="N1217" s="1">
        <v>43087.7</v>
      </c>
      <c r="O1217" s="1">
        <v>65176</v>
      </c>
      <c r="P1217" s="1">
        <v>108263.7</v>
      </c>
      <c r="Q1217" s="1">
        <v>21828.799999999999</v>
      </c>
      <c r="R1217" s="1">
        <v>3796.4</v>
      </c>
      <c r="S1217" s="1">
        <v>25625.200000000001</v>
      </c>
      <c r="T1217" s="1">
        <v>24.27</v>
      </c>
      <c r="U1217" s="1">
        <v>0.06</v>
      </c>
      <c r="V1217" s="1">
        <v>3784.5</v>
      </c>
      <c r="W1217" s="1">
        <v>25613.3</v>
      </c>
      <c r="X1217" s="1">
        <v>601.29</v>
      </c>
      <c r="Y1217" s="1">
        <v>1181</v>
      </c>
      <c r="Z1217" s="1">
        <v>133877</v>
      </c>
      <c r="AA1217" s="1">
        <v>24.27</v>
      </c>
      <c r="AB1217" s="1">
        <v>4000</v>
      </c>
    </row>
    <row r="1218" spans="1:28" x14ac:dyDescent="0.4">
      <c r="A1218" s="1" t="s">
        <v>61</v>
      </c>
      <c r="B1218" s="1">
        <v>4000</v>
      </c>
      <c r="C1218" s="1">
        <v>0.2</v>
      </c>
      <c r="D1218" s="1">
        <v>0.5</v>
      </c>
      <c r="E1218" s="1">
        <v>1000</v>
      </c>
      <c r="F1218" s="1">
        <v>1</v>
      </c>
      <c r="G1218" s="1">
        <v>2</v>
      </c>
      <c r="H1218" s="1" t="s">
        <v>592</v>
      </c>
      <c r="I1218" s="1">
        <v>172246.7</v>
      </c>
      <c r="J1218" s="1">
        <v>71438.100000000006</v>
      </c>
      <c r="K1218" s="1">
        <v>100808.6</v>
      </c>
      <c r="L1218" s="1">
        <v>1200</v>
      </c>
      <c r="M1218" s="1">
        <v>601.04999999999995</v>
      </c>
      <c r="N1218" s="1">
        <v>45211.1</v>
      </c>
      <c r="O1218" s="1">
        <v>61664.7</v>
      </c>
      <c r="P1218" s="1">
        <v>106875.8</v>
      </c>
      <c r="Q1218" s="1">
        <v>20854.900000000001</v>
      </c>
      <c r="R1218" s="1">
        <v>4403.8999999999996</v>
      </c>
      <c r="S1218" s="1">
        <v>25258.799999999999</v>
      </c>
      <c r="T1218" s="1">
        <v>23.29</v>
      </c>
      <c r="U1218" s="1">
        <v>0.17</v>
      </c>
      <c r="V1218" s="1">
        <v>4340.3</v>
      </c>
      <c r="W1218" s="1">
        <v>25195.200000000001</v>
      </c>
      <c r="X1218" s="1">
        <v>601.21</v>
      </c>
      <c r="Y1218" s="1">
        <v>1180</v>
      </c>
      <c r="Z1218" s="1">
        <v>132071</v>
      </c>
      <c r="AA1218" s="1">
        <v>23.32</v>
      </c>
      <c r="AB1218" s="1">
        <v>4000</v>
      </c>
    </row>
    <row r="1219" spans="1:28" x14ac:dyDescent="0.4">
      <c r="A1219" s="1" t="s">
        <v>62</v>
      </c>
      <c r="B1219" s="1">
        <v>4000</v>
      </c>
      <c r="C1219" s="1">
        <v>0.2</v>
      </c>
      <c r="D1219" s="1">
        <v>0.5</v>
      </c>
      <c r="E1219" s="1">
        <v>1000</v>
      </c>
      <c r="F1219" s="1">
        <v>1</v>
      </c>
      <c r="G1219" s="1">
        <v>3</v>
      </c>
      <c r="H1219" s="1" t="s">
        <v>592</v>
      </c>
      <c r="I1219" s="1">
        <v>172482.6</v>
      </c>
      <c r="J1219" s="1">
        <v>70991</v>
      </c>
      <c r="K1219" s="1">
        <v>101491.6</v>
      </c>
      <c r="L1219" s="1">
        <v>1200</v>
      </c>
      <c r="M1219" s="1">
        <v>600.02</v>
      </c>
      <c r="N1219" s="1">
        <v>43303.7</v>
      </c>
      <c r="O1219" s="1">
        <v>62710.2</v>
      </c>
      <c r="P1219" s="1">
        <v>106013.9</v>
      </c>
      <c r="Q1219" s="1">
        <v>20910.2</v>
      </c>
      <c r="R1219" s="1">
        <v>4074.9</v>
      </c>
      <c r="S1219" s="1">
        <v>24985.1</v>
      </c>
      <c r="T1219" s="1">
        <v>24.05</v>
      </c>
      <c r="U1219" s="1">
        <v>0.1</v>
      </c>
      <c r="V1219" s="1">
        <v>4025</v>
      </c>
      <c r="W1219" s="1">
        <v>24935.200000000001</v>
      </c>
      <c r="X1219" s="1">
        <v>600.12</v>
      </c>
      <c r="Y1219" s="1">
        <v>1199</v>
      </c>
      <c r="Z1219" s="1">
        <v>130949.1</v>
      </c>
      <c r="AA1219" s="1">
        <v>24.08</v>
      </c>
      <c r="AB1219" s="1">
        <v>4000</v>
      </c>
    </row>
    <row r="1220" spans="1:28" x14ac:dyDescent="0.4">
      <c r="A1220" s="1" t="s">
        <v>63</v>
      </c>
      <c r="B1220" s="1">
        <v>4000</v>
      </c>
      <c r="C1220" s="1">
        <v>0.2</v>
      </c>
      <c r="D1220" s="1">
        <v>0.5</v>
      </c>
      <c r="E1220" s="1">
        <v>1000</v>
      </c>
      <c r="F1220" s="1">
        <v>1</v>
      </c>
      <c r="G1220" s="1">
        <v>4</v>
      </c>
      <c r="H1220" s="1" t="s">
        <v>592</v>
      </c>
      <c r="I1220" s="1">
        <v>178110.7</v>
      </c>
      <c r="J1220" s="1">
        <v>73274.7</v>
      </c>
      <c r="K1220" s="1">
        <v>104836</v>
      </c>
      <c r="L1220" s="1">
        <v>1200</v>
      </c>
      <c r="M1220" s="1">
        <v>601.03</v>
      </c>
      <c r="N1220" s="1">
        <v>44677.5</v>
      </c>
      <c r="O1220" s="1">
        <v>63891.7</v>
      </c>
      <c r="P1220" s="1">
        <v>108569.2</v>
      </c>
      <c r="Q1220" s="1">
        <v>21847.3</v>
      </c>
      <c r="R1220" s="1">
        <v>4443.5</v>
      </c>
      <c r="S1220" s="1">
        <v>26290.799999999999</v>
      </c>
      <c r="T1220" s="1">
        <v>24.28</v>
      </c>
      <c r="U1220" s="1">
        <v>0.13</v>
      </c>
      <c r="V1220" s="1">
        <v>4369.2</v>
      </c>
      <c r="W1220" s="1">
        <v>26216.5</v>
      </c>
      <c r="X1220" s="1">
        <v>601.16</v>
      </c>
      <c r="Y1220" s="1">
        <v>1199</v>
      </c>
      <c r="Z1220" s="1">
        <v>134785.70000000001</v>
      </c>
      <c r="AA1220" s="1">
        <v>24.32</v>
      </c>
      <c r="AB1220" s="1">
        <v>4000</v>
      </c>
    </row>
    <row r="1221" spans="1:28" x14ac:dyDescent="0.4">
      <c r="A1221" s="1" t="s">
        <v>64</v>
      </c>
      <c r="B1221" s="1">
        <v>4000</v>
      </c>
      <c r="C1221" s="1">
        <v>0.2</v>
      </c>
      <c r="D1221" s="1">
        <v>0.5</v>
      </c>
      <c r="E1221" s="1">
        <v>1000</v>
      </c>
      <c r="F1221" s="1">
        <v>1</v>
      </c>
      <c r="G1221" s="1">
        <v>5</v>
      </c>
      <c r="H1221" s="1" t="s">
        <v>592</v>
      </c>
      <c r="I1221" s="1">
        <v>179070</v>
      </c>
      <c r="J1221" s="1">
        <v>69970.8</v>
      </c>
      <c r="K1221" s="1">
        <v>109099.2</v>
      </c>
      <c r="L1221" s="1">
        <v>1200</v>
      </c>
      <c r="M1221" s="1">
        <v>600.82000000000005</v>
      </c>
      <c r="N1221" s="1">
        <v>44400.800000000003</v>
      </c>
      <c r="O1221" s="1">
        <v>66615.899999999994</v>
      </c>
      <c r="P1221" s="1">
        <v>111016.7</v>
      </c>
      <c r="Q1221" s="1">
        <v>21767.3</v>
      </c>
      <c r="R1221" s="1">
        <v>4005.6</v>
      </c>
      <c r="S1221" s="1">
        <v>25772.9</v>
      </c>
      <c r="T1221" s="1">
        <v>23.61</v>
      </c>
      <c r="U1221" s="1">
        <v>0.06</v>
      </c>
      <c r="V1221" s="1">
        <v>3986.4</v>
      </c>
      <c r="W1221" s="1">
        <v>25753.7</v>
      </c>
      <c r="X1221" s="1">
        <v>600.88</v>
      </c>
      <c r="Y1221" s="1">
        <v>1198</v>
      </c>
      <c r="Z1221" s="1">
        <v>136770.4</v>
      </c>
      <c r="AA1221" s="1">
        <v>23.62</v>
      </c>
      <c r="AB1221" s="1">
        <v>4000</v>
      </c>
    </row>
    <row r="1222" spans="1:28" x14ac:dyDescent="0.4">
      <c r="A1222" s="1" t="s">
        <v>65</v>
      </c>
      <c r="B1222" s="1">
        <v>4000</v>
      </c>
      <c r="C1222" s="1">
        <v>0.2</v>
      </c>
      <c r="D1222" s="1">
        <v>0.5</v>
      </c>
      <c r="E1222" s="1">
        <v>1000</v>
      </c>
      <c r="F1222" s="1">
        <v>2</v>
      </c>
      <c r="G1222" s="1">
        <v>1</v>
      </c>
      <c r="H1222" s="1" t="s">
        <v>592</v>
      </c>
      <c r="I1222" s="1">
        <v>266347.90000000002</v>
      </c>
      <c r="J1222" s="1">
        <v>100159.7</v>
      </c>
      <c r="K1222" s="1">
        <v>166188.20000000001</v>
      </c>
      <c r="L1222" s="1">
        <v>1200</v>
      </c>
      <c r="M1222" s="1">
        <v>601.66999999999996</v>
      </c>
      <c r="N1222" s="1">
        <v>66521.399999999994</v>
      </c>
      <c r="O1222" s="1">
        <v>103237.1</v>
      </c>
      <c r="P1222" s="1">
        <v>169758.5</v>
      </c>
      <c r="Q1222" s="1">
        <v>20553.2</v>
      </c>
      <c r="R1222" s="1">
        <v>5030.8</v>
      </c>
      <c r="S1222" s="1">
        <v>25584</v>
      </c>
      <c r="T1222" s="1">
        <v>26.66</v>
      </c>
      <c r="U1222" s="1">
        <v>0.14000000000000001</v>
      </c>
      <c r="V1222" s="1">
        <v>4992.2</v>
      </c>
      <c r="W1222" s="1">
        <v>25545.4</v>
      </c>
      <c r="X1222" s="1">
        <v>601.80999999999995</v>
      </c>
      <c r="Y1222" s="1">
        <v>1200</v>
      </c>
      <c r="Z1222" s="1">
        <v>195303.9</v>
      </c>
      <c r="AA1222" s="1">
        <v>26.67</v>
      </c>
      <c r="AB1222" s="1">
        <v>4000</v>
      </c>
    </row>
    <row r="1223" spans="1:28" x14ac:dyDescent="0.4">
      <c r="A1223" s="1" t="s">
        <v>66</v>
      </c>
      <c r="B1223" s="1">
        <v>4000</v>
      </c>
      <c r="C1223" s="1">
        <v>0.2</v>
      </c>
      <c r="D1223" s="1">
        <v>0.5</v>
      </c>
      <c r="E1223" s="1">
        <v>1000</v>
      </c>
      <c r="F1223" s="1">
        <v>2</v>
      </c>
      <c r="G1223" s="1">
        <v>2</v>
      </c>
      <c r="H1223" s="1" t="s">
        <v>592</v>
      </c>
      <c r="I1223" s="1">
        <v>265499.59999999998</v>
      </c>
      <c r="J1223" s="1">
        <v>100358.1</v>
      </c>
      <c r="K1223" s="1">
        <v>165141.5</v>
      </c>
      <c r="L1223" s="1">
        <v>1200</v>
      </c>
      <c r="M1223" s="1">
        <v>600</v>
      </c>
      <c r="N1223" s="1">
        <v>64024.4</v>
      </c>
      <c r="O1223" s="1">
        <v>101636.3</v>
      </c>
      <c r="P1223" s="1">
        <v>165660.70000000001</v>
      </c>
      <c r="Q1223" s="1">
        <v>21278.3</v>
      </c>
      <c r="R1223" s="1">
        <v>4809.8999999999996</v>
      </c>
      <c r="S1223" s="1">
        <v>26088.2</v>
      </c>
      <c r="T1223" s="1">
        <v>27.78</v>
      </c>
      <c r="U1223" s="1">
        <v>0.11</v>
      </c>
      <c r="V1223" s="1">
        <v>4780.6000000000004</v>
      </c>
      <c r="W1223" s="1">
        <v>26058.9</v>
      </c>
      <c r="X1223" s="1">
        <v>600.11</v>
      </c>
      <c r="Y1223" s="1">
        <v>1200</v>
      </c>
      <c r="Z1223" s="1">
        <v>191719.6</v>
      </c>
      <c r="AA1223" s="1">
        <v>27.79</v>
      </c>
      <c r="AB1223" s="1">
        <v>4000</v>
      </c>
    </row>
    <row r="1224" spans="1:28" x14ac:dyDescent="0.4">
      <c r="A1224" s="1" t="s">
        <v>67</v>
      </c>
      <c r="B1224" s="1">
        <v>4000</v>
      </c>
      <c r="C1224" s="1">
        <v>0.2</v>
      </c>
      <c r="D1224" s="1">
        <v>0.5</v>
      </c>
      <c r="E1224" s="1">
        <v>1000</v>
      </c>
      <c r="F1224" s="1">
        <v>2</v>
      </c>
      <c r="G1224" s="1">
        <v>3</v>
      </c>
      <c r="H1224" s="1" t="s">
        <v>592</v>
      </c>
      <c r="I1224" s="1">
        <v>256640.4</v>
      </c>
      <c r="J1224" s="1">
        <v>100148.3</v>
      </c>
      <c r="K1224" s="1">
        <v>156492.1</v>
      </c>
      <c r="L1224" s="1">
        <v>1200</v>
      </c>
      <c r="M1224" s="1">
        <v>601.09</v>
      </c>
      <c r="N1224" s="1">
        <v>66107.399999999994</v>
      </c>
      <c r="O1224" s="1">
        <v>95732.3</v>
      </c>
      <c r="P1224" s="1">
        <v>161839.70000000001</v>
      </c>
      <c r="Q1224" s="1">
        <v>20928.2</v>
      </c>
      <c r="R1224" s="1">
        <v>4892.2</v>
      </c>
      <c r="S1224" s="1">
        <v>25820.400000000001</v>
      </c>
      <c r="T1224" s="1">
        <v>26.88</v>
      </c>
      <c r="U1224" s="1">
        <v>0.12</v>
      </c>
      <c r="V1224" s="1">
        <v>4870.6000000000004</v>
      </c>
      <c r="W1224" s="1">
        <v>25798.799999999999</v>
      </c>
      <c r="X1224" s="1">
        <v>601.21</v>
      </c>
      <c r="Y1224" s="1">
        <v>1199</v>
      </c>
      <c r="Z1224" s="1">
        <v>187638.5</v>
      </c>
      <c r="AA1224" s="1">
        <v>26.89</v>
      </c>
      <c r="AB1224" s="1">
        <v>4000</v>
      </c>
    </row>
    <row r="1225" spans="1:28" x14ac:dyDescent="0.4">
      <c r="A1225" s="1" t="s">
        <v>68</v>
      </c>
      <c r="B1225" s="1">
        <v>4000</v>
      </c>
      <c r="C1225" s="1">
        <v>0.2</v>
      </c>
      <c r="D1225" s="1">
        <v>0.5</v>
      </c>
      <c r="E1225" s="1">
        <v>1000</v>
      </c>
      <c r="F1225" s="1">
        <v>2</v>
      </c>
      <c r="G1225" s="1">
        <v>4</v>
      </c>
      <c r="H1225" s="1" t="s">
        <v>592</v>
      </c>
      <c r="I1225" s="1">
        <v>266529.09999999998</v>
      </c>
      <c r="J1225" s="1">
        <v>102759</v>
      </c>
      <c r="K1225" s="1">
        <v>163770.1</v>
      </c>
      <c r="L1225" s="1">
        <v>1200</v>
      </c>
      <c r="M1225" s="1">
        <v>600.89</v>
      </c>
      <c r="N1225" s="1">
        <v>66984.800000000003</v>
      </c>
      <c r="O1225" s="1">
        <v>100357.8</v>
      </c>
      <c r="P1225" s="1">
        <v>167342.6</v>
      </c>
      <c r="Q1225" s="1">
        <v>21810.799999999999</v>
      </c>
      <c r="R1225" s="1">
        <v>4757.3</v>
      </c>
      <c r="S1225" s="1">
        <v>26568.1</v>
      </c>
      <c r="T1225" s="1">
        <v>27.25</v>
      </c>
      <c r="U1225" s="1">
        <v>0.11</v>
      </c>
      <c r="V1225" s="1">
        <v>4741.7</v>
      </c>
      <c r="W1225" s="1">
        <v>26552.5</v>
      </c>
      <c r="X1225" s="1">
        <v>601</v>
      </c>
      <c r="Y1225" s="1">
        <v>1197</v>
      </c>
      <c r="Z1225" s="1">
        <v>193895.1</v>
      </c>
      <c r="AA1225" s="1">
        <v>27.25</v>
      </c>
      <c r="AB1225" s="1">
        <v>4000</v>
      </c>
    </row>
    <row r="1226" spans="1:28" x14ac:dyDescent="0.4">
      <c r="A1226" s="1" t="s">
        <v>69</v>
      </c>
      <c r="B1226" s="1">
        <v>4000</v>
      </c>
      <c r="C1226" s="1">
        <v>0.2</v>
      </c>
      <c r="D1226" s="1">
        <v>0.5</v>
      </c>
      <c r="E1226" s="1">
        <v>1000</v>
      </c>
      <c r="F1226" s="1">
        <v>2</v>
      </c>
      <c r="G1226" s="1">
        <v>5</v>
      </c>
      <c r="H1226" s="1" t="s">
        <v>592</v>
      </c>
      <c r="I1226" s="1">
        <v>269546.8</v>
      </c>
      <c r="J1226" s="1">
        <v>106410.2</v>
      </c>
      <c r="K1226" s="1">
        <v>163136.6</v>
      </c>
      <c r="L1226" s="1">
        <v>1200</v>
      </c>
      <c r="M1226" s="1">
        <v>600.94000000000005</v>
      </c>
      <c r="N1226" s="1">
        <v>67992.600000000006</v>
      </c>
      <c r="O1226" s="1">
        <v>102105.1</v>
      </c>
      <c r="P1226" s="1">
        <v>170097.7</v>
      </c>
      <c r="Q1226" s="1">
        <v>21593.9</v>
      </c>
      <c r="R1226" s="1">
        <v>5064.3</v>
      </c>
      <c r="S1226" s="1">
        <v>26658.2</v>
      </c>
      <c r="T1226" s="1">
        <v>27</v>
      </c>
      <c r="U1226" s="1">
        <v>0.1</v>
      </c>
      <c r="V1226" s="1">
        <v>5061.5</v>
      </c>
      <c r="W1226" s="1">
        <v>26655.4</v>
      </c>
      <c r="X1226" s="1">
        <v>601.04</v>
      </c>
      <c r="Y1226" s="1">
        <v>1191</v>
      </c>
      <c r="Z1226" s="1">
        <v>196753.1</v>
      </c>
      <c r="AA1226" s="1">
        <v>27.01</v>
      </c>
      <c r="AB1226" s="1">
        <v>4000</v>
      </c>
    </row>
    <row r="1227" spans="1:28" x14ac:dyDescent="0.4">
      <c r="A1227" s="1" t="s">
        <v>70</v>
      </c>
      <c r="B1227" s="1">
        <v>4000</v>
      </c>
      <c r="C1227" s="1">
        <v>0.2</v>
      </c>
      <c r="D1227" s="1">
        <v>0.5</v>
      </c>
      <c r="E1227" s="1">
        <v>1000</v>
      </c>
      <c r="F1227" s="1">
        <v>3</v>
      </c>
      <c r="G1227" s="1">
        <v>1</v>
      </c>
      <c r="H1227" s="1" t="s">
        <v>592</v>
      </c>
      <c r="I1227" s="1">
        <v>351445</v>
      </c>
      <c r="J1227" s="1">
        <v>133205</v>
      </c>
      <c r="K1227" s="1">
        <v>218240</v>
      </c>
      <c r="L1227" s="1">
        <v>1200</v>
      </c>
      <c r="M1227" s="1">
        <v>600.01</v>
      </c>
      <c r="N1227" s="1">
        <v>88496.3</v>
      </c>
      <c r="O1227" s="1">
        <v>140066</v>
      </c>
      <c r="P1227" s="1">
        <v>228562.3</v>
      </c>
      <c r="Q1227" s="1">
        <v>21356.5</v>
      </c>
      <c r="R1227" s="1">
        <v>5203.8999999999996</v>
      </c>
      <c r="S1227" s="1">
        <v>26560.400000000001</v>
      </c>
      <c r="T1227" s="1">
        <v>27.41</v>
      </c>
      <c r="U1227" s="1">
        <v>0.14000000000000001</v>
      </c>
      <c r="V1227" s="1">
        <v>5199.3999999999996</v>
      </c>
      <c r="W1227" s="1">
        <v>26555.9</v>
      </c>
      <c r="X1227" s="1">
        <v>600.15</v>
      </c>
      <c r="Y1227" s="1">
        <v>1200</v>
      </c>
      <c r="Z1227" s="1">
        <v>255118.2</v>
      </c>
      <c r="AA1227" s="1">
        <v>27.41</v>
      </c>
      <c r="AB1227" s="1">
        <v>4000</v>
      </c>
    </row>
    <row r="1228" spans="1:28" x14ac:dyDescent="0.4">
      <c r="A1228" s="1" t="s">
        <v>71</v>
      </c>
      <c r="B1228" s="1">
        <v>4000</v>
      </c>
      <c r="C1228" s="1">
        <v>0.2</v>
      </c>
      <c r="D1228" s="1">
        <v>0.5</v>
      </c>
      <c r="E1228" s="1">
        <v>1000</v>
      </c>
      <c r="F1228" s="1">
        <v>3</v>
      </c>
      <c r="G1228" s="1">
        <v>2</v>
      </c>
      <c r="H1228" s="1" t="s">
        <v>592</v>
      </c>
      <c r="I1228" s="1">
        <v>356679.5</v>
      </c>
      <c r="J1228" s="1">
        <v>140383.9</v>
      </c>
      <c r="K1228" s="1">
        <v>216295.6</v>
      </c>
      <c r="L1228" s="1">
        <v>1200</v>
      </c>
      <c r="M1228" s="1">
        <v>600.02</v>
      </c>
      <c r="N1228" s="1">
        <v>90948.4</v>
      </c>
      <c r="O1228" s="1">
        <v>135521.1</v>
      </c>
      <c r="P1228" s="1">
        <v>226469.5</v>
      </c>
      <c r="Q1228" s="1">
        <v>22122.9</v>
      </c>
      <c r="R1228" s="1">
        <v>5574</v>
      </c>
      <c r="S1228" s="1">
        <v>27696.9</v>
      </c>
      <c r="T1228" s="1">
        <v>28.74</v>
      </c>
      <c r="U1228" s="1">
        <v>0.24</v>
      </c>
      <c r="V1228" s="1">
        <v>5557.1</v>
      </c>
      <c r="W1228" s="1">
        <v>27680</v>
      </c>
      <c r="X1228" s="1">
        <v>600.26</v>
      </c>
      <c r="Y1228" s="1">
        <v>1200</v>
      </c>
      <c r="Z1228" s="1">
        <v>254149.5</v>
      </c>
      <c r="AA1228" s="1">
        <v>28.75</v>
      </c>
      <c r="AB1228" s="1">
        <v>4000</v>
      </c>
    </row>
    <row r="1229" spans="1:28" x14ac:dyDescent="0.4">
      <c r="A1229" s="1" t="s">
        <v>72</v>
      </c>
      <c r="B1229" s="1">
        <v>4000</v>
      </c>
      <c r="C1229" s="1">
        <v>0.2</v>
      </c>
      <c r="D1229" s="1">
        <v>0.5</v>
      </c>
      <c r="E1229" s="1">
        <v>1000</v>
      </c>
      <c r="F1229" s="1">
        <v>3</v>
      </c>
      <c r="G1229" s="1">
        <v>3</v>
      </c>
      <c r="H1229" s="1" t="s">
        <v>592</v>
      </c>
      <c r="I1229" s="1">
        <v>346020.1</v>
      </c>
      <c r="J1229" s="1">
        <v>134050.5</v>
      </c>
      <c r="K1229" s="1">
        <v>211969.6</v>
      </c>
      <c r="L1229" s="1">
        <v>1200</v>
      </c>
      <c r="M1229" s="1">
        <v>601.16</v>
      </c>
      <c r="N1229" s="1">
        <v>88103.4</v>
      </c>
      <c r="O1229" s="1">
        <v>134814.5</v>
      </c>
      <c r="P1229" s="1">
        <v>222917.9</v>
      </c>
      <c r="Q1229" s="1">
        <v>21062.400000000001</v>
      </c>
      <c r="R1229" s="1">
        <v>5294.9</v>
      </c>
      <c r="S1229" s="1">
        <v>26357.3</v>
      </c>
      <c r="T1229" s="1">
        <v>27.96</v>
      </c>
      <c r="U1229" s="1">
        <v>0.25</v>
      </c>
      <c r="V1229" s="1">
        <v>5256.2</v>
      </c>
      <c r="W1229" s="1">
        <v>26318.6</v>
      </c>
      <c r="X1229" s="1">
        <v>601.41</v>
      </c>
      <c r="Y1229" s="1">
        <v>1200</v>
      </c>
      <c r="Z1229" s="1">
        <v>249236.5</v>
      </c>
      <c r="AA1229" s="1">
        <v>27.97</v>
      </c>
      <c r="AB1229" s="1">
        <v>4000</v>
      </c>
    </row>
    <row r="1230" spans="1:28" x14ac:dyDescent="0.4">
      <c r="A1230" s="1" t="s">
        <v>73</v>
      </c>
      <c r="B1230" s="1">
        <v>4000</v>
      </c>
      <c r="C1230" s="1">
        <v>0.2</v>
      </c>
      <c r="D1230" s="1">
        <v>0.5</v>
      </c>
      <c r="E1230" s="1">
        <v>1000</v>
      </c>
      <c r="F1230" s="1">
        <v>3</v>
      </c>
      <c r="G1230" s="1">
        <v>4</v>
      </c>
      <c r="H1230" s="1" t="s">
        <v>592</v>
      </c>
      <c r="I1230" s="1">
        <v>357913.8</v>
      </c>
      <c r="J1230" s="1">
        <v>140722</v>
      </c>
      <c r="K1230" s="1">
        <v>217191.8</v>
      </c>
      <c r="L1230" s="1">
        <v>1200</v>
      </c>
      <c r="M1230" s="1">
        <v>601.04999999999995</v>
      </c>
      <c r="N1230" s="1">
        <v>92624.9</v>
      </c>
      <c r="O1230" s="1">
        <v>138840.70000000001</v>
      </c>
      <c r="P1230" s="1">
        <v>231465.60000000001</v>
      </c>
      <c r="Q1230" s="1">
        <v>21724.7</v>
      </c>
      <c r="R1230" s="1">
        <v>5259.3</v>
      </c>
      <c r="S1230" s="1">
        <v>26984</v>
      </c>
      <c r="T1230" s="1">
        <v>27.79</v>
      </c>
      <c r="U1230" s="1">
        <v>0.17</v>
      </c>
      <c r="V1230" s="1">
        <v>5228.5</v>
      </c>
      <c r="W1230" s="1">
        <v>26953.200000000001</v>
      </c>
      <c r="X1230" s="1">
        <v>601.22</v>
      </c>
      <c r="Y1230" s="1">
        <v>1200</v>
      </c>
      <c r="Z1230" s="1">
        <v>258418.8</v>
      </c>
      <c r="AA1230" s="1">
        <v>27.8</v>
      </c>
      <c r="AB1230" s="1">
        <v>4000</v>
      </c>
    </row>
    <row r="1231" spans="1:28" x14ac:dyDescent="0.4">
      <c r="A1231" s="1" t="s">
        <v>74</v>
      </c>
      <c r="B1231" s="1">
        <v>4000</v>
      </c>
      <c r="C1231" s="1">
        <v>0.2</v>
      </c>
      <c r="D1231" s="1">
        <v>0.5</v>
      </c>
      <c r="E1231" s="1">
        <v>1000</v>
      </c>
      <c r="F1231" s="1">
        <v>3</v>
      </c>
      <c r="G1231" s="1">
        <v>5</v>
      </c>
      <c r="H1231" s="1" t="s">
        <v>592</v>
      </c>
      <c r="I1231" s="1">
        <v>358543.9</v>
      </c>
      <c r="J1231" s="1">
        <v>136947.6</v>
      </c>
      <c r="K1231" s="1">
        <v>221596.3</v>
      </c>
      <c r="L1231" s="1">
        <v>1200</v>
      </c>
      <c r="M1231" s="1">
        <v>600</v>
      </c>
      <c r="N1231" s="1">
        <v>89826.2</v>
      </c>
      <c r="O1231" s="1">
        <v>140941.29999999999</v>
      </c>
      <c r="P1231" s="1">
        <v>230767.5</v>
      </c>
      <c r="Q1231" s="1">
        <v>21660.400000000001</v>
      </c>
      <c r="R1231" s="1">
        <v>5229.1000000000004</v>
      </c>
      <c r="S1231" s="1">
        <v>26889.5</v>
      </c>
      <c r="T1231" s="1">
        <v>28.14</v>
      </c>
      <c r="U1231" s="1">
        <v>0.19</v>
      </c>
      <c r="V1231" s="1">
        <v>5184.7</v>
      </c>
      <c r="W1231" s="1">
        <v>26845.1</v>
      </c>
      <c r="X1231" s="1">
        <v>600.19000000000005</v>
      </c>
      <c r="Y1231" s="1">
        <v>1200</v>
      </c>
      <c r="Z1231" s="1">
        <v>257612.6</v>
      </c>
      <c r="AA1231" s="1">
        <v>28.15</v>
      </c>
      <c r="AB1231" s="1">
        <v>4000</v>
      </c>
    </row>
    <row r="1232" spans="1:28" x14ac:dyDescent="0.4">
      <c r="A1232" s="1" t="s">
        <v>377</v>
      </c>
      <c r="B1232" s="1">
        <v>4000</v>
      </c>
      <c r="C1232" s="1">
        <v>0.2</v>
      </c>
      <c r="D1232" s="1">
        <v>0.5</v>
      </c>
      <c r="E1232" s="1">
        <v>2000</v>
      </c>
      <c r="F1232" s="1">
        <v>1</v>
      </c>
      <c r="G1232" s="1">
        <v>1</v>
      </c>
      <c r="H1232" s="1" t="s">
        <v>592</v>
      </c>
      <c r="I1232" s="1">
        <v>342496.1</v>
      </c>
      <c r="J1232" s="1">
        <v>140132.4</v>
      </c>
      <c r="K1232" s="1">
        <v>202363.7</v>
      </c>
      <c r="L1232" s="1">
        <v>1200</v>
      </c>
      <c r="M1232" s="1">
        <v>600.57000000000005</v>
      </c>
      <c r="N1232" s="1">
        <v>91676.6</v>
      </c>
      <c r="O1232" s="1">
        <v>130271.6</v>
      </c>
      <c r="P1232" s="1">
        <v>221948.2</v>
      </c>
      <c r="Q1232" s="1">
        <v>27098.1</v>
      </c>
      <c r="R1232" s="1">
        <v>6016.5</v>
      </c>
      <c r="S1232" s="1">
        <v>33114.6</v>
      </c>
      <c r="T1232" s="1">
        <v>25.53</v>
      </c>
      <c r="U1232" s="1">
        <v>0.11</v>
      </c>
      <c r="V1232" s="1">
        <v>5985.6</v>
      </c>
      <c r="W1232" s="1">
        <v>33083.699999999997</v>
      </c>
      <c r="X1232" s="1">
        <v>600.67999999999995</v>
      </c>
      <c r="Y1232" s="1">
        <v>1200</v>
      </c>
      <c r="Z1232" s="1">
        <v>255031.9</v>
      </c>
      <c r="AA1232" s="1">
        <v>25.54</v>
      </c>
      <c r="AB1232" s="1">
        <v>4000</v>
      </c>
    </row>
    <row r="1233" spans="1:28" x14ac:dyDescent="0.4">
      <c r="A1233" s="1" t="s">
        <v>378</v>
      </c>
      <c r="B1233" s="1">
        <v>4000</v>
      </c>
      <c r="C1233" s="1">
        <v>0.2</v>
      </c>
      <c r="D1233" s="1">
        <v>0.5</v>
      </c>
      <c r="E1233" s="1">
        <v>2000</v>
      </c>
      <c r="F1233" s="1">
        <v>1</v>
      </c>
      <c r="G1233" s="1">
        <v>2</v>
      </c>
      <c r="H1233" s="1" t="s">
        <v>592</v>
      </c>
      <c r="I1233" s="1">
        <v>340872.4</v>
      </c>
      <c r="J1233" s="1">
        <v>134753.1</v>
      </c>
      <c r="K1233" s="1">
        <v>206119.3</v>
      </c>
      <c r="L1233" s="1">
        <v>1200</v>
      </c>
      <c r="M1233" s="1">
        <v>601.23</v>
      </c>
      <c r="N1233" s="1">
        <v>89472.3</v>
      </c>
      <c r="O1233" s="1">
        <v>132141.29999999999</v>
      </c>
      <c r="P1233" s="1">
        <v>221613.6</v>
      </c>
      <c r="Q1233" s="1">
        <v>26909.7</v>
      </c>
      <c r="R1233" s="1">
        <v>6626.4</v>
      </c>
      <c r="S1233" s="1">
        <v>33536.1</v>
      </c>
      <c r="T1233" s="1">
        <v>25.15</v>
      </c>
      <c r="U1233" s="1">
        <v>0.1</v>
      </c>
      <c r="V1233" s="1">
        <v>6574.6</v>
      </c>
      <c r="W1233" s="1">
        <v>33484.300000000003</v>
      </c>
      <c r="X1233" s="1">
        <v>601.33000000000004</v>
      </c>
      <c r="Y1233" s="1">
        <v>1200</v>
      </c>
      <c r="Z1233" s="1">
        <v>255097.9</v>
      </c>
      <c r="AA1233" s="1">
        <v>25.16</v>
      </c>
      <c r="AB1233" s="1">
        <v>4000</v>
      </c>
    </row>
    <row r="1234" spans="1:28" x14ac:dyDescent="0.4">
      <c r="A1234" s="1" t="s">
        <v>379</v>
      </c>
      <c r="B1234" s="1">
        <v>4000</v>
      </c>
      <c r="C1234" s="1">
        <v>0.2</v>
      </c>
      <c r="D1234" s="1">
        <v>0.5</v>
      </c>
      <c r="E1234" s="1">
        <v>2000</v>
      </c>
      <c r="F1234" s="1">
        <v>1</v>
      </c>
      <c r="G1234" s="1">
        <v>3</v>
      </c>
      <c r="H1234" s="1" t="s">
        <v>592</v>
      </c>
      <c r="I1234" s="1">
        <v>348317.4</v>
      </c>
      <c r="J1234" s="1">
        <v>138158.9</v>
      </c>
      <c r="K1234" s="1">
        <v>210158.5</v>
      </c>
      <c r="L1234" s="1">
        <v>1200</v>
      </c>
      <c r="M1234" s="1">
        <v>600.67999999999995</v>
      </c>
      <c r="N1234" s="1">
        <v>91336.8</v>
      </c>
      <c r="O1234" s="1">
        <v>134284.4</v>
      </c>
      <c r="P1234" s="1">
        <v>225621.2</v>
      </c>
      <c r="Q1234" s="1">
        <v>27582</v>
      </c>
      <c r="R1234" s="1">
        <v>6603.2</v>
      </c>
      <c r="S1234" s="1">
        <v>34185.199999999997</v>
      </c>
      <c r="T1234" s="1">
        <v>25.41</v>
      </c>
      <c r="U1234" s="1">
        <v>0.11</v>
      </c>
      <c r="V1234" s="1">
        <v>6523.7</v>
      </c>
      <c r="W1234" s="1">
        <v>34105.699999999997</v>
      </c>
      <c r="X1234" s="1">
        <v>600.79</v>
      </c>
      <c r="Y1234" s="1">
        <v>1200</v>
      </c>
      <c r="Z1234" s="1">
        <v>259726.9</v>
      </c>
      <c r="AA1234" s="1">
        <v>25.43</v>
      </c>
      <c r="AB1234" s="1">
        <v>4000</v>
      </c>
    </row>
    <row r="1235" spans="1:28" x14ac:dyDescent="0.4">
      <c r="A1235" s="1" t="s">
        <v>380</v>
      </c>
      <c r="B1235" s="1">
        <v>4000</v>
      </c>
      <c r="C1235" s="1">
        <v>0.2</v>
      </c>
      <c r="D1235" s="1">
        <v>0.5</v>
      </c>
      <c r="E1235" s="1">
        <v>2000</v>
      </c>
      <c r="F1235" s="1">
        <v>1</v>
      </c>
      <c r="G1235" s="1">
        <v>4</v>
      </c>
      <c r="H1235" s="1" t="s">
        <v>592</v>
      </c>
      <c r="I1235" s="1">
        <v>346752.7</v>
      </c>
      <c r="J1235" s="1">
        <v>138591.1</v>
      </c>
      <c r="K1235" s="1">
        <v>208161.6</v>
      </c>
      <c r="L1235" s="1">
        <v>1200</v>
      </c>
      <c r="M1235" s="1">
        <v>600</v>
      </c>
      <c r="N1235" s="1">
        <v>92009.600000000006</v>
      </c>
      <c r="O1235" s="1">
        <v>132595.5</v>
      </c>
      <c r="P1235" s="1">
        <v>224605.1</v>
      </c>
      <c r="Q1235" s="1">
        <v>26895.7</v>
      </c>
      <c r="R1235" s="1">
        <v>6498</v>
      </c>
      <c r="S1235" s="1">
        <v>33393.699999999997</v>
      </c>
      <c r="T1235" s="1">
        <v>25.6</v>
      </c>
      <c r="U1235" s="1">
        <v>0.12</v>
      </c>
      <c r="V1235" s="1">
        <v>6415.3</v>
      </c>
      <c r="W1235" s="1">
        <v>33311</v>
      </c>
      <c r="X1235" s="1">
        <v>600.12</v>
      </c>
      <c r="Y1235" s="1">
        <v>1200</v>
      </c>
      <c r="Z1235" s="1">
        <v>257916.1</v>
      </c>
      <c r="AA1235" s="1">
        <v>25.62</v>
      </c>
      <c r="AB1235" s="1">
        <v>4000</v>
      </c>
    </row>
    <row r="1236" spans="1:28" x14ac:dyDescent="0.4">
      <c r="A1236" s="1" t="s">
        <v>381</v>
      </c>
      <c r="B1236" s="1">
        <v>4000</v>
      </c>
      <c r="C1236" s="1">
        <v>0.2</v>
      </c>
      <c r="D1236" s="1">
        <v>0.5</v>
      </c>
      <c r="E1236" s="1">
        <v>2000</v>
      </c>
      <c r="F1236" s="1">
        <v>1</v>
      </c>
      <c r="G1236" s="1">
        <v>5</v>
      </c>
      <c r="H1236" s="1" t="s">
        <v>592</v>
      </c>
      <c r="I1236" s="1">
        <v>348631.2</v>
      </c>
      <c r="J1236" s="1">
        <v>144856.70000000001</v>
      </c>
      <c r="K1236" s="1">
        <v>203774.5</v>
      </c>
      <c r="L1236" s="1">
        <v>1200</v>
      </c>
      <c r="M1236" s="1">
        <v>600.01</v>
      </c>
      <c r="N1236" s="1">
        <v>96097.5</v>
      </c>
      <c r="O1236" s="1">
        <v>130880.4</v>
      </c>
      <c r="P1236" s="1">
        <v>226977.9</v>
      </c>
      <c r="Q1236" s="1">
        <v>26995.599999999999</v>
      </c>
      <c r="R1236" s="1">
        <v>6297.3</v>
      </c>
      <c r="S1236" s="1">
        <v>33292.9</v>
      </c>
      <c r="T1236" s="1">
        <v>25.34</v>
      </c>
      <c r="U1236" s="1">
        <v>0.09</v>
      </c>
      <c r="V1236" s="1">
        <v>6281.1</v>
      </c>
      <c r="W1236" s="1">
        <v>33276.699999999997</v>
      </c>
      <c r="X1236" s="1">
        <v>600.1</v>
      </c>
      <c r="Y1236" s="1">
        <v>1199</v>
      </c>
      <c r="Z1236" s="1">
        <v>260254.6</v>
      </c>
      <c r="AA1236" s="1">
        <v>25.35</v>
      </c>
      <c r="AB1236" s="1">
        <v>4000</v>
      </c>
    </row>
    <row r="1237" spans="1:28" x14ac:dyDescent="0.4">
      <c r="A1237" s="1" t="s">
        <v>382</v>
      </c>
      <c r="B1237" s="1">
        <v>4000</v>
      </c>
      <c r="C1237" s="1">
        <v>0.2</v>
      </c>
      <c r="D1237" s="1">
        <v>0.5</v>
      </c>
      <c r="E1237" s="1">
        <v>2000</v>
      </c>
      <c r="F1237" s="1">
        <v>2</v>
      </c>
      <c r="G1237" s="1">
        <v>1</v>
      </c>
      <c r="H1237" s="1" t="s">
        <v>592</v>
      </c>
      <c r="I1237" s="1">
        <v>526871.69999999995</v>
      </c>
      <c r="J1237" s="1">
        <v>203138.9</v>
      </c>
      <c r="K1237" s="1">
        <v>323732.8</v>
      </c>
      <c r="L1237" s="1">
        <v>1200</v>
      </c>
      <c r="M1237" s="1">
        <v>600</v>
      </c>
      <c r="N1237" s="1">
        <v>139118.79999999999</v>
      </c>
      <c r="O1237" s="1">
        <v>210713.3</v>
      </c>
      <c r="P1237" s="1">
        <v>349832.1</v>
      </c>
      <c r="Q1237" s="1">
        <v>25074.2</v>
      </c>
      <c r="R1237" s="1">
        <v>6394.6</v>
      </c>
      <c r="S1237" s="1">
        <v>31468.799999999999</v>
      </c>
      <c r="T1237" s="1">
        <v>27.63</v>
      </c>
      <c r="U1237" s="1">
        <v>0.17</v>
      </c>
      <c r="V1237" s="1">
        <v>6362.5</v>
      </c>
      <c r="W1237" s="1">
        <v>31436.7</v>
      </c>
      <c r="X1237" s="1">
        <v>600.17999999999995</v>
      </c>
      <c r="Y1237" s="1">
        <v>1200</v>
      </c>
      <c r="Z1237" s="1">
        <v>381268.8</v>
      </c>
      <c r="AA1237" s="1">
        <v>27.64</v>
      </c>
      <c r="AB1237" s="1">
        <v>4000</v>
      </c>
    </row>
    <row r="1238" spans="1:28" x14ac:dyDescent="0.4">
      <c r="A1238" s="1" t="s">
        <v>383</v>
      </c>
      <c r="B1238" s="1">
        <v>4000</v>
      </c>
      <c r="C1238" s="1">
        <v>0.2</v>
      </c>
      <c r="D1238" s="1">
        <v>0.5</v>
      </c>
      <c r="E1238" s="1">
        <v>2000</v>
      </c>
      <c r="F1238" s="1">
        <v>2</v>
      </c>
      <c r="G1238" s="1">
        <v>2</v>
      </c>
      <c r="H1238" s="1" t="s">
        <v>592</v>
      </c>
      <c r="I1238" s="1">
        <v>538181.4</v>
      </c>
      <c r="J1238" s="1">
        <v>206412.2</v>
      </c>
      <c r="K1238" s="1">
        <v>331769.2</v>
      </c>
      <c r="L1238" s="1">
        <v>1200</v>
      </c>
      <c r="M1238" s="1">
        <v>600</v>
      </c>
      <c r="N1238" s="1">
        <v>140007.9</v>
      </c>
      <c r="O1238" s="1">
        <v>220093.6</v>
      </c>
      <c r="P1238" s="1">
        <v>360101.5</v>
      </c>
      <c r="Q1238" s="1">
        <v>24603</v>
      </c>
      <c r="R1238" s="1">
        <v>6240.9</v>
      </c>
      <c r="S1238" s="1">
        <v>30843.9</v>
      </c>
      <c r="T1238" s="1">
        <v>27.36</v>
      </c>
      <c r="U1238" s="1">
        <v>0.22</v>
      </c>
      <c r="V1238" s="1">
        <v>6218.9</v>
      </c>
      <c r="W1238" s="1">
        <v>30821.9</v>
      </c>
      <c r="X1238" s="1">
        <v>600.23</v>
      </c>
      <c r="Y1238" s="1">
        <v>1199</v>
      </c>
      <c r="Z1238" s="1">
        <v>390923.4</v>
      </c>
      <c r="AA1238" s="1">
        <v>27.36</v>
      </c>
      <c r="AB1238" s="1">
        <v>4000</v>
      </c>
    </row>
    <row r="1239" spans="1:28" x14ac:dyDescent="0.4">
      <c r="A1239" s="1" t="s">
        <v>384</v>
      </c>
      <c r="B1239" s="1">
        <v>4000</v>
      </c>
      <c r="C1239" s="1">
        <v>0.2</v>
      </c>
      <c r="D1239" s="1">
        <v>0.5</v>
      </c>
      <c r="E1239" s="1">
        <v>2000</v>
      </c>
      <c r="F1239" s="1">
        <v>2</v>
      </c>
      <c r="G1239" s="1">
        <v>3</v>
      </c>
      <c r="H1239" s="1" t="s">
        <v>592</v>
      </c>
      <c r="I1239" s="1">
        <v>560311.9</v>
      </c>
      <c r="J1239" s="1">
        <v>215357.5</v>
      </c>
      <c r="K1239" s="1">
        <v>344954.4</v>
      </c>
      <c r="L1239" s="1">
        <v>1200</v>
      </c>
      <c r="M1239" s="1">
        <v>600.02</v>
      </c>
      <c r="N1239" s="1">
        <v>147616.29999999999</v>
      </c>
      <c r="O1239" s="1">
        <v>227890.2</v>
      </c>
      <c r="P1239" s="1">
        <v>375506.5</v>
      </c>
      <c r="Q1239" s="1">
        <v>24631</v>
      </c>
      <c r="R1239" s="1">
        <v>6256.5</v>
      </c>
      <c r="S1239" s="1">
        <v>30887.5</v>
      </c>
      <c r="T1239" s="1">
        <v>27.47</v>
      </c>
      <c r="U1239" s="1">
        <v>0.18</v>
      </c>
      <c r="V1239" s="1">
        <v>6227.9</v>
      </c>
      <c r="W1239" s="1">
        <v>30858.9</v>
      </c>
      <c r="X1239" s="1">
        <v>600.20000000000005</v>
      </c>
      <c r="Y1239" s="1">
        <v>1200</v>
      </c>
      <c r="Z1239" s="1">
        <v>406365.4</v>
      </c>
      <c r="AA1239" s="1">
        <v>27.48</v>
      </c>
      <c r="AB1239" s="1">
        <v>4000</v>
      </c>
    </row>
    <row r="1240" spans="1:28" x14ac:dyDescent="0.4">
      <c r="A1240" s="1" t="s">
        <v>385</v>
      </c>
      <c r="B1240" s="1">
        <v>4000</v>
      </c>
      <c r="C1240" s="1">
        <v>0.2</v>
      </c>
      <c r="D1240" s="1">
        <v>0.5</v>
      </c>
      <c r="E1240" s="1">
        <v>2000</v>
      </c>
      <c r="F1240" s="1">
        <v>2</v>
      </c>
      <c r="G1240" s="1">
        <v>4</v>
      </c>
      <c r="H1240" s="1" t="s">
        <v>592</v>
      </c>
      <c r="I1240" s="1">
        <v>538133</v>
      </c>
      <c r="J1240" s="1">
        <v>202847.3</v>
      </c>
      <c r="K1240" s="1">
        <v>335285.7</v>
      </c>
      <c r="L1240" s="1">
        <v>1200</v>
      </c>
      <c r="M1240" s="1">
        <v>600.9</v>
      </c>
      <c r="N1240" s="1">
        <v>137504.1</v>
      </c>
      <c r="O1240" s="1">
        <v>219645</v>
      </c>
      <c r="P1240" s="1">
        <v>357149.1</v>
      </c>
      <c r="Q1240" s="1">
        <v>26048.7</v>
      </c>
      <c r="R1240" s="1">
        <v>6391.5</v>
      </c>
      <c r="S1240" s="1">
        <v>32440.2</v>
      </c>
      <c r="T1240" s="1">
        <v>27.6</v>
      </c>
      <c r="U1240" s="1">
        <v>0.16</v>
      </c>
      <c r="V1240" s="1">
        <v>6358.5</v>
      </c>
      <c r="W1240" s="1">
        <v>32407.200000000001</v>
      </c>
      <c r="X1240" s="1">
        <v>601.04999999999995</v>
      </c>
      <c r="Y1240" s="1">
        <v>1200</v>
      </c>
      <c r="Z1240" s="1">
        <v>389556.3</v>
      </c>
      <c r="AA1240" s="1">
        <v>27.61</v>
      </c>
      <c r="AB1240" s="1">
        <v>4000</v>
      </c>
    </row>
    <row r="1241" spans="1:28" x14ac:dyDescent="0.4">
      <c r="A1241" s="1" t="s">
        <v>386</v>
      </c>
      <c r="B1241" s="1">
        <v>4000</v>
      </c>
      <c r="C1241" s="1">
        <v>0.2</v>
      </c>
      <c r="D1241" s="1">
        <v>0.5</v>
      </c>
      <c r="E1241" s="1">
        <v>2000</v>
      </c>
      <c r="F1241" s="1">
        <v>2</v>
      </c>
      <c r="G1241" s="1">
        <v>5</v>
      </c>
      <c r="H1241" s="1" t="s">
        <v>592</v>
      </c>
      <c r="I1241" s="1">
        <v>529127.69999999995</v>
      </c>
      <c r="J1241" s="1">
        <v>200945.6</v>
      </c>
      <c r="K1241" s="1">
        <v>328182.09999999998</v>
      </c>
      <c r="L1241" s="1">
        <v>1200</v>
      </c>
      <c r="M1241" s="1">
        <v>600.63</v>
      </c>
      <c r="N1241" s="1">
        <v>136923.20000000001</v>
      </c>
      <c r="O1241" s="1">
        <v>214915.6</v>
      </c>
      <c r="P1241" s="1">
        <v>351838.8</v>
      </c>
      <c r="Q1241" s="1">
        <v>24844.1</v>
      </c>
      <c r="R1241" s="1">
        <v>6032.8</v>
      </c>
      <c r="S1241" s="1">
        <v>30876.9</v>
      </c>
      <c r="T1241" s="1">
        <v>27.67</v>
      </c>
      <c r="U1241" s="1">
        <v>0.17</v>
      </c>
      <c r="V1241" s="1">
        <v>5994</v>
      </c>
      <c r="W1241" s="1">
        <v>30838.1</v>
      </c>
      <c r="X1241" s="1">
        <v>600.79999999999995</v>
      </c>
      <c r="Y1241" s="1">
        <v>1200</v>
      </c>
      <c r="Z1241" s="1">
        <v>382676.9</v>
      </c>
      <c r="AA1241" s="1">
        <v>27.68</v>
      </c>
      <c r="AB1241" s="1">
        <v>4000</v>
      </c>
    </row>
    <row r="1242" spans="1:28" x14ac:dyDescent="0.4">
      <c r="A1242" s="1" t="s">
        <v>387</v>
      </c>
      <c r="B1242" s="1">
        <v>4000</v>
      </c>
      <c r="C1242" s="1">
        <v>0.2</v>
      </c>
      <c r="D1242" s="1">
        <v>0.5</v>
      </c>
      <c r="E1242" s="1">
        <v>2000</v>
      </c>
      <c r="F1242" s="1">
        <v>3</v>
      </c>
      <c r="G1242" s="1">
        <v>1</v>
      </c>
      <c r="H1242" s="1" t="s">
        <v>592</v>
      </c>
      <c r="I1242" s="1">
        <v>683234.6</v>
      </c>
      <c r="J1242" s="1">
        <v>257568.3</v>
      </c>
      <c r="K1242" s="1">
        <v>425666.3</v>
      </c>
      <c r="L1242" s="1">
        <v>1200</v>
      </c>
      <c r="M1242" s="1">
        <v>600.02</v>
      </c>
      <c r="N1242" s="1">
        <v>176334.9</v>
      </c>
      <c r="O1242" s="1">
        <v>286287.7</v>
      </c>
      <c r="P1242" s="1">
        <v>462622.6</v>
      </c>
      <c r="Q1242" s="1">
        <v>25622.5</v>
      </c>
      <c r="R1242" s="1">
        <v>6449.9</v>
      </c>
      <c r="S1242" s="1">
        <v>32072.400000000001</v>
      </c>
      <c r="T1242" s="1">
        <v>27.6</v>
      </c>
      <c r="U1242" s="1">
        <v>0.16</v>
      </c>
      <c r="V1242" s="1">
        <v>6434.3</v>
      </c>
      <c r="W1242" s="1">
        <v>32056.799999999999</v>
      </c>
      <c r="X1242" s="1">
        <v>600.17999999999995</v>
      </c>
      <c r="Y1242" s="1">
        <v>1200</v>
      </c>
      <c r="Z1242" s="1">
        <v>494679.4</v>
      </c>
      <c r="AA1242" s="1">
        <v>27.6</v>
      </c>
      <c r="AB1242" s="1">
        <v>4000</v>
      </c>
    </row>
    <row r="1243" spans="1:28" x14ac:dyDescent="0.4">
      <c r="A1243" s="1" t="s">
        <v>388</v>
      </c>
      <c r="B1243" s="1">
        <v>4000</v>
      </c>
      <c r="C1243" s="1">
        <v>0.2</v>
      </c>
      <c r="D1243" s="1">
        <v>0.5</v>
      </c>
      <c r="E1243" s="1">
        <v>2000</v>
      </c>
      <c r="F1243" s="1">
        <v>3</v>
      </c>
      <c r="G1243" s="1">
        <v>2</v>
      </c>
      <c r="H1243" s="1" t="s">
        <v>592</v>
      </c>
      <c r="I1243" s="1">
        <v>688321.6</v>
      </c>
      <c r="J1243" s="1">
        <v>265318</v>
      </c>
      <c r="K1243" s="1">
        <v>423003.6</v>
      </c>
      <c r="L1243" s="1">
        <v>1200</v>
      </c>
      <c r="M1243" s="1">
        <v>600.84</v>
      </c>
      <c r="N1243" s="1">
        <v>181232.6</v>
      </c>
      <c r="O1243" s="1">
        <v>283786.59999999998</v>
      </c>
      <c r="P1243" s="1">
        <v>465019.2</v>
      </c>
      <c r="Q1243" s="1">
        <v>25636.1</v>
      </c>
      <c r="R1243" s="1">
        <v>6532.5</v>
      </c>
      <c r="S1243" s="1">
        <v>32168.6</v>
      </c>
      <c r="T1243" s="1">
        <v>27.77</v>
      </c>
      <c r="U1243" s="1">
        <v>0.17</v>
      </c>
      <c r="V1243" s="1">
        <v>6527.5</v>
      </c>
      <c r="W1243" s="1">
        <v>32163.599999999999</v>
      </c>
      <c r="X1243" s="1">
        <v>601</v>
      </c>
      <c r="Y1243" s="1">
        <v>1200</v>
      </c>
      <c r="Z1243" s="1">
        <v>497182.8</v>
      </c>
      <c r="AA1243" s="1">
        <v>27.77</v>
      </c>
      <c r="AB1243" s="1">
        <v>4000</v>
      </c>
    </row>
    <row r="1244" spans="1:28" x14ac:dyDescent="0.4">
      <c r="A1244" s="1" t="s">
        <v>389</v>
      </c>
      <c r="B1244" s="1">
        <v>4000</v>
      </c>
      <c r="C1244" s="1">
        <v>0.2</v>
      </c>
      <c r="D1244" s="1">
        <v>0.5</v>
      </c>
      <c r="E1244" s="1">
        <v>2000</v>
      </c>
      <c r="F1244" s="1">
        <v>3</v>
      </c>
      <c r="G1244" s="1">
        <v>3</v>
      </c>
      <c r="H1244" s="1" t="s">
        <v>592</v>
      </c>
      <c r="I1244" s="1">
        <v>720187.7</v>
      </c>
      <c r="J1244" s="1">
        <v>279158.7</v>
      </c>
      <c r="K1244" s="1">
        <v>441029</v>
      </c>
      <c r="L1244" s="1">
        <v>1200</v>
      </c>
      <c r="M1244" s="1">
        <v>600</v>
      </c>
      <c r="N1244" s="1">
        <v>190869.7</v>
      </c>
      <c r="O1244" s="1">
        <v>300430.90000000002</v>
      </c>
      <c r="P1244" s="1">
        <v>491300.6</v>
      </c>
      <c r="Q1244" s="1">
        <v>25262.7</v>
      </c>
      <c r="R1244" s="1">
        <v>6190.5</v>
      </c>
      <c r="S1244" s="1">
        <v>31453.200000000001</v>
      </c>
      <c r="T1244" s="1">
        <v>27.41</v>
      </c>
      <c r="U1244" s="1">
        <v>0.18</v>
      </c>
      <c r="V1244" s="1">
        <v>6178.5</v>
      </c>
      <c r="W1244" s="1">
        <v>31441.200000000001</v>
      </c>
      <c r="X1244" s="1">
        <v>600.17999999999995</v>
      </c>
      <c r="Y1244" s="1">
        <v>1200</v>
      </c>
      <c r="Z1244" s="1">
        <v>522741.8</v>
      </c>
      <c r="AA1244" s="1">
        <v>27.42</v>
      </c>
      <c r="AB1244" s="1">
        <v>4000</v>
      </c>
    </row>
    <row r="1245" spans="1:28" x14ac:dyDescent="0.4">
      <c r="A1245" s="1" t="s">
        <v>390</v>
      </c>
      <c r="B1245" s="1">
        <v>4000</v>
      </c>
      <c r="C1245" s="1">
        <v>0.2</v>
      </c>
      <c r="D1245" s="1">
        <v>0.5</v>
      </c>
      <c r="E1245" s="1">
        <v>2000</v>
      </c>
      <c r="F1245" s="1">
        <v>3</v>
      </c>
      <c r="G1245" s="1">
        <v>4</v>
      </c>
      <c r="H1245" s="1" t="s">
        <v>592</v>
      </c>
      <c r="I1245" s="1">
        <v>704298.5</v>
      </c>
      <c r="J1245" s="1">
        <v>263203.3</v>
      </c>
      <c r="K1245" s="1">
        <v>441095.2</v>
      </c>
      <c r="L1245" s="1">
        <v>1200</v>
      </c>
      <c r="M1245" s="1">
        <v>600.35</v>
      </c>
      <c r="N1245" s="1">
        <v>181170.8</v>
      </c>
      <c r="O1245" s="1">
        <v>295170.3</v>
      </c>
      <c r="P1245" s="1">
        <v>476341.1</v>
      </c>
      <c r="Q1245" s="1">
        <v>25174.7</v>
      </c>
      <c r="R1245" s="1">
        <v>6251.6</v>
      </c>
      <c r="S1245" s="1">
        <v>31426.3</v>
      </c>
      <c r="T1245" s="1">
        <v>27.9</v>
      </c>
      <c r="U1245" s="1">
        <v>0.15</v>
      </c>
      <c r="V1245" s="1">
        <v>6221.6</v>
      </c>
      <c r="W1245" s="1">
        <v>31396.3</v>
      </c>
      <c r="X1245" s="1">
        <v>600.51</v>
      </c>
      <c r="Y1245" s="1">
        <v>1200</v>
      </c>
      <c r="Z1245" s="1">
        <v>507737.4</v>
      </c>
      <c r="AA1245" s="1">
        <v>27.91</v>
      </c>
      <c r="AB1245" s="1">
        <v>4000</v>
      </c>
    </row>
    <row r="1246" spans="1:28" x14ac:dyDescent="0.4">
      <c r="A1246" s="1" t="s">
        <v>391</v>
      </c>
      <c r="B1246" s="1">
        <v>4000</v>
      </c>
      <c r="C1246" s="1">
        <v>0.2</v>
      </c>
      <c r="D1246" s="1">
        <v>0.5</v>
      </c>
      <c r="E1246" s="1">
        <v>2000</v>
      </c>
      <c r="F1246" s="1">
        <v>3</v>
      </c>
      <c r="G1246" s="1">
        <v>5</v>
      </c>
      <c r="H1246" s="1" t="s">
        <v>592</v>
      </c>
      <c r="I1246" s="1">
        <v>698389.6</v>
      </c>
      <c r="J1246" s="1">
        <v>267524.5</v>
      </c>
      <c r="K1246" s="1">
        <v>430865.1</v>
      </c>
      <c r="L1246" s="1">
        <v>1200</v>
      </c>
      <c r="M1246" s="1">
        <v>600.39</v>
      </c>
      <c r="N1246" s="1">
        <v>181266.3</v>
      </c>
      <c r="O1246" s="1">
        <v>287443.8</v>
      </c>
      <c r="P1246" s="1">
        <v>468710.1</v>
      </c>
      <c r="Q1246" s="1">
        <v>26097.1</v>
      </c>
      <c r="R1246" s="1">
        <v>6468.3</v>
      </c>
      <c r="S1246" s="1">
        <v>32565.4</v>
      </c>
      <c r="T1246" s="1">
        <v>28.22</v>
      </c>
      <c r="U1246" s="1">
        <v>0.15</v>
      </c>
      <c r="V1246" s="1">
        <v>6441.8</v>
      </c>
      <c r="W1246" s="1">
        <v>32538.9</v>
      </c>
      <c r="X1246" s="1">
        <v>600.54</v>
      </c>
      <c r="Y1246" s="1">
        <v>1200</v>
      </c>
      <c r="Z1246" s="1">
        <v>501249</v>
      </c>
      <c r="AA1246" s="1">
        <v>28.23</v>
      </c>
      <c r="AB1246" s="1">
        <v>4000</v>
      </c>
    </row>
    <row r="1247" spans="1:28" x14ac:dyDescent="0.4">
      <c r="A1247" s="1" t="s">
        <v>392</v>
      </c>
      <c r="B1247" s="1">
        <v>4000</v>
      </c>
      <c r="C1247" s="1">
        <v>0.2</v>
      </c>
      <c r="D1247" s="1">
        <v>0.5</v>
      </c>
      <c r="E1247" s="1">
        <v>500</v>
      </c>
      <c r="F1247" s="1">
        <v>1</v>
      </c>
      <c r="G1247" s="1">
        <v>1</v>
      </c>
      <c r="H1247" s="1" t="s">
        <v>592</v>
      </c>
      <c r="I1247" s="1">
        <v>91390.7</v>
      </c>
      <c r="J1247" s="1">
        <v>36834.5</v>
      </c>
      <c r="K1247" s="1">
        <v>54556.2</v>
      </c>
      <c r="L1247" s="1">
        <v>1200</v>
      </c>
      <c r="M1247" s="1">
        <v>601.41999999999996</v>
      </c>
      <c r="N1247" s="1">
        <v>21877.1</v>
      </c>
      <c r="O1247" s="1">
        <v>32590.6</v>
      </c>
      <c r="P1247" s="1">
        <v>54467.7</v>
      </c>
      <c r="Q1247" s="1">
        <v>14788</v>
      </c>
      <c r="R1247" s="1">
        <v>2473.3000000000002</v>
      </c>
      <c r="S1247" s="1">
        <v>17261.3</v>
      </c>
      <c r="T1247" s="1">
        <v>21.51</v>
      </c>
      <c r="U1247" s="1">
        <v>0.41</v>
      </c>
      <c r="V1247" s="1">
        <v>2427</v>
      </c>
      <c r="W1247" s="1">
        <v>17215</v>
      </c>
      <c r="X1247" s="1">
        <v>601.84</v>
      </c>
      <c r="Y1247" s="1">
        <v>1199</v>
      </c>
      <c r="Z1247" s="1">
        <v>71682.7</v>
      </c>
      <c r="AA1247" s="1">
        <v>21.56</v>
      </c>
      <c r="AB1247" s="1">
        <v>4000</v>
      </c>
    </row>
    <row r="1248" spans="1:28" x14ac:dyDescent="0.4">
      <c r="A1248" s="1" t="s">
        <v>393</v>
      </c>
      <c r="B1248" s="1">
        <v>4000</v>
      </c>
      <c r="C1248" s="1">
        <v>0.2</v>
      </c>
      <c r="D1248" s="1">
        <v>0.5</v>
      </c>
      <c r="E1248" s="1">
        <v>500</v>
      </c>
      <c r="F1248" s="1">
        <v>1</v>
      </c>
      <c r="G1248" s="1">
        <v>2</v>
      </c>
      <c r="H1248" s="1" t="s">
        <v>592</v>
      </c>
      <c r="I1248" s="1">
        <v>92818.2</v>
      </c>
      <c r="J1248" s="1">
        <v>35033.199999999997</v>
      </c>
      <c r="K1248" s="1">
        <v>57785</v>
      </c>
      <c r="L1248" s="1">
        <v>1200</v>
      </c>
      <c r="M1248" s="1">
        <v>601.37</v>
      </c>
      <c r="N1248" s="1">
        <v>21716.1</v>
      </c>
      <c r="O1248" s="1">
        <v>34511.199999999997</v>
      </c>
      <c r="P1248" s="1">
        <v>56227.3</v>
      </c>
      <c r="Q1248" s="1">
        <v>13913.8</v>
      </c>
      <c r="R1248" s="1">
        <v>2720.5</v>
      </c>
      <c r="S1248" s="1">
        <v>16634.3</v>
      </c>
      <c r="T1248" s="1">
        <v>21.5</v>
      </c>
      <c r="U1248" s="1">
        <v>0.4</v>
      </c>
      <c r="V1248" s="1">
        <v>2678.2</v>
      </c>
      <c r="W1248" s="1">
        <v>16592</v>
      </c>
      <c r="X1248" s="1">
        <v>601.77</v>
      </c>
      <c r="Y1248" s="1">
        <v>1188</v>
      </c>
      <c r="Z1248" s="1">
        <v>72819.3</v>
      </c>
      <c r="AA1248" s="1">
        <v>21.55</v>
      </c>
      <c r="AB1248" s="1">
        <v>4000</v>
      </c>
    </row>
    <row r="1249" spans="1:28" x14ac:dyDescent="0.4">
      <c r="A1249" s="1" t="s">
        <v>394</v>
      </c>
      <c r="B1249" s="1">
        <v>4000</v>
      </c>
      <c r="C1249" s="1">
        <v>0.2</v>
      </c>
      <c r="D1249" s="1">
        <v>0.5</v>
      </c>
      <c r="E1249" s="1">
        <v>500</v>
      </c>
      <c r="F1249" s="1">
        <v>1</v>
      </c>
      <c r="G1249" s="1">
        <v>3</v>
      </c>
      <c r="H1249" s="1" t="s">
        <v>592</v>
      </c>
      <c r="I1249" s="1">
        <v>89874.2</v>
      </c>
      <c r="J1249" s="1">
        <v>35811.9</v>
      </c>
      <c r="K1249" s="1">
        <v>54062.3</v>
      </c>
      <c r="L1249" s="1">
        <v>1200</v>
      </c>
      <c r="M1249" s="1">
        <v>601.80999999999995</v>
      </c>
      <c r="N1249" s="1">
        <v>22525.3</v>
      </c>
      <c r="O1249" s="1">
        <v>32329.5</v>
      </c>
      <c r="P1249" s="1">
        <v>54854.8</v>
      </c>
      <c r="Q1249" s="1">
        <v>13575.4</v>
      </c>
      <c r="R1249" s="1">
        <v>2276.6</v>
      </c>
      <c r="S1249" s="1">
        <v>15852</v>
      </c>
      <c r="T1249" s="1">
        <v>21.33</v>
      </c>
      <c r="U1249" s="1">
        <v>0.23</v>
      </c>
      <c r="V1249" s="1">
        <v>2258.6999999999998</v>
      </c>
      <c r="W1249" s="1">
        <v>15834.1</v>
      </c>
      <c r="X1249" s="1">
        <v>602.04</v>
      </c>
      <c r="Y1249" s="1">
        <v>1195</v>
      </c>
      <c r="Z1249" s="1">
        <v>70688.899999999994</v>
      </c>
      <c r="AA1249" s="1">
        <v>21.35</v>
      </c>
      <c r="AB1249" s="1">
        <v>4000</v>
      </c>
    </row>
    <row r="1250" spans="1:28" x14ac:dyDescent="0.4">
      <c r="A1250" s="1" t="s">
        <v>395</v>
      </c>
      <c r="B1250" s="1">
        <v>4000</v>
      </c>
      <c r="C1250" s="1">
        <v>0.2</v>
      </c>
      <c r="D1250" s="1">
        <v>0.5</v>
      </c>
      <c r="E1250" s="1">
        <v>500</v>
      </c>
      <c r="F1250" s="1">
        <v>1</v>
      </c>
      <c r="G1250" s="1">
        <v>4</v>
      </c>
      <c r="H1250" s="1" t="s">
        <v>592</v>
      </c>
      <c r="I1250" s="1">
        <v>88886.3</v>
      </c>
      <c r="J1250" s="1">
        <v>34534.5</v>
      </c>
      <c r="K1250" s="1">
        <v>54351.8</v>
      </c>
      <c r="L1250" s="1">
        <v>1200</v>
      </c>
      <c r="M1250" s="1">
        <v>600.97</v>
      </c>
      <c r="N1250" s="1">
        <v>21493.4</v>
      </c>
      <c r="O1250" s="1">
        <v>32479.7</v>
      </c>
      <c r="P1250" s="1">
        <v>53973.1</v>
      </c>
      <c r="Q1250" s="1">
        <v>14348.8</v>
      </c>
      <c r="R1250" s="1">
        <v>2404.6</v>
      </c>
      <c r="S1250" s="1">
        <v>16753.400000000001</v>
      </c>
      <c r="T1250" s="1">
        <v>20.43</v>
      </c>
      <c r="U1250" s="1">
        <v>0.34</v>
      </c>
      <c r="V1250" s="1">
        <v>2359.1999999999998</v>
      </c>
      <c r="W1250" s="1">
        <v>16708</v>
      </c>
      <c r="X1250" s="1">
        <v>601.30999999999995</v>
      </c>
      <c r="Y1250" s="1">
        <v>1184</v>
      </c>
      <c r="Z1250" s="1">
        <v>70681.100000000006</v>
      </c>
      <c r="AA1250" s="1">
        <v>20.48</v>
      </c>
      <c r="AB1250" s="1">
        <v>4000</v>
      </c>
    </row>
    <row r="1251" spans="1:28" x14ac:dyDescent="0.4">
      <c r="A1251" s="1" t="s">
        <v>396</v>
      </c>
      <c r="B1251" s="1">
        <v>4000</v>
      </c>
      <c r="C1251" s="1">
        <v>0.2</v>
      </c>
      <c r="D1251" s="1">
        <v>0.5</v>
      </c>
      <c r="E1251" s="1">
        <v>500</v>
      </c>
      <c r="F1251" s="1">
        <v>1</v>
      </c>
      <c r="G1251" s="1">
        <v>5</v>
      </c>
      <c r="H1251" s="1" t="s">
        <v>592</v>
      </c>
      <c r="I1251" s="1">
        <v>87291.1</v>
      </c>
      <c r="J1251" s="1">
        <v>33873</v>
      </c>
      <c r="K1251" s="1">
        <v>53418.1</v>
      </c>
      <c r="L1251" s="1">
        <v>1200</v>
      </c>
      <c r="M1251" s="1">
        <v>601.92999999999995</v>
      </c>
      <c r="N1251" s="1">
        <v>20666.8</v>
      </c>
      <c r="O1251" s="1">
        <v>31740.5</v>
      </c>
      <c r="P1251" s="1">
        <v>52407.3</v>
      </c>
      <c r="Q1251" s="1">
        <v>14550</v>
      </c>
      <c r="R1251" s="1">
        <v>2416.5</v>
      </c>
      <c r="S1251" s="1">
        <v>16966.5</v>
      </c>
      <c r="T1251" s="1">
        <v>20.53</v>
      </c>
      <c r="U1251" s="1">
        <v>0.28999999999999998</v>
      </c>
      <c r="V1251" s="1">
        <v>2381.3000000000002</v>
      </c>
      <c r="W1251" s="1">
        <v>16931.3</v>
      </c>
      <c r="X1251" s="1">
        <v>602.22</v>
      </c>
      <c r="Y1251" s="1">
        <v>1197</v>
      </c>
      <c r="Z1251" s="1">
        <v>69338.600000000006</v>
      </c>
      <c r="AA1251" s="1">
        <v>20.57</v>
      </c>
      <c r="AB1251" s="1">
        <v>4000</v>
      </c>
    </row>
    <row r="1252" spans="1:28" x14ac:dyDescent="0.4">
      <c r="A1252" s="1" t="s">
        <v>397</v>
      </c>
      <c r="B1252" s="1">
        <v>4000</v>
      </c>
      <c r="C1252" s="1">
        <v>0.2</v>
      </c>
      <c r="D1252" s="1">
        <v>0.5</v>
      </c>
      <c r="E1252" s="1">
        <v>500</v>
      </c>
      <c r="F1252" s="1">
        <v>2</v>
      </c>
      <c r="G1252" s="1">
        <v>1</v>
      </c>
      <c r="H1252" s="1" t="s">
        <v>592</v>
      </c>
      <c r="I1252" s="1">
        <v>136347</v>
      </c>
      <c r="J1252" s="1">
        <v>52262.2</v>
      </c>
      <c r="K1252" s="1">
        <v>84084.800000000003</v>
      </c>
      <c r="L1252" s="1">
        <v>1200</v>
      </c>
      <c r="M1252" s="1">
        <v>601.98</v>
      </c>
      <c r="N1252" s="1">
        <v>33689</v>
      </c>
      <c r="O1252" s="1">
        <v>48374.6</v>
      </c>
      <c r="P1252" s="1">
        <v>82063.600000000006</v>
      </c>
      <c r="Q1252" s="1">
        <v>15985.4</v>
      </c>
      <c r="R1252" s="1">
        <v>3103.9</v>
      </c>
      <c r="S1252" s="1">
        <v>19089.3</v>
      </c>
      <c r="T1252" s="1">
        <v>25.81</v>
      </c>
      <c r="U1252" s="1">
        <v>0.32</v>
      </c>
      <c r="V1252" s="1">
        <v>3055.6</v>
      </c>
      <c r="W1252" s="1">
        <v>19041</v>
      </c>
      <c r="X1252" s="1">
        <v>602.29999999999995</v>
      </c>
      <c r="Y1252" s="1">
        <v>1199</v>
      </c>
      <c r="Z1252" s="1">
        <v>101104.6</v>
      </c>
      <c r="AA1252" s="1">
        <v>25.85</v>
      </c>
      <c r="AB1252" s="1">
        <v>4000</v>
      </c>
    </row>
    <row r="1253" spans="1:28" x14ac:dyDescent="0.4">
      <c r="A1253" s="1" t="s">
        <v>398</v>
      </c>
      <c r="B1253" s="1">
        <v>4000</v>
      </c>
      <c r="C1253" s="1">
        <v>0.2</v>
      </c>
      <c r="D1253" s="1">
        <v>0.5</v>
      </c>
      <c r="E1253" s="1">
        <v>500</v>
      </c>
      <c r="F1253" s="1">
        <v>2</v>
      </c>
      <c r="G1253" s="1">
        <v>2</v>
      </c>
      <c r="H1253" s="1" t="s">
        <v>592</v>
      </c>
      <c r="I1253" s="1">
        <v>133994.6</v>
      </c>
      <c r="J1253" s="1">
        <v>51705.2</v>
      </c>
      <c r="K1253" s="1">
        <v>82289.399999999994</v>
      </c>
      <c r="L1253" s="1">
        <v>1200</v>
      </c>
      <c r="M1253" s="1">
        <v>600.96</v>
      </c>
      <c r="N1253" s="1">
        <v>32890.1</v>
      </c>
      <c r="O1253" s="1">
        <v>49695.6</v>
      </c>
      <c r="P1253" s="1">
        <v>82585.7</v>
      </c>
      <c r="Q1253" s="1">
        <v>14932</v>
      </c>
      <c r="R1253" s="1">
        <v>3055.4</v>
      </c>
      <c r="S1253" s="1">
        <v>17987.400000000001</v>
      </c>
      <c r="T1253" s="1">
        <v>24.94</v>
      </c>
      <c r="U1253" s="1">
        <v>0.21</v>
      </c>
      <c r="V1253" s="1">
        <v>3024.1</v>
      </c>
      <c r="W1253" s="1">
        <v>17956.099999999999</v>
      </c>
      <c r="X1253" s="1">
        <v>601.16999999999996</v>
      </c>
      <c r="Y1253" s="1">
        <v>1200</v>
      </c>
      <c r="Z1253" s="1">
        <v>100541.8</v>
      </c>
      <c r="AA1253" s="1">
        <v>24.97</v>
      </c>
      <c r="AB1253" s="1">
        <v>4000</v>
      </c>
    </row>
    <row r="1254" spans="1:28" x14ac:dyDescent="0.4">
      <c r="A1254" s="1" t="s">
        <v>399</v>
      </c>
      <c r="B1254" s="1">
        <v>4000</v>
      </c>
      <c r="C1254" s="1">
        <v>0.2</v>
      </c>
      <c r="D1254" s="1">
        <v>0.5</v>
      </c>
      <c r="E1254" s="1">
        <v>500</v>
      </c>
      <c r="F1254" s="1">
        <v>2</v>
      </c>
      <c r="G1254" s="1">
        <v>3</v>
      </c>
      <c r="H1254" s="1" t="s">
        <v>592</v>
      </c>
      <c r="I1254" s="1">
        <v>136946.70000000001</v>
      </c>
      <c r="J1254" s="1">
        <v>51685.9</v>
      </c>
      <c r="K1254" s="1">
        <v>85260.800000000003</v>
      </c>
      <c r="L1254" s="1">
        <v>1200</v>
      </c>
      <c r="M1254" s="1">
        <v>601.96</v>
      </c>
      <c r="N1254" s="1">
        <v>32797.4</v>
      </c>
      <c r="O1254" s="1">
        <v>50813.5</v>
      </c>
      <c r="P1254" s="1">
        <v>83610.899999999994</v>
      </c>
      <c r="Q1254" s="1">
        <v>15704.8</v>
      </c>
      <c r="R1254" s="1">
        <v>2760.7</v>
      </c>
      <c r="S1254" s="1">
        <v>18465.5</v>
      </c>
      <c r="T1254" s="1">
        <v>25.46</v>
      </c>
      <c r="U1254" s="1">
        <v>0.2</v>
      </c>
      <c r="V1254" s="1">
        <v>2731.6</v>
      </c>
      <c r="W1254" s="1">
        <v>18436.400000000001</v>
      </c>
      <c r="X1254" s="1">
        <v>602.16</v>
      </c>
      <c r="Y1254" s="1">
        <v>1200</v>
      </c>
      <c r="Z1254" s="1">
        <v>102047.3</v>
      </c>
      <c r="AA1254" s="1">
        <v>25.48</v>
      </c>
      <c r="AB1254" s="1">
        <v>4000</v>
      </c>
    </row>
    <row r="1255" spans="1:28" x14ac:dyDescent="0.4">
      <c r="A1255" s="1" t="s">
        <v>400</v>
      </c>
      <c r="B1255" s="1">
        <v>4000</v>
      </c>
      <c r="C1255" s="1">
        <v>0.2</v>
      </c>
      <c r="D1255" s="1">
        <v>0.5</v>
      </c>
      <c r="E1255" s="1">
        <v>500</v>
      </c>
      <c r="F1255" s="1">
        <v>2</v>
      </c>
      <c r="G1255" s="1">
        <v>4</v>
      </c>
      <c r="H1255" s="1" t="s">
        <v>592</v>
      </c>
      <c r="I1255" s="1">
        <v>130276.2</v>
      </c>
      <c r="J1255" s="1">
        <v>49319</v>
      </c>
      <c r="K1255" s="1">
        <v>80957.2</v>
      </c>
      <c r="L1255" s="1">
        <v>1200</v>
      </c>
      <c r="M1255" s="1">
        <v>601.11</v>
      </c>
      <c r="N1255" s="1">
        <v>30867.8</v>
      </c>
      <c r="O1255" s="1">
        <v>48451.6</v>
      </c>
      <c r="P1255" s="1">
        <v>79319.399999999994</v>
      </c>
      <c r="Q1255" s="1">
        <v>15198.5</v>
      </c>
      <c r="R1255" s="1">
        <v>2881.3</v>
      </c>
      <c r="S1255" s="1">
        <v>18079.8</v>
      </c>
      <c r="T1255" s="1">
        <v>25.24</v>
      </c>
      <c r="U1255" s="1">
        <v>0.24</v>
      </c>
      <c r="V1255" s="1">
        <v>2870.7</v>
      </c>
      <c r="W1255" s="1">
        <v>18069.2</v>
      </c>
      <c r="X1255" s="1">
        <v>601.35</v>
      </c>
      <c r="Y1255" s="1">
        <v>1200</v>
      </c>
      <c r="Z1255" s="1">
        <v>97388.6</v>
      </c>
      <c r="AA1255" s="1">
        <v>25.24</v>
      </c>
      <c r="AB1255" s="1">
        <v>4000</v>
      </c>
    </row>
    <row r="1256" spans="1:28" x14ac:dyDescent="0.4">
      <c r="A1256" s="1" t="s">
        <v>401</v>
      </c>
      <c r="B1256" s="1">
        <v>4000</v>
      </c>
      <c r="C1256" s="1">
        <v>0.2</v>
      </c>
      <c r="D1256" s="1">
        <v>0.5</v>
      </c>
      <c r="E1256" s="1">
        <v>500</v>
      </c>
      <c r="F1256" s="1">
        <v>2</v>
      </c>
      <c r="G1256" s="1">
        <v>5</v>
      </c>
      <c r="H1256" s="1" t="s">
        <v>592</v>
      </c>
      <c r="I1256" s="1">
        <v>126993.7</v>
      </c>
      <c r="J1256" s="1">
        <v>49785.9</v>
      </c>
      <c r="K1256" s="1">
        <v>77207.8</v>
      </c>
      <c r="L1256" s="1">
        <v>1200</v>
      </c>
      <c r="M1256" s="1">
        <v>600.89</v>
      </c>
      <c r="N1256" s="1">
        <v>31341.200000000001</v>
      </c>
      <c r="O1256" s="1">
        <v>45757</v>
      </c>
      <c r="P1256" s="1">
        <v>77098.2</v>
      </c>
      <c r="Q1256" s="1">
        <v>15184.4</v>
      </c>
      <c r="R1256" s="1">
        <v>3025</v>
      </c>
      <c r="S1256" s="1">
        <v>18209.400000000001</v>
      </c>
      <c r="T1256" s="1">
        <v>24.95</v>
      </c>
      <c r="U1256" s="1">
        <v>0.35</v>
      </c>
      <c r="V1256" s="1">
        <v>2969</v>
      </c>
      <c r="W1256" s="1">
        <v>18153.400000000001</v>
      </c>
      <c r="X1256" s="1">
        <v>601.24</v>
      </c>
      <c r="Y1256" s="1">
        <v>1200</v>
      </c>
      <c r="Z1256" s="1">
        <v>95251.6</v>
      </c>
      <c r="AA1256" s="1">
        <v>25</v>
      </c>
      <c r="AB1256" s="1">
        <v>4000</v>
      </c>
    </row>
    <row r="1257" spans="1:28" x14ac:dyDescent="0.4">
      <c r="A1257" s="1" t="s">
        <v>402</v>
      </c>
      <c r="B1257" s="1">
        <v>4000</v>
      </c>
      <c r="C1257" s="1">
        <v>0.2</v>
      </c>
      <c r="D1257" s="1">
        <v>0.5</v>
      </c>
      <c r="E1257" s="1">
        <v>500</v>
      </c>
      <c r="F1257" s="1">
        <v>3</v>
      </c>
      <c r="G1257" s="1">
        <v>1</v>
      </c>
      <c r="H1257" s="1" t="s">
        <v>592</v>
      </c>
      <c r="I1257" s="1">
        <v>178021</v>
      </c>
      <c r="J1257" s="1">
        <v>68456.800000000003</v>
      </c>
      <c r="K1257" s="1">
        <v>109564.2</v>
      </c>
      <c r="L1257" s="1">
        <v>1200</v>
      </c>
      <c r="M1257" s="1">
        <v>601.83000000000004</v>
      </c>
      <c r="N1257" s="1">
        <v>42518.6</v>
      </c>
      <c r="O1257" s="1">
        <v>65485.2</v>
      </c>
      <c r="P1257" s="1">
        <v>108003.8</v>
      </c>
      <c r="Q1257" s="1">
        <v>16614.3</v>
      </c>
      <c r="R1257" s="1">
        <v>3875.6</v>
      </c>
      <c r="S1257" s="1">
        <v>20489.900000000001</v>
      </c>
      <c r="T1257" s="1">
        <v>27.82</v>
      </c>
      <c r="U1257" s="1">
        <v>0.16</v>
      </c>
      <c r="V1257" s="1">
        <v>3826.7</v>
      </c>
      <c r="W1257" s="1">
        <v>20441</v>
      </c>
      <c r="X1257" s="1">
        <v>602</v>
      </c>
      <c r="Y1257" s="1">
        <v>1199</v>
      </c>
      <c r="Z1257" s="1">
        <v>128444.8</v>
      </c>
      <c r="AA1257" s="1">
        <v>27.85</v>
      </c>
      <c r="AB1257" s="1">
        <v>4000</v>
      </c>
    </row>
    <row r="1258" spans="1:28" x14ac:dyDescent="0.4">
      <c r="A1258" s="1" t="s">
        <v>403</v>
      </c>
      <c r="B1258" s="1">
        <v>4000</v>
      </c>
      <c r="C1258" s="1">
        <v>0.2</v>
      </c>
      <c r="D1258" s="1">
        <v>0.5</v>
      </c>
      <c r="E1258" s="1">
        <v>500</v>
      </c>
      <c r="F1258" s="1">
        <v>3</v>
      </c>
      <c r="G1258" s="1">
        <v>2</v>
      </c>
      <c r="H1258" s="1" t="s">
        <v>592</v>
      </c>
      <c r="I1258" s="1">
        <v>165633.4</v>
      </c>
      <c r="J1258" s="1">
        <v>62948.800000000003</v>
      </c>
      <c r="K1258" s="1">
        <v>102684.6</v>
      </c>
      <c r="L1258" s="1">
        <v>1200</v>
      </c>
      <c r="M1258" s="1">
        <v>601.91</v>
      </c>
      <c r="N1258" s="1">
        <v>39403.4</v>
      </c>
      <c r="O1258" s="1">
        <v>62049.4</v>
      </c>
      <c r="P1258" s="1">
        <v>101452.8</v>
      </c>
      <c r="Q1258" s="1">
        <v>15827</v>
      </c>
      <c r="R1258" s="1">
        <v>3643.1</v>
      </c>
      <c r="S1258" s="1">
        <v>19470.099999999999</v>
      </c>
      <c r="T1258" s="1">
        <v>26.99</v>
      </c>
      <c r="U1258" s="1">
        <v>0.25</v>
      </c>
      <c r="V1258" s="1">
        <v>3610.3</v>
      </c>
      <c r="W1258" s="1">
        <v>19437.3</v>
      </c>
      <c r="X1258" s="1">
        <v>602.16</v>
      </c>
      <c r="Y1258" s="1">
        <v>1198</v>
      </c>
      <c r="Z1258" s="1">
        <v>120890.1</v>
      </c>
      <c r="AA1258" s="1">
        <v>27.01</v>
      </c>
      <c r="AB1258" s="1">
        <v>4000</v>
      </c>
    </row>
    <row r="1259" spans="1:28" x14ac:dyDescent="0.4">
      <c r="A1259" s="1" t="s">
        <v>404</v>
      </c>
      <c r="B1259" s="1">
        <v>4000</v>
      </c>
      <c r="C1259" s="1">
        <v>0.2</v>
      </c>
      <c r="D1259" s="1">
        <v>0.5</v>
      </c>
      <c r="E1259" s="1">
        <v>500</v>
      </c>
      <c r="F1259" s="1">
        <v>3</v>
      </c>
      <c r="G1259" s="1">
        <v>3</v>
      </c>
      <c r="H1259" s="1" t="s">
        <v>592</v>
      </c>
      <c r="I1259" s="1">
        <v>174713</v>
      </c>
      <c r="J1259" s="1">
        <v>65933.399999999994</v>
      </c>
      <c r="K1259" s="1">
        <v>108779.6</v>
      </c>
      <c r="L1259" s="1">
        <v>1200</v>
      </c>
      <c r="M1259" s="1">
        <v>602.03</v>
      </c>
      <c r="N1259" s="1">
        <v>41441.1</v>
      </c>
      <c r="O1259" s="1">
        <v>66195.5</v>
      </c>
      <c r="P1259" s="1">
        <v>107636.6</v>
      </c>
      <c r="Q1259" s="1">
        <v>16946.7</v>
      </c>
      <c r="R1259" s="1">
        <v>3429.4</v>
      </c>
      <c r="S1259" s="1">
        <v>20376.099999999999</v>
      </c>
      <c r="T1259" s="1">
        <v>26.73</v>
      </c>
      <c r="U1259" s="1">
        <v>0.13</v>
      </c>
      <c r="V1259" s="1">
        <v>3412.1</v>
      </c>
      <c r="W1259" s="1">
        <v>20358.8</v>
      </c>
      <c r="X1259" s="1">
        <v>602.16</v>
      </c>
      <c r="Y1259" s="1">
        <v>1199</v>
      </c>
      <c r="Z1259" s="1">
        <v>127995.4</v>
      </c>
      <c r="AA1259" s="1">
        <v>26.74</v>
      </c>
      <c r="AB1259" s="1">
        <v>4000</v>
      </c>
    </row>
    <row r="1260" spans="1:28" x14ac:dyDescent="0.4">
      <c r="A1260" s="1" t="s">
        <v>405</v>
      </c>
      <c r="B1260" s="1">
        <v>4000</v>
      </c>
      <c r="C1260" s="1">
        <v>0.2</v>
      </c>
      <c r="D1260" s="1">
        <v>0.5</v>
      </c>
      <c r="E1260" s="1">
        <v>500</v>
      </c>
      <c r="F1260" s="1">
        <v>3</v>
      </c>
      <c r="G1260" s="1">
        <v>4</v>
      </c>
      <c r="H1260" s="1" t="s">
        <v>592</v>
      </c>
      <c r="I1260" s="1">
        <v>168294.1</v>
      </c>
      <c r="J1260" s="1">
        <v>65620.5</v>
      </c>
      <c r="K1260" s="1">
        <v>102673.60000000001</v>
      </c>
      <c r="L1260" s="1">
        <v>1200</v>
      </c>
      <c r="M1260" s="1">
        <v>601.42999999999995</v>
      </c>
      <c r="N1260" s="1">
        <v>41440.9</v>
      </c>
      <c r="O1260" s="1">
        <v>61133.9</v>
      </c>
      <c r="P1260" s="1">
        <v>102574.8</v>
      </c>
      <c r="Q1260" s="1">
        <v>16488.599999999999</v>
      </c>
      <c r="R1260" s="1">
        <v>3672.7</v>
      </c>
      <c r="S1260" s="1">
        <v>20161.3</v>
      </c>
      <c r="T1260" s="1">
        <v>27.07</v>
      </c>
      <c r="U1260" s="1">
        <v>0.15</v>
      </c>
      <c r="V1260" s="1">
        <v>3638.4</v>
      </c>
      <c r="W1260" s="1">
        <v>20127</v>
      </c>
      <c r="X1260" s="1">
        <v>601.59</v>
      </c>
      <c r="Y1260" s="1">
        <v>1199</v>
      </c>
      <c r="Z1260" s="1">
        <v>122701.8</v>
      </c>
      <c r="AA1260" s="1">
        <v>27.09</v>
      </c>
      <c r="AB1260" s="1">
        <v>4000</v>
      </c>
    </row>
    <row r="1261" spans="1:28" x14ac:dyDescent="0.4">
      <c r="A1261" s="1" t="s">
        <v>406</v>
      </c>
      <c r="B1261" s="1">
        <v>4000</v>
      </c>
      <c r="C1261" s="1">
        <v>0.2</v>
      </c>
      <c r="D1261" s="1">
        <v>0.5</v>
      </c>
      <c r="E1261" s="1">
        <v>500</v>
      </c>
      <c r="F1261" s="1">
        <v>3</v>
      </c>
      <c r="G1261" s="1">
        <v>5</v>
      </c>
      <c r="H1261" s="1" t="s">
        <v>592</v>
      </c>
      <c r="I1261" s="1">
        <v>172598.8</v>
      </c>
      <c r="J1261" s="1">
        <v>67794.8</v>
      </c>
      <c r="K1261" s="1">
        <v>104804</v>
      </c>
      <c r="L1261" s="1">
        <v>1200</v>
      </c>
      <c r="M1261" s="1">
        <v>600.91999999999996</v>
      </c>
      <c r="N1261" s="1">
        <v>42317</v>
      </c>
      <c r="O1261" s="1">
        <v>61752.4</v>
      </c>
      <c r="P1261" s="1">
        <v>104069.4</v>
      </c>
      <c r="Q1261" s="1">
        <v>16841.3</v>
      </c>
      <c r="R1261" s="1">
        <v>3528</v>
      </c>
      <c r="S1261" s="1">
        <v>20369.3</v>
      </c>
      <c r="T1261" s="1">
        <v>27.9</v>
      </c>
      <c r="U1261" s="1">
        <v>0.12</v>
      </c>
      <c r="V1261" s="1">
        <v>3489.4</v>
      </c>
      <c r="W1261" s="1">
        <v>20330.7</v>
      </c>
      <c r="X1261" s="1">
        <v>601.04</v>
      </c>
      <c r="Y1261" s="1">
        <v>1199</v>
      </c>
      <c r="Z1261" s="1">
        <v>124400.1</v>
      </c>
      <c r="AA1261" s="1">
        <v>27.93</v>
      </c>
      <c r="AB1261" s="1">
        <v>4000</v>
      </c>
    </row>
    <row r="1262" spans="1:28" x14ac:dyDescent="0.4">
      <c r="A1262" s="1" t="s">
        <v>75</v>
      </c>
      <c r="B1262" s="1">
        <v>4000</v>
      </c>
      <c r="C1262" s="1">
        <v>0.3</v>
      </c>
      <c r="D1262" s="1">
        <v>0.5</v>
      </c>
      <c r="E1262" s="1">
        <v>1000</v>
      </c>
      <c r="F1262" s="1">
        <v>1</v>
      </c>
      <c r="G1262" s="1">
        <v>1</v>
      </c>
      <c r="H1262" s="1" t="s">
        <v>592</v>
      </c>
      <c r="I1262" s="1">
        <v>175093.6</v>
      </c>
      <c r="J1262" s="1">
        <v>68226.600000000006</v>
      </c>
      <c r="K1262" s="1">
        <v>106867</v>
      </c>
      <c r="L1262" s="1">
        <v>1200</v>
      </c>
      <c r="M1262" s="1">
        <v>601.54</v>
      </c>
      <c r="N1262" s="1">
        <v>41291.800000000003</v>
      </c>
      <c r="O1262" s="1">
        <v>61157.1</v>
      </c>
      <c r="P1262" s="1">
        <v>102448.9</v>
      </c>
      <c r="Q1262" s="1">
        <v>21013.1</v>
      </c>
      <c r="R1262" s="1">
        <v>6670.3</v>
      </c>
      <c r="S1262" s="1">
        <v>27683.4</v>
      </c>
      <c r="T1262" s="1">
        <v>25.68</v>
      </c>
      <c r="U1262" s="1">
        <v>0.41</v>
      </c>
      <c r="V1262" s="1">
        <v>6565.5</v>
      </c>
      <c r="W1262" s="1">
        <v>27578.6</v>
      </c>
      <c r="X1262" s="1">
        <v>601.95000000000005</v>
      </c>
      <c r="Y1262" s="1">
        <v>1199</v>
      </c>
      <c r="Z1262" s="1">
        <v>130027.5</v>
      </c>
      <c r="AA1262" s="1">
        <v>25.74</v>
      </c>
      <c r="AB1262" s="1">
        <v>4000</v>
      </c>
    </row>
    <row r="1263" spans="1:28" x14ac:dyDescent="0.4">
      <c r="A1263" s="1" t="s">
        <v>76</v>
      </c>
      <c r="B1263" s="1">
        <v>4000</v>
      </c>
      <c r="C1263" s="1">
        <v>0.3</v>
      </c>
      <c r="D1263" s="1">
        <v>0.5</v>
      </c>
      <c r="E1263" s="1">
        <v>1000</v>
      </c>
      <c r="F1263" s="1">
        <v>1</v>
      </c>
      <c r="G1263" s="1">
        <v>2</v>
      </c>
      <c r="H1263" s="1" t="s">
        <v>592</v>
      </c>
      <c r="I1263" s="1">
        <v>175656.9</v>
      </c>
      <c r="J1263" s="1">
        <v>73099.600000000006</v>
      </c>
      <c r="K1263" s="1">
        <v>102557.3</v>
      </c>
      <c r="L1263" s="1">
        <v>1200</v>
      </c>
      <c r="M1263" s="1">
        <v>601.1</v>
      </c>
      <c r="N1263" s="1">
        <v>43333.1</v>
      </c>
      <c r="O1263" s="1">
        <v>59616.5</v>
      </c>
      <c r="P1263" s="1">
        <v>102949.6</v>
      </c>
      <c r="Q1263" s="1">
        <v>21084.6</v>
      </c>
      <c r="R1263" s="1">
        <v>6609.2</v>
      </c>
      <c r="S1263" s="1">
        <v>27693.8</v>
      </c>
      <c r="T1263" s="1">
        <v>25.63</v>
      </c>
      <c r="U1263" s="1">
        <v>0.37</v>
      </c>
      <c r="V1263" s="1">
        <v>6573.8</v>
      </c>
      <c r="W1263" s="1">
        <v>27658.400000000001</v>
      </c>
      <c r="X1263" s="1">
        <v>601.47</v>
      </c>
      <c r="Y1263" s="1">
        <v>1199</v>
      </c>
      <c r="Z1263" s="1">
        <v>130608</v>
      </c>
      <c r="AA1263" s="1">
        <v>25.65</v>
      </c>
      <c r="AB1263" s="1">
        <v>4000</v>
      </c>
    </row>
    <row r="1264" spans="1:28" x14ac:dyDescent="0.4">
      <c r="A1264" s="1" t="s">
        <v>77</v>
      </c>
      <c r="B1264" s="1">
        <v>4000</v>
      </c>
      <c r="C1264" s="1">
        <v>0.3</v>
      </c>
      <c r="D1264" s="1">
        <v>0.5</v>
      </c>
      <c r="E1264" s="1">
        <v>1000</v>
      </c>
      <c r="F1264" s="1">
        <v>1</v>
      </c>
      <c r="G1264" s="1">
        <v>3</v>
      </c>
      <c r="H1264" s="1" t="s">
        <v>592</v>
      </c>
      <c r="I1264" s="1">
        <v>169951.8</v>
      </c>
      <c r="J1264" s="1">
        <v>69742.100000000006</v>
      </c>
      <c r="K1264" s="1">
        <v>100209.7</v>
      </c>
      <c r="L1264" s="1">
        <v>1200</v>
      </c>
      <c r="M1264" s="1">
        <v>600.58000000000004</v>
      </c>
      <c r="N1264" s="1">
        <v>42041</v>
      </c>
      <c r="O1264" s="1">
        <v>58189.2</v>
      </c>
      <c r="P1264" s="1">
        <v>100230.2</v>
      </c>
      <c r="Q1264" s="1">
        <v>20490.3</v>
      </c>
      <c r="R1264" s="1">
        <v>6469.4</v>
      </c>
      <c r="S1264" s="1">
        <v>26959.7</v>
      </c>
      <c r="T1264" s="1">
        <v>25.16</v>
      </c>
      <c r="U1264" s="1">
        <v>0.26</v>
      </c>
      <c r="V1264" s="1">
        <v>6400.3</v>
      </c>
      <c r="W1264" s="1">
        <v>26890.6</v>
      </c>
      <c r="X1264" s="1">
        <v>600.83000000000004</v>
      </c>
      <c r="Y1264" s="1">
        <v>1196</v>
      </c>
      <c r="Z1264" s="1">
        <v>127120.8</v>
      </c>
      <c r="AA1264" s="1">
        <v>25.2</v>
      </c>
      <c r="AB1264" s="1">
        <v>4000</v>
      </c>
    </row>
    <row r="1265" spans="1:28" x14ac:dyDescent="0.4">
      <c r="A1265" s="1" t="s">
        <v>78</v>
      </c>
      <c r="B1265" s="1">
        <v>4000</v>
      </c>
      <c r="C1265" s="1">
        <v>0.3</v>
      </c>
      <c r="D1265" s="1">
        <v>0.5</v>
      </c>
      <c r="E1265" s="1">
        <v>1000</v>
      </c>
      <c r="F1265" s="1">
        <v>1</v>
      </c>
      <c r="G1265" s="1">
        <v>4</v>
      </c>
      <c r="H1265" s="1" t="s">
        <v>592</v>
      </c>
      <c r="I1265" s="1">
        <v>171916.6</v>
      </c>
      <c r="J1265" s="1">
        <v>69635.3</v>
      </c>
      <c r="K1265" s="1">
        <v>102281.3</v>
      </c>
      <c r="L1265" s="1">
        <v>1200</v>
      </c>
      <c r="M1265" s="1">
        <v>601.66999999999996</v>
      </c>
      <c r="N1265" s="1">
        <v>41010.5</v>
      </c>
      <c r="O1265" s="1">
        <v>59344.6</v>
      </c>
      <c r="P1265" s="1">
        <v>100355.1</v>
      </c>
      <c r="Q1265" s="1">
        <v>21149.1</v>
      </c>
      <c r="R1265" s="1">
        <v>6239.6</v>
      </c>
      <c r="S1265" s="1">
        <v>27388.7</v>
      </c>
      <c r="T1265" s="1">
        <v>25.69</v>
      </c>
      <c r="U1265" s="1">
        <v>0.32</v>
      </c>
      <c r="V1265" s="1">
        <v>6182.1</v>
      </c>
      <c r="W1265" s="1">
        <v>27331.200000000001</v>
      </c>
      <c r="X1265" s="1">
        <v>601.98</v>
      </c>
      <c r="Y1265" s="1">
        <v>1200</v>
      </c>
      <c r="Z1265" s="1">
        <v>127686.3</v>
      </c>
      <c r="AA1265" s="1">
        <v>25.73</v>
      </c>
      <c r="AB1265" s="1">
        <v>4000</v>
      </c>
    </row>
    <row r="1266" spans="1:28" x14ac:dyDescent="0.4">
      <c r="A1266" s="1" t="s">
        <v>79</v>
      </c>
      <c r="B1266" s="1">
        <v>4000</v>
      </c>
      <c r="C1266" s="1">
        <v>0.3</v>
      </c>
      <c r="D1266" s="1">
        <v>0.5</v>
      </c>
      <c r="E1266" s="1">
        <v>1000</v>
      </c>
      <c r="F1266" s="1">
        <v>1</v>
      </c>
      <c r="G1266" s="1">
        <v>5</v>
      </c>
      <c r="H1266" s="1" t="s">
        <v>592</v>
      </c>
      <c r="I1266" s="1">
        <v>176761.2</v>
      </c>
      <c r="J1266" s="1">
        <v>70693.100000000006</v>
      </c>
      <c r="K1266" s="1">
        <v>106068.1</v>
      </c>
      <c r="L1266" s="1">
        <v>1200</v>
      </c>
      <c r="M1266" s="1">
        <v>601.17999999999995</v>
      </c>
      <c r="N1266" s="1">
        <v>42947.6</v>
      </c>
      <c r="O1266" s="1">
        <v>62187.6</v>
      </c>
      <c r="P1266" s="1">
        <v>105135.2</v>
      </c>
      <c r="Q1266" s="1">
        <v>20637.2</v>
      </c>
      <c r="R1266" s="1">
        <v>6584.2</v>
      </c>
      <c r="S1266" s="1">
        <v>27221.4</v>
      </c>
      <c r="T1266" s="1">
        <v>25.12</v>
      </c>
      <c r="U1266" s="1">
        <v>0.35</v>
      </c>
      <c r="V1266" s="1">
        <v>6554.9</v>
      </c>
      <c r="W1266" s="1">
        <v>27192.1</v>
      </c>
      <c r="X1266" s="1">
        <v>601.53</v>
      </c>
      <c r="Y1266" s="1">
        <v>1199</v>
      </c>
      <c r="Z1266" s="1">
        <v>132327.29999999999</v>
      </c>
      <c r="AA1266" s="1">
        <v>25.14</v>
      </c>
      <c r="AB1266" s="1">
        <v>4000</v>
      </c>
    </row>
    <row r="1267" spans="1:28" x14ac:dyDescent="0.4">
      <c r="A1267" s="1" t="s">
        <v>80</v>
      </c>
      <c r="B1267" s="1">
        <v>4000</v>
      </c>
      <c r="C1267" s="1">
        <v>0.3</v>
      </c>
      <c r="D1267" s="1">
        <v>0.5</v>
      </c>
      <c r="E1267" s="1">
        <v>1000</v>
      </c>
      <c r="F1267" s="1">
        <v>2</v>
      </c>
      <c r="G1267" s="1">
        <v>1</v>
      </c>
      <c r="H1267" s="1" t="s">
        <v>592</v>
      </c>
      <c r="I1267" s="1">
        <v>267278.59999999998</v>
      </c>
      <c r="J1267" s="1">
        <v>104903.3</v>
      </c>
      <c r="K1267" s="1">
        <v>162375.29999999999</v>
      </c>
      <c r="L1267" s="1">
        <v>1200</v>
      </c>
      <c r="M1267" s="1">
        <v>601.21</v>
      </c>
      <c r="N1267" s="1">
        <v>65746.899999999994</v>
      </c>
      <c r="O1267" s="1">
        <v>96197.2</v>
      </c>
      <c r="P1267" s="1">
        <v>161944.1</v>
      </c>
      <c r="Q1267" s="1">
        <v>20500.7</v>
      </c>
      <c r="R1267" s="1">
        <v>6830.2</v>
      </c>
      <c r="S1267" s="1">
        <v>27330.9</v>
      </c>
      <c r="T1267" s="1">
        <v>29.18</v>
      </c>
      <c r="U1267" s="1">
        <v>0.44</v>
      </c>
      <c r="V1267" s="1">
        <v>6819.1</v>
      </c>
      <c r="W1267" s="1">
        <v>27319.8</v>
      </c>
      <c r="X1267" s="1">
        <v>601.64</v>
      </c>
      <c r="Y1267" s="1">
        <v>1199</v>
      </c>
      <c r="Z1267" s="1">
        <v>189263.9</v>
      </c>
      <c r="AA1267" s="1">
        <v>29.19</v>
      </c>
      <c r="AB1267" s="1">
        <v>4000</v>
      </c>
    </row>
    <row r="1268" spans="1:28" x14ac:dyDescent="0.4">
      <c r="A1268" s="1" t="s">
        <v>81</v>
      </c>
      <c r="B1268" s="1">
        <v>4000</v>
      </c>
      <c r="C1268" s="1">
        <v>0.3</v>
      </c>
      <c r="D1268" s="1">
        <v>0.5</v>
      </c>
      <c r="E1268" s="1">
        <v>1000</v>
      </c>
      <c r="F1268" s="1">
        <v>2</v>
      </c>
      <c r="G1268" s="1">
        <v>2</v>
      </c>
      <c r="H1268" s="1" t="s">
        <v>592</v>
      </c>
      <c r="I1268" s="1">
        <v>266574.40000000002</v>
      </c>
      <c r="J1268" s="1">
        <v>109573.5</v>
      </c>
      <c r="K1268" s="1">
        <v>157000.9</v>
      </c>
      <c r="L1268" s="1">
        <v>1200</v>
      </c>
      <c r="M1268" s="1">
        <v>600.01</v>
      </c>
      <c r="N1268" s="1">
        <v>66454.600000000006</v>
      </c>
      <c r="O1268" s="1">
        <v>92286.8</v>
      </c>
      <c r="P1268" s="1">
        <v>158741.4</v>
      </c>
      <c r="Q1268" s="1">
        <v>20569.400000000001</v>
      </c>
      <c r="R1268" s="1">
        <v>7518.3</v>
      </c>
      <c r="S1268" s="1">
        <v>28087.7</v>
      </c>
      <c r="T1268" s="1">
        <v>29.91</v>
      </c>
      <c r="U1268" s="1">
        <v>0.52</v>
      </c>
      <c r="V1268" s="1">
        <v>7439.7</v>
      </c>
      <c r="W1268" s="1">
        <v>28009.1</v>
      </c>
      <c r="X1268" s="1">
        <v>600.53</v>
      </c>
      <c r="Y1268" s="1">
        <v>1200</v>
      </c>
      <c r="Z1268" s="1">
        <v>186750.5</v>
      </c>
      <c r="AA1268" s="1">
        <v>29.94</v>
      </c>
      <c r="AB1268" s="1">
        <v>4000</v>
      </c>
    </row>
    <row r="1269" spans="1:28" x14ac:dyDescent="0.4">
      <c r="A1269" s="1" t="s">
        <v>82</v>
      </c>
      <c r="B1269" s="1">
        <v>4000</v>
      </c>
      <c r="C1269" s="1">
        <v>0.3</v>
      </c>
      <c r="D1269" s="1">
        <v>0.5</v>
      </c>
      <c r="E1269" s="1">
        <v>1000</v>
      </c>
      <c r="F1269" s="1">
        <v>2</v>
      </c>
      <c r="G1269" s="1">
        <v>3</v>
      </c>
      <c r="H1269" s="1" t="s">
        <v>592</v>
      </c>
      <c r="I1269" s="1">
        <v>270461.40000000002</v>
      </c>
      <c r="J1269" s="1">
        <v>108640.8</v>
      </c>
      <c r="K1269" s="1">
        <v>161820.6</v>
      </c>
      <c r="L1269" s="1">
        <v>1200</v>
      </c>
      <c r="M1269" s="1">
        <v>601.23</v>
      </c>
      <c r="N1269" s="1">
        <v>67654.8</v>
      </c>
      <c r="O1269" s="1">
        <v>94611.5</v>
      </c>
      <c r="P1269" s="1">
        <v>162266.29999999999</v>
      </c>
      <c r="Q1269" s="1">
        <v>20507.599999999999</v>
      </c>
      <c r="R1269" s="1">
        <v>6916</v>
      </c>
      <c r="S1269" s="1">
        <v>27423.599999999999</v>
      </c>
      <c r="T1269" s="1">
        <v>29.86</v>
      </c>
      <c r="U1269" s="1">
        <v>0.35</v>
      </c>
      <c r="V1269" s="1">
        <v>6905.4</v>
      </c>
      <c r="W1269" s="1">
        <v>27413</v>
      </c>
      <c r="X1269" s="1">
        <v>601.58000000000004</v>
      </c>
      <c r="Y1269" s="1">
        <v>1200</v>
      </c>
      <c r="Z1269" s="1">
        <v>189679.3</v>
      </c>
      <c r="AA1269" s="1">
        <v>29.87</v>
      </c>
      <c r="AB1269" s="1">
        <v>4000</v>
      </c>
    </row>
    <row r="1270" spans="1:28" x14ac:dyDescent="0.4">
      <c r="A1270" s="1" t="s">
        <v>83</v>
      </c>
      <c r="B1270" s="1">
        <v>4000</v>
      </c>
      <c r="C1270" s="1">
        <v>0.3</v>
      </c>
      <c r="D1270" s="1">
        <v>0.5</v>
      </c>
      <c r="E1270" s="1">
        <v>1000</v>
      </c>
      <c r="F1270" s="1">
        <v>2</v>
      </c>
      <c r="G1270" s="1">
        <v>4</v>
      </c>
      <c r="H1270" s="1" t="s">
        <v>592</v>
      </c>
      <c r="I1270" s="1">
        <v>276520.5</v>
      </c>
      <c r="J1270" s="1">
        <v>108151.8</v>
      </c>
      <c r="K1270" s="1">
        <v>168368.7</v>
      </c>
      <c r="L1270" s="1">
        <v>1200</v>
      </c>
      <c r="M1270" s="1">
        <v>600.94000000000005</v>
      </c>
      <c r="N1270" s="1">
        <v>69309.2</v>
      </c>
      <c r="O1270" s="1">
        <v>99337.8</v>
      </c>
      <c r="P1270" s="1">
        <v>168647</v>
      </c>
      <c r="Q1270" s="1">
        <v>20387</v>
      </c>
      <c r="R1270" s="1">
        <v>6980.3</v>
      </c>
      <c r="S1270" s="1">
        <v>27367.3</v>
      </c>
      <c r="T1270" s="1">
        <v>29.11</v>
      </c>
      <c r="U1270" s="1">
        <v>0.52</v>
      </c>
      <c r="V1270" s="1">
        <v>6955.8</v>
      </c>
      <c r="W1270" s="1">
        <v>27342.799999999999</v>
      </c>
      <c r="X1270" s="1">
        <v>601.45000000000005</v>
      </c>
      <c r="Y1270" s="1">
        <v>1200</v>
      </c>
      <c r="Z1270" s="1">
        <v>195989.8</v>
      </c>
      <c r="AA1270" s="1">
        <v>29.12</v>
      </c>
      <c r="AB1270" s="1">
        <v>4000</v>
      </c>
    </row>
    <row r="1271" spans="1:28" x14ac:dyDescent="0.4">
      <c r="A1271" s="1" t="s">
        <v>84</v>
      </c>
      <c r="B1271" s="1">
        <v>4000</v>
      </c>
      <c r="C1271" s="1">
        <v>0.3</v>
      </c>
      <c r="D1271" s="1">
        <v>0.5</v>
      </c>
      <c r="E1271" s="1">
        <v>1000</v>
      </c>
      <c r="F1271" s="1">
        <v>2</v>
      </c>
      <c r="G1271" s="1">
        <v>5</v>
      </c>
      <c r="H1271" s="1" t="s">
        <v>592</v>
      </c>
      <c r="I1271" s="1">
        <v>269398.09999999998</v>
      </c>
      <c r="J1271" s="1">
        <v>105268.2</v>
      </c>
      <c r="K1271" s="1">
        <v>164129.9</v>
      </c>
      <c r="L1271" s="1">
        <v>1200</v>
      </c>
      <c r="M1271" s="1">
        <v>601.19000000000005</v>
      </c>
      <c r="N1271" s="1">
        <v>65393.8</v>
      </c>
      <c r="O1271" s="1">
        <v>96169.4</v>
      </c>
      <c r="P1271" s="1">
        <v>161563.20000000001</v>
      </c>
      <c r="Q1271" s="1">
        <v>20733</v>
      </c>
      <c r="R1271" s="1">
        <v>7136.6</v>
      </c>
      <c r="S1271" s="1">
        <v>27869.599999999999</v>
      </c>
      <c r="T1271" s="1">
        <v>29.68</v>
      </c>
      <c r="U1271" s="1">
        <v>0.4</v>
      </c>
      <c r="V1271" s="1">
        <v>7135.2</v>
      </c>
      <c r="W1271" s="1">
        <v>27868.2</v>
      </c>
      <c r="X1271" s="1">
        <v>601.59</v>
      </c>
      <c r="Y1271" s="1">
        <v>1192</v>
      </c>
      <c r="Z1271" s="1">
        <v>189431.4</v>
      </c>
      <c r="AA1271" s="1">
        <v>29.68</v>
      </c>
      <c r="AB1271" s="1">
        <v>4000</v>
      </c>
    </row>
    <row r="1272" spans="1:28" x14ac:dyDescent="0.4">
      <c r="A1272" s="1" t="s">
        <v>85</v>
      </c>
      <c r="B1272" s="1">
        <v>4000</v>
      </c>
      <c r="C1272" s="1">
        <v>0.3</v>
      </c>
      <c r="D1272" s="1">
        <v>0.5</v>
      </c>
      <c r="E1272" s="1">
        <v>1000</v>
      </c>
      <c r="F1272" s="1">
        <v>3</v>
      </c>
      <c r="G1272" s="1">
        <v>1</v>
      </c>
      <c r="H1272" s="1" t="s">
        <v>592</v>
      </c>
      <c r="I1272" s="1">
        <v>356848.3</v>
      </c>
      <c r="J1272" s="1">
        <v>144262.29999999999</v>
      </c>
      <c r="K1272" s="1">
        <v>212586</v>
      </c>
      <c r="L1272" s="1">
        <v>1200</v>
      </c>
      <c r="M1272" s="1">
        <v>601.71</v>
      </c>
      <c r="N1272" s="1">
        <v>89359</v>
      </c>
      <c r="O1272" s="1">
        <v>127081.7</v>
      </c>
      <c r="P1272" s="1">
        <v>216440.7</v>
      </c>
      <c r="Q1272" s="1">
        <v>21238</v>
      </c>
      <c r="R1272" s="1">
        <v>7562.7</v>
      </c>
      <c r="S1272" s="1">
        <v>28800.7</v>
      </c>
      <c r="T1272" s="1">
        <v>31.28</v>
      </c>
      <c r="U1272" s="1">
        <v>0.39</v>
      </c>
      <c r="V1272" s="1">
        <v>7545.8</v>
      </c>
      <c r="W1272" s="1">
        <v>28783.8</v>
      </c>
      <c r="X1272" s="1">
        <v>602.09</v>
      </c>
      <c r="Y1272" s="1">
        <v>1200</v>
      </c>
      <c r="Z1272" s="1">
        <v>245224.5</v>
      </c>
      <c r="AA1272" s="1">
        <v>31.28</v>
      </c>
      <c r="AB1272" s="1">
        <v>4000</v>
      </c>
    </row>
    <row r="1273" spans="1:28" x14ac:dyDescent="0.4">
      <c r="A1273" s="1" t="s">
        <v>86</v>
      </c>
      <c r="B1273" s="1">
        <v>4000</v>
      </c>
      <c r="C1273" s="1">
        <v>0.3</v>
      </c>
      <c r="D1273" s="1">
        <v>0.5</v>
      </c>
      <c r="E1273" s="1">
        <v>1000</v>
      </c>
      <c r="F1273" s="1">
        <v>3</v>
      </c>
      <c r="G1273" s="1">
        <v>2</v>
      </c>
      <c r="H1273" s="1" t="s">
        <v>592</v>
      </c>
      <c r="I1273" s="1">
        <v>328960.90000000002</v>
      </c>
      <c r="J1273" s="1">
        <v>126352.7</v>
      </c>
      <c r="K1273" s="1">
        <v>202608.2</v>
      </c>
      <c r="L1273" s="1">
        <v>1200</v>
      </c>
      <c r="M1273" s="1">
        <v>601.03</v>
      </c>
      <c r="N1273" s="1">
        <v>79567.399999999994</v>
      </c>
      <c r="O1273" s="1">
        <v>120484.7</v>
      </c>
      <c r="P1273" s="1">
        <v>200052.1</v>
      </c>
      <c r="Q1273" s="1">
        <v>20354.5</v>
      </c>
      <c r="R1273" s="1">
        <v>7481.5</v>
      </c>
      <c r="S1273" s="1">
        <v>27836</v>
      </c>
      <c r="T1273" s="1">
        <v>30.72</v>
      </c>
      <c r="U1273" s="1">
        <v>0.5</v>
      </c>
      <c r="V1273" s="1">
        <v>7419.1</v>
      </c>
      <c r="W1273" s="1">
        <v>27773.599999999999</v>
      </c>
      <c r="X1273" s="1">
        <v>601.53</v>
      </c>
      <c r="Y1273" s="1">
        <v>1199</v>
      </c>
      <c r="Z1273" s="1">
        <v>227825.7</v>
      </c>
      <c r="AA1273" s="1">
        <v>30.74</v>
      </c>
      <c r="AB1273" s="1">
        <v>4000</v>
      </c>
    </row>
    <row r="1274" spans="1:28" x14ac:dyDescent="0.4">
      <c r="A1274" s="1" t="s">
        <v>87</v>
      </c>
      <c r="B1274" s="1">
        <v>4000</v>
      </c>
      <c r="C1274" s="1">
        <v>0.3</v>
      </c>
      <c r="D1274" s="1">
        <v>0.5</v>
      </c>
      <c r="E1274" s="1">
        <v>1000</v>
      </c>
      <c r="F1274" s="1">
        <v>3</v>
      </c>
      <c r="G1274" s="1">
        <v>3</v>
      </c>
      <c r="H1274" s="1" t="s">
        <v>592</v>
      </c>
      <c r="I1274" s="1">
        <v>355550</v>
      </c>
      <c r="J1274" s="1">
        <v>132273.1</v>
      </c>
      <c r="K1274" s="1">
        <v>223276.9</v>
      </c>
      <c r="L1274" s="1">
        <v>1200</v>
      </c>
      <c r="M1274" s="1">
        <v>601.71</v>
      </c>
      <c r="N1274" s="1">
        <v>83527.100000000006</v>
      </c>
      <c r="O1274" s="1">
        <v>131760.29999999999</v>
      </c>
      <c r="P1274" s="1">
        <v>215287.4</v>
      </c>
      <c r="Q1274" s="1">
        <v>21156.3</v>
      </c>
      <c r="R1274" s="1">
        <v>7477.9</v>
      </c>
      <c r="S1274" s="1">
        <v>28634.2</v>
      </c>
      <c r="T1274" s="1">
        <v>31.4</v>
      </c>
      <c r="U1274" s="1">
        <v>0.41</v>
      </c>
      <c r="V1274" s="1">
        <v>7449.3</v>
      </c>
      <c r="W1274" s="1">
        <v>28605.599999999999</v>
      </c>
      <c r="X1274" s="1">
        <v>602.11</v>
      </c>
      <c r="Y1274" s="1">
        <v>1200</v>
      </c>
      <c r="Z1274" s="1">
        <v>243893</v>
      </c>
      <c r="AA1274" s="1">
        <v>31.4</v>
      </c>
      <c r="AB1274" s="1">
        <v>4000</v>
      </c>
    </row>
    <row r="1275" spans="1:28" x14ac:dyDescent="0.4">
      <c r="A1275" s="1" t="s">
        <v>88</v>
      </c>
      <c r="B1275" s="1">
        <v>4000</v>
      </c>
      <c r="C1275" s="1">
        <v>0.3</v>
      </c>
      <c r="D1275" s="1">
        <v>0.5</v>
      </c>
      <c r="E1275" s="1">
        <v>1000</v>
      </c>
      <c r="F1275" s="1">
        <v>3</v>
      </c>
      <c r="G1275" s="1">
        <v>4</v>
      </c>
      <c r="H1275" s="1" t="s">
        <v>592</v>
      </c>
      <c r="I1275" s="1">
        <v>350010.5</v>
      </c>
      <c r="J1275" s="1">
        <v>134680.70000000001</v>
      </c>
      <c r="K1275" s="1">
        <v>215329.8</v>
      </c>
      <c r="L1275" s="1">
        <v>1200</v>
      </c>
      <c r="M1275" s="1">
        <v>601.74</v>
      </c>
      <c r="N1275" s="1">
        <v>84681.1</v>
      </c>
      <c r="O1275" s="1">
        <v>127666.6</v>
      </c>
      <c r="P1275" s="1">
        <v>212347.7</v>
      </c>
      <c r="Q1275" s="1">
        <v>21266.400000000001</v>
      </c>
      <c r="R1275" s="1">
        <v>7430.5</v>
      </c>
      <c r="S1275" s="1">
        <v>28696.9</v>
      </c>
      <c r="T1275" s="1">
        <v>31.13</v>
      </c>
      <c r="U1275" s="1">
        <v>0.47</v>
      </c>
      <c r="V1275" s="1">
        <v>7404.3</v>
      </c>
      <c r="W1275" s="1">
        <v>28670.7</v>
      </c>
      <c r="X1275" s="1">
        <v>602.21</v>
      </c>
      <c r="Y1275" s="1">
        <v>1199</v>
      </c>
      <c r="Z1275" s="1">
        <v>241018.4</v>
      </c>
      <c r="AA1275" s="1">
        <v>31.14</v>
      </c>
      <c r="AB1275" s="1">
        <v>4000</v>
      </c>
    </row>
    <row r="1276" spans="1:28" x14ac:dyDescent="0.4">
      <c r="A1276" s="1" t="s">
        <v>89</v>
      </c>
      <c r="B1276" s="1">
        <v>4000</v>
      </c>
      <c r="C1276" s="1">
        <v>0.3</v>
      </c>
      <c r="D1276" s="1">
        <v>0.5</v>
      </c>
      <c r="E1276" s="1">
        <v>1000</v>
      </c>
      <c r="F1276" s="1">
        <v>3</v>
      </c>
      <c r="G1276" s="1">
        <v>5</v>
      </c>
      <c r="H1276" s="1" t="s">
        <v>592</v>
      </c>
      <c r="I1276" s="1">
        <v>358853.9</v>
      </c>
      <c r="J1276" s="1">
        <v>135489.60000000001</v>
      </c>
      <c r="K1276" s="1">
        <v>223364.3</v>
      </c>
      <c r="L1276" s="1">
        <v>1200</v>
      </c>
      <c r="M1276" s="1">
        <v>600.01</v>
      </c>
      <c r="N1276" s="1">
        <v>83605.8</v>
      </c>
      <c r="O1276" s="1">
        <v>133502.1</v>
      </c>
      <c r="P1276" s="1">
        <v>217107.9</v>
      </c>
      <c r="Q1276" s="1">
        <v>21061.7</v>
      </c>
      <c r="R1276" s="1">
        <v>7570.3</v>
      </c>
      <c r="S1276" s="1">
        <v>28632</v>
      </c>
      <c r="T1276" s="1">
        <v>31.52</v>
      </c>
      <c r="U1276" s="1">
        <v>0.6</v>
      </c>
      <c r="V1276" s="1">
        <v>7527.7</v>
      </c>
      <c r="W1276" s="1">
        <v>28589.4</v>
      </c>
      <c r="X1276" s="1">
        <v>600.61</v>
      </c>
      <c r="Y1276" s="1">
        <v>1200</v>
      </c>
      <c r="Z1276" s="1">
        <v>245697.3</v>
      </c>
      <c r="AA1276" s="1">
        <v>31.53</v>
      </c>
      <c r="AB1276" s="1">
        <v>4000</v>
      </c>
    </row>
    <row r="1277" spans="1:28" x14ac:dyDescent="0.4">
      <c r="A1277" s="1" t="s">
        <v>407</v>
      </c>
      <c r="B1277" s="1">
        <v>4000</v>
      </c>
      <c r="C1277" s="1">
        <v>0.3</v>
      </c>
      <c r="D1277" s="1">
        <v>0.5</v>
      </c>
      <c r="E1277" s="1">
        <v>2000</v>
      </c>
      <c r="F1277" s="1">
        <v>1</v>
      </c>
      <c r="G1277" s="1">
        <v>1</v>
      </c>
      <c r="H1277" s="1" t="s">
        <v>592</v>
      </c>
      <c r="I1277" s="1">
        <v>348568.8</v>
      </c>
      <c r="J1277" s="1">
        <v>140450.6</v>
      </c>
      <c r="K1277" s="1">
        <v>208118.2</v>
      </c>
      <c r="L1277" s="1">
        <v>1200</v>
      </c>
      <c r="M1277" s="1">
        <v>601.1</v>
      </c>
      <c r="N1277" s="1">
        <v>88877.7</v>
      </c>
      <c r="O1277" s="1">
        <v>125219.8</v>
      </c>
      <c r="P1277" s="1">
        <v>214097.5</v>
      </c>
      <c r="Q1277" s="1">
        <v>26887.599999999999</v>
      </c>
      <c r="R1277" s="1">
        <v>10221.700000000001</v>
      </c>
      <c r="S1277" s="1">
        <v>37109.300000000003</v>
      </c>
      <c r="T1277" s="1">
        <v>27.93</v>
      </c>
      <c r="U1277" s="1">
        <v>0.28999999999999998</v>
      </c>
      <c r="V1277" s="1">
        <v>10204.799999999999</v>
      </c>
      <c r="W1277" s="1">
        <v>37092.400000000001</v>
      </c>
      <c r="X1277" s="1">
        <v>601.39</v>
      </c>
      <c r="Y1277" s="1">
        <v>1200</v>
      </c>
      <c r="Z1277" s="1">
        <v>251189.9</v>
      </c>
      <c r="AA1277" s="1">
        <v>27.94</v>
      </c>
      <c r="AB1277" s="1">
        <v>4000</v>
      </c>
    </row>
    <row r="1278" spans="1:28" x14ac:dyDescent="0.4">
      <c r="A1278" s="1" t="s">
        <v>408</v>
      </c>
      <c r="B1278" s="1">
        <v>4000</v>
      </c>
      <c r="C1278" s="1">
        <v>0.3</v>
      </c>
      <c r="D1278" s="1">
        <v>0.5</v>
      </c>
      <c r="E1278" s="1">
        <v>2000</v>
      </c>
      <c r="F1278" s="1">
        <v>1</v>
      </c>
      <c r="G1278" s="1">
        <v>2</v>
      </c>
      <c r="H1278" s="1" t="s">
        <v>592</v>
      </c>
      <c r="I1278" s="1">
        <v>356227.2</v>
      </c>
      <c r="J1278" s="1">
        <v>144468.4</v>
      </c>
      <c r="K1278" s="1">
        <v>211758.8</v>
      </c>
      <c r="L1278" s="1">
        <v>1200</v>
      </c>
      <c r="M1278" s="1">
        <v>600.92999999999995</v>
      </c>
      <c r="N1278" s="1">
        <v>89558.1</v>
      </c>
      <c r="O1278" s="1">
        <v>128632.8</v>
      </c>
      <c r="P1278" s="1">
        <v>218190.9</v>
      </c>
      <c r="Q1278" s="1">
        <v>26845.8</v>
      </c>
      <c r="R1278" s="1">
        <v>9806</v>
      </c>
      <c r="S1278" s="1">
        <v>36651.800000000003</v>
      </c>
      <c r="T1278" s="1">
        <v>28.46</v>
      </c>
      <c r="U1278" s="1">
        <v>0.3</v>
      </c>
      <c r="V1278" s="1">
        <v>9751.6</v>
      </c>
      <c r="W1278" s="1">
        <v>36597.4</v>
      </c>
      <c r="X1278" s="1">
        <v>601.22</v>
      </c>
      <c r="Y1278" s="1">
        <v>1200</v>
      </c>
      <c r="Z1278" s="1">
        <v>254788.3</v>
      </c>
      <c r="AA1278" s="1">
        <v>28.48</v>
      </c>
      <c r="AB1278" s="1">
        <v>4000</v>
      </c>
    </row>
    <row r="1279" spans="1:28" x14ac:dyDescent="0.4">
      <c r="A1279" s="1" t="s">
        <v>409</v>
      </c>
      <c r="B1279" s="1">
        <v>4000</v>
      </c>
      <c r="C1279" s="1">
        <v>0.3</v>
      </c>
      <c r="D1279" s="1">
        <v>0.5</v>
      </c>
      <c r="E1279" s="1">
        <v>2000</v>
      </c>
      <c r="F1279" s="1">
        <v>1</v>
      </c>
      <c r="G1279" s="1">
        <v>3</v>
      </c>
      <c r="H1279" s="1" t="s">
        <v>592</v>
      </c>
      <c r="I1279" s="1">
        <v>352439.3</v>
      </c>
      <c r="J1279" s="1">
        <v>140867.20000000001</v>
      </c>
      <c r="K1279" s="1">
        <v>211572.1</v>
      </c>
      <c r="L1279" s="1">
        <v>1200</v>
      </c>
      <c r="M1279" s="1">
        <v>601.54999999999995</v>
      </c>
      <c r="N1279" s="1">
        <v>87501.2</v>
      </c>
      <c r="O1279" s="1">
        <v>126035.2</v>
      </c>
      <c r="P1279" s="1">
        <v>213536.4</v>
      </c>
      <c r="Q1279" s="1">
        <v>27318.7</v>
      </c>
      <c r="R1279" s="1">
        <v>9931.7000000000007</v>
      </c>
      <c r="S1279" s="1">
        <v>37250.400000000001</v>
      </c>
      <c r="T1279" s="1">
        <v>28.84</v>
      </c>
      <c r="U1279" s="1">
        <v>0.27</v>
      </c>
      <c r="V1279" s="1">
        <v>9926.2000000000007</v>
      </c>
      <c r="W1279" s="1">
        <v>37244.9</v>
      </c>
      <c r="X1279" s="1">
        <v>601.83000000000004</v>
      </c>
      <c r="Y1279" s="1">
        <v>1200</v>
      </c>
      <c r="Z1279" s="1">
        <v>250781.3</v>
      </c>
      <c r="AA1279" s="1">
        <v>28.84</v>
      </c>
      <c r="AB1279" s="1">
        <v>4000</v>
      </c>
    </row>
    <row r="1280" spans="1:28" x14ac:dyDescent="0.4">
      <c r="A1280" s="1" t="s">
        <v>410</v>
      </c>
      <c r="B1280" s="1">
        <v>4000</v>
      </c>
      <c r="C1280" s="1">
        <v>0.3</v>
      </c>
      <c r="D1280" s="1">
        <v>0.5</v>
      </c>
      <c r="E1280" s="1">
        <v>2000</v>
      </c>
      <c r="F1280" s="1">
        <v>1</v>
      </c>
      <c r="G1280" s="1">
        <v>4</v>
      </c>
      <c r="H1280" s="1" t="s">
        <v>592</v>
      </c>
      <c r="I1280" s="1">
        <v>362583.2</v>
      </c>
      <c r="J1280" s="1">
        <v>147633</v>
      </c>
      <c r="K1280" s="1">
        <v>214950.2</v>
      </c>
      <c r="L1280" s="1">
        <v>1200</v>
      </c>
      <c r="M1280" s="1">
        <v>600.84</v>
      </c>
      <c r="N1280" s="1">
        <v>89992.8</v>
      </c>
      <c r="O1280" s="1">
        <v>130028.9</v>
      </c>
      <c r="P1280" s="1">
        <v>220021.7</v>
      </c>
      <c r="Q1280" s="1">
        <v>27280.3</v>
      </c>
      <c r="R1280" s="1">
        <v>9541</v>
      </c>
      <c r="S1280" s="1">
        <v>36821.300000000003</v>
      </c>
      <c r="T1280" s="1">
        <v>29.16</v>
      </c>
      <c r="U1280" s="1">
        <v>0.26</v>
      </c>
      <c r="V1280" s="1">
        <v>9509</v>
      </c>
      <c r="W1280" s="1">
        <v>36789.300000000003</v>
      </c>
      <c r="X1280" s="1">
        <v>601.1</v>
      </c>
      <c r="Y1280" s="1">
        <v>1198</v>
      </c>
      <c r="Z1280" s="1">
        <v>256811</v>
      </c>
      <c r="AA1280" s="1">
        <v>29.17</v>
      </c>
      <c r="AB1280" s="1">
        <v>4000</v>
      </c>
    </row>
    <row r="1281" spans="1:28" x14ac:dyDescent="0.4">
      <c r="A1281" s="1" t="s">
        <v>411</v>
      </c>
      <c r="B1281" s="1">
        <v>4000</v>
      </c>
      <c r="C1281" s="1">
        <v>0.3</v>
      </c>
      <c r="D1281" s="1">
        <v>0.5</v>
      </c>
      <c r="E1281" s="1">
        <v>2000</v>
      </c>
      <c r="F1281" s="1">
        <v>1</v>
      </c>
      <c r="G1281" s="1">
        <v>5</v>
      </c>
      <c r="H1281" s="1" t="s">
        <v>592</v>
      </c>
      <c r="I1281" s="1">
        <v>357055</v>
      </c>
      <c r="J1281" s="1">
        <v>142400.4</v>
      </c>
      <c r="K1281" s="1">
        <v>214654.6</v>
      </c>
      <c r="L1281" s="1">
        <v>1200</v>
      </c>
      <c r="M1281" s="1">
        <v>600.92999999999995</v>
      </c>
      <c r="N1281" s="1">
        <v>89826.5</v>
      </c>
      <c r="O1281" s="1">
        <v>132870.9</v>
      </c>
      <c r="P1281" s="1">
        <v>222697.4</v>
      </c>
      <c r="Q1281" s="1">
        <v>26403.7</v>
      </c>
      <c r="R1281" s="1">
        <v>9407.1</v>
      </c>
      <c r="S1281" s="1">
        <v>35810.800000000003</v>
      </c>
      <c r="T1281" s="1">
        <v>27.6</v>
      </c>
      <c r="U1281" s="1">
        <v>0.33</v>
      </c>
      <c r="V1281" s="1">
        <v>9390.2000000000007</v>
      </c>
      <c r="W1281" s="1">
        <v>35793.9</v>
      </c>
      <c r="X1281" s="1">
        <v>601.26</v>
      </c>
      <c r="Y1281" s="1">
        <v>1200</v>
      </c>
      <c r="Z1281" s="1">
        <v>258491.3</v>
      </c>
      <c r="AA1281" s="1">
        <v>27.6</v>
      </c>
      <c r="AB1281" s="1">
        <v>4000</v>
      </c>
    </row>
    <row r="1282" spans="1:28" x14ac:dyDescent="0.4">
      <c r="A1282" s="1" t="s">
        <v>412</v>
      </c>
      <c r="B1282" s="1">
        <v>4000</v>
      </c>
      <c r="C1282" s="1">
        <v>0.3</v>
      </c>
      <c r="D1282" s="1">
        <v>0.5</v>
      </c>
      <c r="E1282" s="1">
        <v>2000</v>
      </c>
      <c r="F1282" s="1">
        <v>2</v>
      </c>
      <c r="G1282" s="1">
        <v>1</v>
      </c>
      <c r="H1282" s="1" t="s">
        <v>592</v>
      </c>
      <c r="I1282" s="1">
        <v>525680.9</v>
      </c>
      <c r="J1282" s="1">
        <v>196095.8</v>
      </c>
      <c r="K1282" s="1">
        <v>329585.09999999998</v>
      </c>
      <c r="L1282" s="1">
        <v>1200</v>
      </c>
      <c r="M1282" s="1">
        <v>601.61</v>
      </c>
      <c r="N1282" s="1">
        <v>131766.79999999999</v>
      </c>
      <c r="O1282" s="1">
        <v>205492</v>
      </c>
      <c r="P1282" s="1">
        <v>337258.8</v>
      </c>
      <c r="Q1282" s="1">
        <v>23879</v>
      </c>
      <c r="R1282" s="1">
        <v>9062.2000000000007</v>
      </c>
      <c r="S1282" s="1">
        <v>32941.199999999997</v>
      </c>
      <c r="T1282" s="1">
        <v>29.58</v>
      </c>
      <c r="U1282" s="1">
        <v>0.63</v>
      </c>
      <c r="V1282" s="1">
        <v>9043.9</v>
      </c>
      <c r="W1282" s="1">
        <v>32922.9</v>
      </c>
      <c r="X1282" s="1">
        <v>602.24</v>
      </c>
      <c r="Y1282" s="1">
        <v>1199</v>
      </c>
      <c r="Z1282" s="1">
        <v>370181.7</v>
      </c>
      <c r="AA1282" s="1">
        <v>29.58</v>
      </c>
      <c r="AB1282" s="1">
        <v>4000</v>
      </c>
    </row>
    <row r="1283" spans="1:28" x14ac:dyDescent="0.4">
      <c r="A1283" s="1" t="s">
        <v>413</v>
      </c>
      <c r="B1283" s="1">
        <v>4000</v>
      </c>
      <c r="C1283" s="1">
        <v>0.3</v>
      </c>
      <c r="D1283" s="1">
        <v>0.5</v>
      </c>
      <c r="E1283" s="1">
        <v>2000</v>
      </c>
      <c r="F1283" s="1">
        <v>2</v>
      </c>
      <c r="G1283" s="1">
        <v>2</v>
      </c>
      <c r="H1283" s="1" t="s">
        <v>592</v>
      </c>
      <c r="I1283" s="1">
        <v>542626.4</v>
      </c>
      <c r="J1283" s="1">
        <v>209886.9</v>
      </c>
      <c r="K1283" s="1">
        <v>332739.5</v>
      </c>
      <c r="L1283" s="1">
        <v>1200</v>
      </c>
      <c r="M1283" s="1">
        <v>601.35</v>
      </c>
      <c r="N1283" s="1">
        <v>135101.1</v>
      </c>
      <c r="O1283" s="1">
        <v>206571.5</v>
      </c>
      <c r="P1283" s="1">
        <v>341672.6</v>
      </c>
      <c r="Q1283" s="1">
        <v>24927.8</v>
      </c>
      <c r="R1283" s="1">
        <v>9267.2000000000007</v>
      </c>
      <c r="S1283" s="1">
        <v>34195</v>
      </c>
      <c r="T1283" s="1">
        <v>30.73</v>
      </c>
      <c r="U1283" s="1">
        <v>0.45</v>
      </c>
      <c r="V1283" s="1">
        <v>9259.4</v>
      </c>
      <c r="W1283" s="1">
        <v>34187.199999999997</v>
      </c>
      <c r="X1283" s="1">
        <v>601.79</v>
      </c>
      <c r="Y1283" s="1">
        <v>1200</v>
      </c>
      <c r="Z1283" s="1">
        <v>375859.8</v>
      </c>
      <c r="AA1283" s="1">
        <v>30.73</v>
      </c>
      <c r="AB1283" s="1">
        <v>4000</v>
      </c>
    </row>
    <row r="1284" spans="1:28" x14ac:dyDescent="0.4">
      <c r="A1284" s="1" t="s">
        <v>414</v>
      </c>
      <c r="B1284" s="1">
        <v>4000</v>
      </c>
      <c r="C1284" s="1">
        <v>0.3</v>
      </c>
      <c r="D1284" s="1">
        <v>0.5</v>
      </c>
      <c r="E1284" s="1">
        <v>2000</v>
      </c>
      <c r="F1284" s="1">
        <v>2</v>
      </c>
      <c r="G1284" s="1">
        <v>3</v>
      </c>
      <c r="H1284" s="1" t="s">
        <v>592</v>
      </c>
      <c r="I1284" s="1">
        <v>535601.9</v>
      </c>
      <c r="J1284" s="1">
        <v>206774.8</v>
      </c>
      <c r="K1284" s="1">
        <v>328827.09999999998</v>
      </c>
      <c r="L1284" s="1">
        <v>1200</v>
      </c>
      <c r="M1284" s="1">
        <v>600.76</v>
      </c>
      <c r="N1284" s="1">
        <v>136643.20000000001</v>
      </c>
      <c r="O1284" s="1">
        <v>202194.5</v>
      </c>
      <c r="P1284" s="1">
        <v>338837.7</v>
      </c>
      <c r="Q1284" s="1">
        <v>24330.2</v>
      </c>
      <c r="R1284" s="1">
        <v>8699.6</v>
      </c>
      <c r="S1284" s="1">
        <v>33029.800000000003</v>
      </c>
      <c r="T1284" s="1">
        <v>30.57</v>
      </c>
      <c r="U1284" s="1">
        <v>0.43</v>
      </c>
      <c r="V1284" s="1">
        <v>8698.2000000000007</v>
      </c>
      <c r="W1284" s="1">
        <v>33028.400000000001</v>
      </c>
      <c r="X1284" s="1">
        <v>601.19000000000005</v>
      </c>
      <c r="Y1284" s="1">
        <v>1200</v>
      </c>
      <c r="Z1284" s="1">
        <v>371866.1</v>
      </c>
      <c r="AA1284" s="1">
        <v>30.57</v>
      </c>
      <c r="AB1284" s="1">
        <v>4000</v>
      </c>
    </row>
    <row r="1285" spans="1:28" x14ac:dyDescent="0.4">
      <c r="A1285" s="1" t="s">
        <v>415</v>
      </c>
      <c r="B1285" s="1">
        <v>4000</v>
      </c>
      <c r="C1285" s="1">
        <v>0.3</v>
      </c>
      <c r="D1285" s="1">
        <v>0.5</v>
      </c>
      <c r="E1285" s="1">
        <v>2000</v>
      </c>
      <c r="F1285" s="1">
        <v>2</v>
      </c>
      <c r="G1285" s="1">
        <v>4</v>
      </c>
      <c r="H1285" s="1" t="s">
        <v>592</v>
      </c>
      <c r="I1285" s="1">
        <v>546869.19999999995</v>
      </c>
      <c r="J1285" s="1">
        <v>217164.2</v>
      </c>
      <c r="K1285" s="1">
        <v>329705</v>
      </c>
      <c r="L1285" s="1">
        <v>1200</v>
      </c>
      <c r="M1285" s="1">
        <v>600.65</v>
      </c>
      <c r="N1285" s="1">
        <v>140433.79999999999</v>
      </c>
      <c r="O1285" s="1">
        <v>202779.5</v>
      </c>
      <c r="P1285" s="1">
        <v>343213.3</v>
      </c>
      <c r="Q1285" s="1">
        <v>24790</v>
      </c>
      <c r="R1285" s="1">
        <v>9033.9</v>
      </c>
      <c r="S1285" s="1">
        <v>33823.9</v>
      </c>
      <c r="T1285" s="1">
        <v>31.06</v>
      </c>
      <c r="U1285" s="1">
        <v>0.46</v>
      </c>
      <c r="V1285" s="1">
        <v>9033</v>
      </c>
      <c r="W1285" s="1">
        <v>33823</v>
      </c>
      <c r="X1285" s="1">
        <v>601.11</v>
      </c>
      <c r="Y1285" s="1">
        <v>1200</v>
      </c>
      <c r="Z1285" s="1">
        <v>377036.3</v>
      </c>
      <c r="AA1285" s="1">
        <v>31.06</v>
      </c>
      <c r="AB1285" s="1">
        <v>4000</v>
      </c>
    </row>
    <row r="1286" spans="1:28" x14ac:dyDescent="0.4">
      <c r="A1286" s="1" t="s">
        <v>416</v>
      </c>
      <c r="B1286" s="1">
        <v>4000</v>
      </c>
      <c r="C1286" s="1">
        <v>0.3</v>
      </c>
      <c r="D1286" s="1">
        <v>0.5</v>
      </c>
      <c r="E1286" s="1">
        <v>2000</v>
      </c>
      <c r="F1286" s="1">
        <v>2</v>
      </c>
      <c r="G1286" s="1">
        <v>5</v>
      </c>
      <c r="H1286" s="1" t="s">
        <v>592</v>
      </c>
      <c r="I1286" s="1">
        <v>529483.30000000005</v>
      </c>
      <c r="J1286" s="1">
        <v>205231.3</v>
      </c>
      <c r="K1286" s="1">
        <v>324252</v>
      </c>
      <c r="L1286" s="1">
        <v>1200</v>
      </c>
      <c r="M1286" s="1">
        <v>600.03</v>
      </c>
      <c r="N1286" s="1">
        <v>134042.79999999999</v>
      </c>
      <c r="O1286" s="1">
        <v>200835.7</v>
      </c>
      <c r="P1286" s="1">
        <v>334878.5</v>
      </c>
      <c r="Q1286" s="1">
        <v>24717.9</v>
      </c>
      <c r="R1286" s="1">
        <v>9252.7999999999993</v>
      </c>
      <c r="S1286" s="1">
        <v>33970.699999999997</v>
      </c>
      <c r="T1286" s="1">
        <v>30.34</v>
      </c>
      <c r="U1286" s="1">
        <v>0.44</v>
      </c>
      <c r="V1286" s="1">
        <v>9235</v>
      </c>
      <c r="W1286" s="1">
        <v>33952.9</v>
      </c>
      <c r="X1286" s="1">
        <v>600.48</v>
      </c>
      <c r="Y1286" s="1">
        <v>1200</v>
      </c>
      <c r="Z1286" s="1">
        <v>368831.4</v>
      </c>
      <c r="AA1286" s="1">
        <v>30.34</v>
      </c>
      <c r="AB1286" s="1">
        <v>4000</v>
      </c>
    </row>
    <row r="1287" spans="1:28" x14ac:dyDescent="0.4">
      <c r="A1287" s="1" t="s">
        <v>417</v>
      </c>
      <c r="B1287" s="1">
        <v>4000</v>
      </c>
      <c r="C1287" s="1">
        <v>0.3</v>
      </c>
      <c r="D1287" s="1">
        <v>0.5</v>
      </c>
      <c r="E1287" s="1">
        <v>2000</v>
      </c>
      <c r="F1287" s="1">
        <v>3</v>
      </c>
      <c r="G1287" s="1">
        <v>1</v>
      </c>
      <c r="H1287" s="1" t="s">
        <v>592</v>
      </c>
      <c r="I1287" s="1">
        <v>681195.9</v>
      </c>
      <c r="J1287" s="1">
        <v>262008.1</v>
      </c>
      <c r="K1287" s="1">
        <v>419187.8</v>
      </c>
      <c r="L1287" s="1">
        <v>1200</v>
      </c>
      <c r="M1287" s="1">
        <v>601.78</v>
      </c>
      <c r="N1287" s="1">
        <v>170291.3</v>
      </c>
      <c r="O1287" s="1">
        <v>263088.40000000002</v>
      </c>
      <c r="P1287" s="1">
        <v>433379.7</v>
      </c>
      <c r="Q1287" s="1">
        <v>24825.9</v>
      </c>
      <c r="R1287" s="1">
        <v>8708.9</v>
      </c>
      <c r="S1287" s="1">
        <v>33534.800000000003</v>
      </c>
      <c r="T1287" s="1">
        <v>31.46</v>
      </c>
      <c r="U1287" s="1">
        <v>0.57999999999999996</v>
      </c>
      <c r="V1287" s="1">
        <v>8708.9</v>
      </c>
      <c r="W1287" s="1">
        <v>33534.800000000003</v>
      </c>
      <c r="X1287" s="1">
        <v>602.36</v>
      </c>
      <c r="Y1287" s="1">
        <v>1200</v>
      </c>
      <c r="Z1287" s="1">
        <v>466914.5</v>
      </c>
      <c r="AA1287" s="1">
        <v>31.46</v>
      </c>
      <c r="AB1287" s="1">
        <v>4000</v>
      </c>
    </row>
    <row r="1288" spans="1:28" x14ac:dyDescent="0.4">
      <c r="A1288" s="1" t="s">
        <v>418</v>
      </c>
      <c r="B1288" s="1">
        <v>4000</v>
      </c>
      <c r="C1288" s="1">
        <v>0.3</v>
      </c>
      <c r="D1288" s="1">
        <v>0.5</v>
      </c>
      <c r="E1288" s="1">
        <v>2000</v>
      </c>
      <c r="F1288" s="1">
        <v>3</v>
      </c>
      <c r="G1288" s="1">
        <v>2</v>
      </c>
      <c r="H1288" s="1" t="s">
        <v>592</v>
      </c>
      <c r="I1288" s="1">
        <v>688634.5</v>
      </c>
      <c r="J1288" s="1">
        <v>263569.40000000002</v>
      </c>
      <c r="K1288" s="1">
        <v>425065.1</v>
      </c>
      <c r="L1288" s="1">
        <v>1200</v>
      </c>
      <c r="M1288" s="1">
        <v>601.02</v>
      </c>
      <c r="N1288" s="1">
        <v>169766</v>
      </c>
      <c r="O1288" s="1">
        <v>266971.40000000002</v>
      </c>
      <c r="P1288" s="1">
        <v>436737.4</v>
      </c>
      <c r="Q1288" s="1">
        <v>24540.5</v>
      </c>
      <c r="R1288" s="1">
        <v>8418.2999999999993</v>
      </c>
      <c r="S1288" s="1">
        <v>32958.800000000003</v>
      </c>
      <c r="T1288" s="1">
        <v>31.79</v>
      </c>
      <c r="U1288" s="1">
        <v>0.44</v>
      </c>
      <c r="V1288" s="1">
        <v>8416</v>
      </c>
      <c r="W1288" s="1">
        <v>32956.5</v>
      </c>
      <c r="X1288" s="1">
        <v>601.46</v>
      </c>
      <c r="Y1288" s="1">
        <v>1200</v>
      </c>
      <c r="Z1288" s="1">
        <v>469693.9</v>
      </c>
      <c r="AA1288" s="1">
        <v>31.79</v>
      </c>
      <c r="AB1288" s="1">
        <v>4000</v>
      </c>
    </row>
    <row r="1289" spans="1:28" x14ac:dyDescent="0.4">
      <c r="A1289" s="1" t="s">
        <v>419</v>
      </c>
      <c r="B1289" s="1">
        <v>4000</v>
      </c>
      <c r="C1289" s="1">
        <v>0.3</v>
      </c>
      <c r="D1289" s="1">
        <v>0.5</v>
      </c>
      <c r="E1289" s="1">
        <v>2000</v>
      </c>
      <c r="F1289" s="1">
        <v>3</v>
      </c>
      <c r="G1289" s="1">
        <v>3</v>
      </c>
      <c r="H1289" s="1" t="s">
        <v>592</v>
      </c>
      <c r="I1289" s="1">
        <v>673599.6</v>
      </c>
      <c r="J1289" s="1">
        <v>251402.1</v>
      </c>
      <c r="K1289" s="1">
        <v>422197.5</v>
      </c>
      <c r="L1289" s="1">
        <v>1200</v>
      </c>
      <c r="M1289" s="1">
        <v>600.85</v>
      </c>
      <c r="N1289" s="1">
        <v>165478.5</v>
      </c>
      <c r="O1289" s="1">
        <v>265666.2</v>
      </c>
      <c r="P1289" s="1">
        <v>431144.7</v>
      </c>
      <c r="Q1289" s="1">
        <v>24420.3</v>
      </c>
      <c r="R1289" s="1">
        <v>8780.4</v>
      </c>
      <c r="S1289" s="1">
        <v>33200.699999999997</v>
      </c>
      <c r="T1289" s="1">
        <v>31.07</v>
      </c>
      <c r="U1289" s="1">
        <v>0.43</v>
      </c>
      <c r="V1289" s="1">
        <v>8748.4</v>
      </c>
      <c r="W1289" s="1">
        <v>33168.699999999997</v>
      </c>
      <c r="X1289" s="1">
        <v>601.28</v>
      </c>
      <c r="Y1289" s="1">
        <v>1200</v>
      </c>
      <c r="Z1289" s="1">
        <v>464313.4</v>
      </c>
      <c r="AA1289" s="1">
        <v>31.07</v>
      </c>
      <c r="AB1289" s="1">
        <v>4000</v>
      </c>
    </row>
    <row r="1290" spans="1:28" x14ac:dyDescent="0.4">
      <c r="A1290" s="1" t="s">
        <v>420</v>
      </c>
      <c r="B1290" s="1">
        <v>4000</v>
      </c>
      <c r="C1290" s="1">
        <v>0.3</v>
      </c>
      <c r="D1290" s="1">
        <v>0.5</v>
      </c>
      <c r="E1290" s="1">
        <v>2000</v>
      </c>
      <c r="F1290" s="1">
        <v>3</v>
      </c>
      <c r="G1290" s="1">
        <v>4</v>
      </c>
      <c r="H1290" s="1" t="s">
        <v>592</v>
      </c>
      <c r="I1290" s="1">
        <v>674112.8</v>
      </c>
      <c r="J1290" s="1">
        <v>259348.7</v>
      </c>
      <c r="K1290" s="1">
        <v>414764.1</v>
      </c>
      <c r="L1290" s="1">
        <v>1200</v>
      </c>
      <c r="M1290" s="1">
        <v>601.5</v>
      </c>
      <c r="N1290" s="1">
        <v>169243.9</v>
      </c>
      <c r="O1290" s="1">
        <v>261852.1</v>
      </c>
      <c r="P1290" s="1">
        <v>431096</v>
      </c>
      <c r="Q1290" s="1">
        <v>24368.5</v>
      </c>
      <c r="R1290" s="1">
        <v>8385.9</v>
      </c>
      <c r="S1290" s="1">
        <v>32754.400000000001</v>
      </c>
      <c r="T1290" s="1">
        <v>31.19</v>
      </c>
      <c r="U1290" s="1">
        <v>0.45</v>
      </c>
      <c r="V1290" s="1">
        <v>8384.2999999999993</v>
      </c>
      <c r="W1290" s="1">
        <v>32752.799999999999</v>
      </c>
      <c r="X1290" s="1">
        <v>601.95000000000005</v>
      </c>
      <c r="Y1290" s="1">
        <v>1200</v>
      </c>
      <c r="Z1290" s="1">
        <v>463848.8</v>
      </c>
      <c r="AA1290" s="1">
        <v>31.19</v>
      </c>
      <c r="AB1290" s="1">
        <v>4000</v>
      </c>
    </row>
    <row r="1291" spans="1:28" x14ac:dyDescent="0.4">
      <c r="A1291" s="1" t="s">
        <v>421</v>
      </c>
      <c r="B1291" s="1">
        <v>4000</v>
      </c>
      <c r="C1291" s="1">
        <v>0.3</v>
      </c>
      <c r="D1291" s="1">
        <v>0.5</v>
      </c>
      <c r="E1291" s="1">
        <v>2000</v>
      </c>
      <c r="F1291" s="1">
        <v>3</v>
      </c>
      <c r="G1291" s="1">
        <v>5</v>
      </c>
      <c r="H1291" s="1" t="s">
        <v>592</v>
      </c>
      <c r="I1291" s="1">
        <v>700049.7</v>
      </c>
      <c r="J1291" s="1">
        <v>267738.7</v>
      </c>
      <c r="K1291" s="1">
        <v>432311</v>
      </c>
      <c r="L1291" s="1">
        <v>1200</v>
      </c>
      <c r="M1291" s="1">
        <v>600.02</v>
      </c>
      <c r="N1291" s="1">
        <v>172173.6</v>
      </c>
      <c r="O1291" s="1">
        <v>269505.2</v>
      </c>
      <c r="P1291" s="1">
        <v>441678.8</v>
      </c>
      <c r="Q1291" s="1">
        <v>24764.9</v>
      </c>
      <c r="R1291" s="1">
        <v>8494.2999999999993</v>
      </c>
      <c r="S1291" s="1">
        <v>33259.199999999997</v>
      </c>
      <c r="T1291" s="1">
        <v>32.159999999999997</v>
      </c>
      <c r="U1291" s="1">
        <v>0.49</v>
      </c>
      <c r="V1291" s="1">
        <v>8494.2999999999993</v>
      </c>
      <c r="W1291" s="1">
        <v>33259.199999999997</v>
      </c>
      <c r="X1291" s="1">
        <v>600.51</v>
      </c>
      <c r="Y1291" s="1">
        <v>1200</v>
      </c>
      <c r="Z1291" s="1">
        <v>474938</v>
      </c>
      <c r="AA1291" s="1">
        <v>32.159999999999997</v>
      </c>
      <c r="AB1291" s="1">
        <v>4000</v>
      </c>
    </row>
    <row r="1292" spans="1:28" x14ac:dyDescent="0.4">
      <c r="A1292" s="1" t="s">
        <v>422</v>
      </c>
      <c r="B1292" s="1">
        <v>4000</v>
      </c>
      <c r="C1292" s="1">
        <v>0.3</v>
      </c>
      <c r="D1292" s="1">
        <v>0.5</v>
      </c>
      <c r="E1292" s="1">
        <v>500</v>
      </c>
      <c r="F1292" s="1">
        <v>1</v>
      </c>
      <c r="G1292" s="1">
        <v>1</v>
      </c>
      <c r="H1292" s="1" t="s">
        <v>592</v>
      </c>
      <c r="I1292" s="1">
        <v>86158.9</v>
      </c>
      <c r="J1292" s="1">
        <v>35109.800000000003</v>
      </c>
      <c r="K1292" s="1">
        <v>51049.1</v>
      </c>
      <c r="L1292" s="1">
        <v>1200</v>
      </c>
      <c r="M1292" s="1">
        <v>602.27</v>
      </c>
      <c r="N1292" s="1">
        <v>21562.6</v>
      </c>
      <c r="O1292" s="1">
        <v>29902.2</v>
      </c>
      <c r="P1292" s="1">
        <v>51464.800000000003</v>
      </c>
      <c r="Q1292" s="1">
        <v>13725</v>
      </c>
      <c r="R1292" s="1">
        <v>2971.7</v>
      </c>
      <c r="S1292" s="1">
        <v>16696.7</v>
      </c>
      <c r="T1292" s="1">
        <v>20.89</v>
      </c>
      <c r="U1292" s="1">
        <v>0.53</v>
      </c>
      <c r="V1292" s="1">
        <v>2955.1</v>
      </c>
      <c r="W1292" s="1">
        <v>16680.099999999999</v>
      </c>
      <c r="X1292" s="1">
        <v>602.79999999999995</v>
      </c>
      <c r="Y1292" s="1">
        <v>1170</v>
      </c>
      <c r="Z1292" s="1">
        <v>68144.899999999994</v>
      </c>
      <c r="AA1292" s="1">
        <v>20.91</v>
      </c>
      <c r="AB1292" s="1">
        <v>4000</v>
      </c>
    </row>
    <row r="1293" spans="1:28" x14ac:dyDescent="0.4">
      <c r="A1293" s="1" t="s">
        <v>423</v>
      </c>
      <c r="B1293" s="1">
        <v>4000</v>
      </c>
      <c r="C1293" s="1">
        <v>0.3</v>
      </c>
      <c r="D1293" s="1">
        <v>0.5</v>
      </c>
      <c r="E1293" s="1">
        <v>500</v>
      </c>
      <c r="F1293" s="1">
        <v>1</v>
      </c>
      <c r="G1293" s="1">
        <v>2</v>
      </c>
      <c r="H1293" s="1" t="s">
        <v>592</v>
      </c>
      <c r="I1293" s="1">
        <v>87235.199999999997</v>
      </c>
      <c r="J1293" s="1">
        <v>35765.300000000003</v>
      </c>
      <c r="K1293" s="1">
        <v>51469.9</v>
      </c>
      <c r="L1293" s="1">
        <v>1200</v>
      </c>
      <c r="M1293" s="1">
        <v>601.49</v>
      </c>
      <c r="N1293" s="1">
        <v>21816.799999999999</v>
      </c>
      <c r="O1293" s="1">
        <v>30892.9</v>
      </c>
      <c r="P1293" s="1">
        <v>52709.7</v>
      </c>
      <c r="Q1293" s="1">
        <v>14086.6</v>
      </c>
      <c r="R1293" s="1">
        <v>2752.9</v>
      </c>
      <c r="S1293" s="1">
        <v>16839.5</v>
      </c>
      <c r="T1293" s="1">
        <v>20.27</v>
      </c>
      <c r="U1293" s="1">
        <v>0.68</v>
      </c>
      <c r="V1293" s="1">
        <v>2745.1</v>
      </c>
      <c r="W1293" s="1">
        <v>16831.7</v>
      </c>
      <c r="X1293" s="1">
        <v>602.16999999999996</v>
      </c>
      <c r="Y1293" s="1">
        <v>1200</v>
      </c>
      <c r="Z1293" s="1">
        <v>69541.399999999994</v>
      </c>
      <c r="AA1293" s="1">
        <v>20.28</v>
      </c>
      <c r="AB1293" s="1">
        <v>4000</v>
      </c>
    </row>
    <row r="1294" spans="1:28" x14ac:dyDescent="0.4">
      <c r="A1294" s="1" t="s">
        <v>424</v>
      </c>
      <c r="B1294" s="1">
        <v>4000</v>
      </c>
      <c r="C1294" s="1">
        <v>0.3</v>
      </c>
      <c r="D1294" s="1">
        <v>0.5</v>
      </c>
      <c r="E1294" s="1">
        <v>500</v>
      </c>
      <c r="F1294" s="1">
        <v>1</v>
      </c>
      <c r="G1294" s="1">
        <v>3</v>
      </c>
      <c r="H1294" s="1" t="s">
        <v>592</v>
      </c>
      <c r="I1294" s="1">
        <v>87209.7</v>
      </c>
      <c r="J1294" s="1">
        <v>35411.300000000003</v>
      </c>
      <c r="K1294" s="1">
        <v>51798.400000000001</v>
      </c>
      <c r="L1294" s="1">
        <v>1200</v>
      </c>
      <c r="M1294" s="1">
        <v>601.98</v>
      </c>
      <c r="N1294" s="1">
        <v>20959.599999999999</v>
      </c>
      <c r="O1294" s="1">
        <v>30245.5</v>
      </c>
      <c r="P1294" s="1">
        <v>51205.1</v>
      </c>
      <c r="Q1294" s="1">
        <v>14312.2</v>
      </c>
      <c r="R1294" s="1">
        <v>3220.5</v>
      </c>
      <c r="S1294" s="1">
        <v>17532.7</v>
      </c>
      <c r="T1294" s="1">
        <v>21.18</v>
      </c>
      <c r="U1294" s="1">
        <v>0.61</v>
      </c>
      <c r="V1294" s="1">
        <v>3183.5</v>
      </c>
      <c r="W1294" s="1">
        <v>17495.7</v>
      </c>
      <c r="X1294" s="1">
        <v>602.59</v>
      </c>
      <c r="Y1294" s="1">
        <v>1200</v>
      </c>
      <c r="Z1294" s="1">
        <v>68700.800000000003</v>
      </c>
      <c r="AA1294" s="1">
        <v>21.22</v>
      </c>
      <c r="AB1294" s="1">
        <v>4000</v>
      </c>
    </row>
    <row r="1295" spans="1:28" x14ac:dyDescent="0.4">
      <c r="A1295" s="1" t="s">
        <v>425</v>
      </c>
      <c r="B1295" s="1">
        <v>4000</v>
      </c>
      <c r="C1295" s="1">
        <v>0.3</v>
      </c>
      <c r="D1295" s="1">
        <v>0.5</v>
      </c>
      <c r="E1295" s="1">
        <v>500</v>
      </c>
      <c r="F1295" s="1">
        <v>1</v>
      </c>
      <c r="G1295" s="1">
        <v>4</v>
      </c>
      <c r="H1295" s="1" t="s">
        <v>592</v>
      </c>
      <c r="I1295" s="1">
        <v>89293</v>
      </c>
      <c r="J1295" s="1">
        <v>36025.699999999997</v>
      </c>
      <c r="K1295" s="1">
        <v>53267.3</v>
      </c>
      <c r="L1295" s="1">
        <v>1200</v>
      </c>
      <c r="M1295" s="1">
        <v>601.59</v>
      </c>
      <c r="N1295" s="1">
        <v>21728.7</v>
      </c>
      <c r="O1295" s="1">
        <v>31028.2</v>
      </c>
      <c r="P1295" s="1">
        <v>52756.9</v>
      </c>
      <c r="Q1295" s="1">
        <v>14093.7</v>
      </c>
      <c r="R1295" s="1">
        <v>3053.4</v>
      </c>
      <c r="S1295" s="1">
        <v>17147.099999999999</v>
      </c>
      <c r="T1295" s="1">
        <v>21.71</v>
      </c>
      <c r="U1295" s="1">
        <v>0.65</v>
      </c>
      <c r="V1295" s="1">
        <v>3019.2</v>
      </c>
      <c r="W1295" s="1">
        <v>17112.900000000001</v>
      </c>
      <c r="X1295" s="1">
        <v>602.24</v>
      </c>
      <c r="Y1295" s="1">
        <v>1184</v>
      </c>
      <c r="Z1295" s="1">
        <v>69869.8</v>
      </c>
      <c r="AA1295" s="1">
        <v>21.75</v>
      </c>
      <c r="AB1295" s="1">
        <v>4000</v>
      </c>
    </row>
    <row r="1296" spans="1:28" x14ac:dyDescent="0.4">
      <c r="A1296" s="1" t="s">
        <v>426</v>
      </c>
      <c r="B1296" s="1">
        <v>4000</v>
      </c>
      <c r="C1296" s="1">
        <v>0.3</v>
      </c>
      <c r="D1296" s="1">
        <v>0.5</v>
      </c>
      <c r="E1296" s="1">
        <v>500</v>
      </c>
      <c r="F1296" s="1">
        <v>1</v>
      </c>
      <c r="G1296" s="1">
        <v>5</v>
      </c>
      <c r="H1296" s="1" t="s">
        <v>592</v>
      </c>
      <c r="I1296" s="1">
        <v>90482.3</v>
      </c>
      <c r="J1296" s="1">
        <v>36247.9</v>
      </c>
      <c r="K1296" s="1">
        <v>54234.400000000001</v>
      </c>
      <c r="L1296" s="1">
        <v>1200</v>
      </c>
      <c r="M1296" s="1">
        <v>602.41</v>
      </c>
      <c r="N1296" s="1">
        <v>21583.599999999999</v>
      </c>
      <c r="O1296" s="1">
        <v>30349.7</v>
      </c>
      <c r="P1296" s="1">
        <v>51933.3</v>
      </c>
      <c r="Q1296" s="1">
        <v>14569</v>
      </c>
      <c r="R1296" s="1">
        <v>3218.4</v>
      </c>
      <c r="S1296" s="1">
        <v>17787.400000000001</v>
      </c>
      <c r="T1296" s="1">
        <v>22.95</v>
      </c>
      <c r="U1296" s="1">
        <v>0.65</v>
      </c>
      <c r="V1296" s="1">
        <v>3196.7</v>
      </c>
      <c r="W1296" s="1">
        <v>17765.7</v>
      </c>
      <c r="X1296" s="1">
        <v>603.05999999999995</v>
      </c>
      <c r="Y1296" s="1">
        <v>1195</v>
      </c>
      <c r="Z1296" s="1">
        <v>69699</v>
      </c>
      <c r="AA1296" s="1">
        <v>22.97</v>
      </c>
      <c r="AB1296" s="1">
        <v>4000</v>
      </c>
    </row>
    <row r="1297" spans="1:28" x14ac:dyDescent="0.4">
      <c r="A1297" s="1" t="s">
        <v>427</v>
      </c>
      <c r="B1297" s="1">
        <v>4000</v>
      </c>
      <c r="C1297" s="1">
        <v>0.3</v>
      </c>
      <c r="D1297" s="1">
        <v>0.5</v>
      </c>
      <c r="E1297" s="1">
        <v>500</v>
      </c>
      <c r="F1297" s="1">
        <v>2</v>
      </c>
      <c r="G1297" s="1">
        <v>1</v>
      </c>
      <c r="H1297" s="1" t="s">
        <v>592</v>
      </c>
      <c r="I1297" s="1">
        <v>137406.5</v>
      </c>
      <c r="J1297" s="1">
        <v>55799.7</v>
      </c>
      <c r="K1297" s="1">
        <v>81606.8</v>
      </c>
      <c r="L1297" s="1">
        <v>1200</v>
      </c>
      <c r="M1297" s="1">
        <v>600.51</v>
      </c>
      <c r="N1297" s="1">
        <v>33375.199999999997</v>
      </c>
      <c r="O1297" s="1">
        <v>45753.5</v>
      </c>
      <c r="P1297" s="1">
        <v>79128.7</v>
      </c>
      <c r="Q1297" s="1">
        <v>15377</v>
      </c>
      <c r="R1297" s="1">
        <v>4224.5</v>
      </c>
      <c r="S1297" s="1">
        <v>19601.5</v>
      </c>
      <c r="T1297" s="1">
        <v>28.15</v>
      </c>
      <c r="U1297" s="1">
        <v>0.47</v>
      </c>
      <c r="V1297" s="1">
        <v>4203.6000000000004</v>
      </c>
      <c r="W1297" s="1">
        <v>19580.599999999999</v>
      </c>
      <c r="X1297" s="1">
        <v>600.97</v>
      </c>
      <c r="Y1297" s="1">
        <v>1200</v>
      </c>
      <c r="Z1297" s="1">
        <v>98709.3</v>
      </c>
      <c r="AA1297" s="1">
        <v>28.16</v>
      </c>
      <c r="AB1297" s="1">
        <v>4000</v>
      </c>
    </row>
    <row r="1298" spans="1:28" x14ac:dyDescent="0.4">
      <c r="A1298" s="1" t="s">
        <v>428</v>
      </c>
      <c r="B1298" s="1">
        <v>4000</v>
      </c>
      <c r="C1298" s="1">
        <v>0.3</v>
      </c>
      <c r="D1298" s="1">
        <v>0.5</v>
      </c>
      <c r="E1298" s="1">
        <v>500</v>
      </c>
      <c r="F1298" s="1">
        <v>2</v>
      </c>
      <c r="G1298" s="1">
        <v>2</v>
      </c>
      <c r="H1298" s="1" t="s">
        <v>592</v>
      </c>
      <c r="I1298" s="1">
        <v>134470.9</v>
      </c>
      <c r="J1298" s="1">
        <v>52869.5</v>
      </c>
      <c r="K1298" s="1">
        <v>81601.399999999994</v>
      </c>
      <c r="L1298" s="1">
        <v>1200</v>
      </c>
      <c r="M1298" s="1">
        <v>601.95000000000005</v>
      </c>
      <c r="N1298" s="1">
        <v>31487.7</v>
      </c>
      <c r="O1298" s="1">
        <v>45454.400000000001</v>
      </c>
      <c r="P1298" s="1">
        <v>76942.100000000006</v>
      </c>
      <c r="Q1298" s="1">
        <v>15772.6</v>
      </c>
      <c r="R1298" s="1">
        <v>4386.7</v>
      </c>
      <c r="S1298" s="1">
        <v>20159.3</v>
      </c>
      <c r="T1298" s="1">
        <v>27.79</v>
      </c>
      <c r="U1298" s="1">
        <v>0.49</v>
      </c>
      <c r="V1298" s="1">
        <v>4354.1000000000004</v>
      </c>
      <c r="W1298" s="1">
        <v>20126.7</v>
      </c>
      <c r="X1298" s="1">
        <v>602.44000000000005</v>
      </c>
      <c r="Y1298" s="1">
        <v>1195</v>
      </c>
      <c r="Z1298" s="1">
        <v>97068.800000000003</v>
      </c>
      <c r="AA1298" s="1">
        <v>27.81</v>
      </c>
      <c r="AB1298" s="1">
        <v>4000</v>
      </c>
    </row>
    <row r="1299" spans="1:28" x14ac:dyDescent="0.4">
      <c r="A1299" s="1" t="s">
        <v>429</v>
      </c>
      <c r="B1299" s="1">
        <v>4000</v>
      </c>
      <c r="C1299" s="1">
        <v>0.3</v>
      </c>
      <c r="D1299" s="1">
        <v>0.5</v>
      </c>
      <c r="E1299" s="1">
        <v>500</v>
      </c>
      <c r="F1299" s="1">
        <v>2</v>
      </c>
      <c r="G1299" s="1">
        <v>3</v>
      </c>
      <c r="H1299" s="1" t="s">
        <v>592</v>
      </c>
      <c r="I1299" s="1">
        <v>141138</v>
      </c>
      <c r="J1299" s="1">
        <v>56617.599999999999</v>
      </c>
      <c r="K1299" s="1">
        <v>84520.4</v>
      </c>
      <c r="L1299" s="1">
        <v>1200</v>
      </c>
      <c r="M1299" s="1">
        <v>601.45000000000005</v>
      </c>
      <c r="N1299" s="1">
        <v>33891</v>
      </c>
      <c r="O1299" s="1">
        <v>47434.5</v>
      </c>
      <c r="P1299" s="1">
        <v>81325.5</v>
      </c>
      <c r="Q1299" s="1">
        <v>15261.8</v>
      </c>
      <c r="R1299" s="1">
        <v>4263.1000000000004</v>
      </c>
      <c r="S1299" s="1">
        <v>19524.900000000001</v>
      </c>
      <c r="T1299" s="1">
        <v>28.54</v>
      </c>
      <c r="U1299" s="1">
        <v>0.6</v>
      </c>
      <c r="V1299" s="1">
        <v>4237.3</v>
      </c>
      <c r="W1299" s="1">
        <v>19499.099999999999</v>
      </c>
      <c r="X1299" s="1">
        <v>602.04999999999995</v>
      </c>
      <c r="Y1299" s="1">
        <v>1200</v>
      </c>
      <c r="Z1299" s="1">
        <v>100824.6</v>
      </c>
      <c r="AA1299" s="1">
        <v>28.56</v>
      </c>
      <c r="AB1299" s="1">
        <v>4000</v>
      </c>
    </row>
    <row r="1300" spans="1:28" x14ac:dyDescent="0.4">
      <c r="A1300" s="1" t="s">
        <v>430</v>
      </c>
      <c r="B1300" s="1">
        <v>4000</v>
      </c>
      <c r="C1300" s="1">
        <v>0.3</v>
      </c>
      <c r="D1300" s="1">
        <v>0.5</v>
      </c>
      <c r="E1300" s="1">
        <v>500</v>
      </c>
      <c r="F1300" s="1">
        <v>2</v>
      </c>
      <c r="G1300" s="1">
        <v>4</v>
      </c>
      <c r="H1300" s="1" t="s">
        <v>592</v>
      </c>
      <c r="I1300" s="1">
        <v>138094.29999999999</v>
      </c>
      <c r="J1300" s="1">
        <v>51984.9</v>
      </c>
      <c r="K1300" s="1">
        <v>86109.4</v>
      </c>
      <c r="L1300" s="1">
        <v>1200</v>
      </c>
      <c r="M1300" s="1">
        <v>601.5</v>
      </c>
      <c r="N1300" s="1">
        <v>31913.1</v>
      </c>
      <c r="O1300" s="1">
        <v>47569.2</v>
      </c>
      <c r="P1300" s="1">
        <v>79482.3</v>
      </c>
      <c r="Q1300" s="1">
        <v>15820.3</v>
      </c>
      <c r="R1300" s="1">
        <v>4945.7</v>
      </c>
      <c r="S1300" s="1">
        <v>20766</v>
      </c>
      <c r="T1300" s="1">
        <v>27.41</v>
      </c>
      <c r="U1300" s="1">
        <v>0.48</v>
      </c>
      <c r="V1300" s="1">
        <v>4925.3999999999996</v>
      </c>
      <c r="W1300" s="1">
        <v>20745.7</v>
      </c>
      <c r="X1300" s="1">
        <v>601.98</v>
      </c>
      <c r="Y1300" s="1">
        <v>1198</v>
      </c>
      <c r="Z1300" s="1">
        <v>100228</v>
      </c>
      <c r="AA1300" s="1">
        <v>27.42</v>
      </c>
      <c r="AB1300" s="1">
        <v>4000</v>
      </c>
    </row>
    <row r="1301" spans="1:28" x14ac:dyDescent="0.4">
      <c r="A1301" s="1" t="s">
        <v>431</v>
      </c>
      <c r="B1301" s="1">
        <v>4000</v>
      </c>
      <c r="C1301" s="1">
        <v>0.3</v>
      </c>
      <c r="D1301" s="1">
        <v>0.5</v>
      </c>
      <c r="E1301" s="1">
        <v>500</v>
      </c>
      <c r="F1301" s="1">
        <v>2</v>
      </c>
      <c r="G1301" s="1">
        <v>5</v>
      </c>
      <c r="H1301" s="1" t="s">
        <v>592</v>
      </c>
      <c r="I1301" s="1">
        <v>132232.6</v>
      </c>
      <c r="J1301" s="1">
        <v>53369.5</v>
      </c>
      <c r="K1301" s="1">
        <v>78863.100000000006</v>
      </c>
      <c r="L1301" s="1">
        <v>1200</v>
      </c>
      <c r="M1301" s="1">
        <v>602.34</v>
      </c>
      <c r="N1301" s="1">
        <v>33139.5</v>
      </c>
      <c r="O1301" s="1">
        <v>44243.7</v>
      </c>
      <c r="P1301" s="1">
        <v>77383.199999999997</v>
      </c>
      <c r="Q1301" s="1">
        <v>15144.1</v>
      </c>
      <c r="R1301" s="1">
        <v>4427.3999999999996</v>
      </c>
      <c r="S1301" s="1">
        <v>19571.5</v>
      </c>
      <c r="T1301" s="1">
        <v>26.68</v>
      </c>
      <c r="U1301" s="1">
        <v>0.52</v>
      </c>
      <c r="V1301" s="1">
        <v>4399</v>
      </c>
      <c r="W1301" s="1">
        <v>19543.099999999999</v>
      </c>
      <c r="X1301" s="1">
        <v>602.86</v>
      </c>
      <c r="Y1301" s="1">
        <v>1198</v>
      </c>
      <c r="Z1301" s="1">
        <v>96926.3</v>
      </c>
      <c r="AA1301" s="1">
        <v>26.7</v>
      </c>
      <c r="AB1301" s="1">
        <v>4000</v>
      </c>
    </row>
    <row r="1302" spans="1:28" x14ac:dyDescent="0.4">
      <c r="A1302" s="1" t="s">
        <v>432</v>
      </c>
      <c r="B1302" s="1">
        <v>4000</v>
      </c>
      <c r="C1302" s="1">
        <v>0.3</v>
      </c>
      <c r="D1302" s="1">
        <v>0.5</v>
      </c>
      <c r="E1302" s="1">
        <v>500</v>
      </c>
      <c r="F1302" s="1">
        <v>3</v>
      </c>
      <c r="G1302" s="1">
        <v>1</v>
      </c>
      <c r="H1302" s="1" t="s">
        <v>592</v>
      </c>
      <c r="I1302" s="1">
        <v>175437.9</v>
      </c>
      <c r="J1302" s="1">
        <v>65584.100000000006</v>
      </c>
      <c r="K1302" s="1">
        <v>109853.8</v>
      </c>
      <c r="L1302" s="1">
        <v>1200</v>
      </c>
      <c r="M1302" s="1">
        <v>601.66</v>
      </c>
      <c r="N1302" s="1">
        <v>39467.599999999999</v>
      </c>
      <c r="O1302" s="1">
        <v>62816.2</v>
      </c>
      <c r="P1302" s="1">
        <v>102283.8</v>
      </c>
      <c r="Q1302" s="1">
        <v>16173.9</v>
      </c>
      <c r="R1302" s="1">
        <v>5183.8999999999996</v>
      </c>
      <c r="S1302" s="1">
        <v>21357.8</v>
      </c>
      <c r="T1302" s="1">
        <v>29.52</v>
      </c>
      <c r="U1302" s="1">
        <v>0.43</v>
      </c>
      <c r="V1302" s="1">
        <v>5155.7</v>
      </c>
      <c r="W1302" s="1">
        <v>21329.599999999999</v>
      </c>
      <c r="X1302" s="1">
        <v>602.09</v>
      </c>
      <c r="Y1302" s="1">
        <v>1197</v>
      </c>
      <c r="Z1302" s="1">
        <v>123613.4</v>
      </c>
      <c r="AA1302" s="1">
        <v>29.54</v>
      </c>
      <c r="AB1302" s="1">
        <v>4000</v>
      </c>
    </row>
    <row r="1303" spans="1:28" x14ac:dyDescent="0.4">
      <c r="A1303" s="1" t="s">
        <v>433</v>
      </c>
      <c r="B1303" s="1">
        <v>4000</v>
      </c>
      <c r="C1303" s="1">
        <v>0.3</v>
      </c>
      <c r="D1303" s="1">
        <v>0.5</v>
      </c>
      <c r="E1303" s="1">
        <v>500</v>
      </c>
      <c r="F1303" s="1">
        <v>3</v>
      </c>
      <c r="G1303" s="1">
        <v>2</v>
      </c>
      <c r="H1303" s="1" t="s">
        <v>592</v>
      </c>
      <c r="I1303" s="1">
        <v>180917.6</v>
      </c>
      <c r="J1303" s="1">
        <v>67104.800000000003</v>
      </c>
      <c r="K1303" s="1">
        <v>113812.8</v>
      </c>
      <c r="L1303" s="1">
        <v>1200</v>
      </c>
      <c r="M1303" s="1">
        <v>601.53</v>
      </c>
      <c r="N1303" s="1">
        <v>40456</v>
      </c>
      <c r="O1303" s="1">
        <v>65291.7</v>
      </c>
      <c r="P1303" s="1">
        <v>105747.7</v>
      </c>
      <c r="Q1303" s="1">
        <v>16332.5</v>
      </c>
      <c r="R1303" s="1">
        <v>5705.5</v>
      </c>
      <c r="S1303" s="1">
        <v>22038</v>
      </c>
      <c r="T1303" s="1">
        <v>29.37</v>
      </c>
      <c r="U1303" s="1">
        <v>0.61</v>
      </c>
      <c r="V1303" s="1">
        <v>5639</v>
      </c>
      <c r="W1303" s="1">
        <v>21971.5</v>
      </c>
      <c r="X1303" s="1">
        <v>602.14</v>
      </c>
      <c r="Y1303" s="1">
        <v>1196</v>
      </c>
      <c r="Z1303" s="1">
        <v>127719.2</v>
      </c>
      <c r="AA1303" s="1">
        <v>29.4</v>
      </c>
      <c r="AB1303" s="1">
        <v>4000</v>
      </c>
    </row>
    <row r="1304" spans="1:28" x14ac:dyDescent="0.4">
      <c r="A1304" s="1" t="s">
        <v>434</v>
      </c>
      <c r="B1304" s="1">
        <v>4000</v>
      </c>
      <c r="C1304" s="1">
        <v>0.3</v>
      </c>
      <c r="D1304" s="1">
        <v>0.5</v>
      </c>
      <c r="E1304" s="1">
        <v>500</v>
      </c>
      <c r="F1304" s="1">
        <v>3</v>
      </c>
      <c r="G1304" s="1">
        <v>3</v>
      </c>
      <c r="H1304" s="1" t="s">
        <v>592</v>
      </c>
      <c r="I1304" s="1">
        <v>181227.2</v>
      </c>
      <c r="J1304" s="1">
        <v>68904.100000000006</v>
      </c>
      <c r="K1304" s="1">
        <v>112323.1</v>
      </c>
      <c r="L1304" s="1">
        <v>1200</v>
      </c>
      <c r="M1304" s="1">
        <v>601.75</v>
      </c>
      <c r="N1304" s="1">
        <v>40910.6</v>
      </c>
      <c r="O1304" s="1">
        <v>63849</v>
      </c>
      <c r="P1304" s="1">
        <v>104759.6</v>
      </c>
      <c r="Q1304" s="1">
        <v>17009.599999999999</v>
      </c>
      <c r="R1304" s="1">
        <v>5428.9</v>
      </c>
      <c r="S1304" s="1">
        <v>22438.5</v>
      </c>
      <c r="T1304" s="1">
        <v>29.81</v>
      </c>
      <c r="U1304" s="1">
        <v>0.45</v>
      </c>
      <c r="V1304" s="1">
        <v>5426.1</v>
      </c>
      <c r="W1304" s="1">
        <v>22435.7</v>
      </c>
      <c r="X1304" s="1">
        <v>602.20000000000005</v>
      </c>
      <c r="Y1304" s="1">
        <v>1200</v>
      </c>
      <c r="Z1304" s="1">
        <v>127195.3</v>
      </c>
      <c r="AA1304" s="1">
        <v>29.81</v>
      </c>
      <c r="AB1304" s="1">
        <v>4000</v>
      </c>
    </row>
    <row r="1305" spans="1:28" x14ac:dyDescent="0.4">
      <c r="A1305" s="1" t="s">
        <v>435</v>
      </c>
      <c r="B1305" s="1">
        <v>4000</v>
      </c>
      <c r="C1305" s="1">
        <v>0.3</v>
      </c>
      <c r="D1305" s="1">
        <v>0.5</v>
      </c>
      <c r="E1305" s="1">
        <v>500</v>
      </c>
      <c r="F1305" s="1">
        <v>3</v>
      </c>
      <c r="G1305" s="1">
        <v>4</v>
      </c>
      <c r="H1305" s="1" t="s">
        <v>592</v>
      </c>
      <c r="I1305" s="1">
        <v>174207.9</v>
      </c>
      <c r="J1305" s="1">
        <v>64976.3</v>
      </c>
      <c r="K1305" s="1">
        <v>109231.6</v>
      </c>
      <c r="L1305" s="1">
        <v>1200</v>
      </c>
      <c r="M1305" s="1">
        <v>601.77</v>
      </c>
      <c r="N1305" s="1">
        <v>39390.1</v>
      </c>
      <c r="O1305" s="1">
        <v>62808.7</v>
      </c>
      <c r="P1305" s="1">
        <v>102198.8</v>
      </c>
      <c r="Q1305" s="1">
        <v>16180.4</v>
      </c>
      <c r="R1305" s="1">
        <v>5513.8</v>
      </c>
      <c r="S1305" s="1">
        <v>21694.2</v>
      </c>
      <c r="T1305" s="1">
        <v>28.88</v>
      </c>
      <c r="U1305" s="1">
        <v>0.53</v>
      </c>
      <c r="V1305" s="1">
        <v>5482.6</v>
      </c>
      <c r="W1305" s="1">
        <v>21663</v>
      </c>
      <c r="X1305" s="1">
        <v>602.30999999999995</v>
      </c>
      <c r="Y1305" s="1">
        <v>1200</v>
      </c>
      <c r="Z1305" s="1">
        <v>123861.8</v>
      </c>
      <c r="AA1305" s="1">
        <v>28.9</v>
      </c>
      <c r="AB1305" s="1">
        <v>4000</v>
      </c>
    </row>
    <row r="1306" spans="1:28" x14ac:dyDescent="0.4">
      <c r="A1306" s="1" t="s">
        <v>436</v>
      </c>
      <c r="B1306" s="1">
        <v>4000</v>
      </c>
      <c r="C1306" s="1">
        <v>0.3</v>
      </c>
      <c r="D1306" s="1">
        <v>0.5</v>
      </c>
      <c r="E1306" s="1">
        <v>500</v>
      </c>
      <c r="F1306" s="1">
        <v>3</v>
      </c>
      <c r="G1306" s="1">
        <v>5</v>
      </c>
      <c r="H1306" s="1" t="s">
        <v>592</v>
      </c>
      <c r="I1306" s="1">
        <v>177058.9</v>
      </c>
      <c r="J1306" s="1">
        <v>65926.600000000006</v>
      </c>
      <c r="K1306" s="1">
        <v>111132.3</v>
      </c>
      <c r="L1306" s="1">
        <v>1200</v>
      </c>
      <c r="M1306" s="1">
        <v>601.87</v>
      </c>
      <c r="N1306" s="1">
        <v>40698.300000000003</v>
      </c>
      <c r="O1306" s="1">
        <v>64267.7</v>
      </c>
      <c r="P1306" s="1">
        <v>104966</v>
      </c>
      <c r="Q1306" s="1">
        <v>15975.2</v>
      </c>
      <c r="R1306" s="1">
        <v>5170.7</v>
      </c>
      <c r="S1306" s="1">
        <v>21145.9</v>
      </c>
      <c r="T1306" s="1">
        <v>28.77</v>
      </c>
      <c r="U1306" s="1">
        <v>0.56000000000000005</v>
      </c>
      <c r="V1306" s="1">
        <v>5125.5</v>
      </c>
      <c r="W1306" s="1">
        <v>21100.7</v>
      </c>
      <c r="X1306" s="1">
        <v>602.44000000000005</v>
      </c>
      <c r="Y1306" s="1">
        <v>1195</v>
      </c>
      <c r="Z1306" s="1">
        <v>126066.7</v>
      </c>
      <c r="AA1306" s="1">
        <v>28.8</v>
      </c>
      <c r="AB1306" s="1">
        <v>4000</v>
      </c>
    </row>
    <row r="1307" spans="1:28" x14ac:dyDescent="0.4">
      <c r="A1307" s="1" t="s">
        <v>90</v>
      </c>
      <c r="B1307" s="1">
        <v>4000</v>
      </c>
      <c r="C1307" s="1">
        <v>0.4</v>
      </c>
      <c r="D1307" s="1">
        <v>0.5</v>
      </c>
      <c r="E1307" s="1">
        <v>1000</v>
      </c>
      <c r="F1307" s="1">
        <v>1</v>
      </c>
      <c r="G1307" s="1">
        <v>1</v>
      </c>
      <c r="H1307" s="1" t="s">
        <v>592</v>
      </c>
      <c r="I1307" s="1">
        <v>171724.4</v>
      </c>
      <c r="J1307" s="1">
        <v>71423.3</v>
      </c>
      <c r="K1307" s="1">
        <v>100301.1</v>
      </c>
      <c r="L1307" s="1">
        <v>1200</v>
      </c>
      <c r="M1307" s="1">
        <v>600.97</v>
      </c>
      <c r="N1307" s="1">
        <v>40181.9</v>
      </c>
      <c r="O1307" s="1">
        <v>55250.400000000001</v>
      </c>
      <c r="P1307" s="1">
        <v>95432.3</v>
      </c>
      <c r="Q1307" s="1">
        <v>20732.7</v>
      </c>
      <c r="R1307" s="1">
        <v>7430.2</v>
      </c>
      <c r="S1307" s="1">
        <v>28162.9</v>
      </c>
      <c r="T1307" s="1">
        <v>28.03</v>
      </c>
      <c r="U1307" s="1">
        <v>0.57999999999999996</v>
      </c>
      <c r="V1307" s="1">
        <v>7397.1</v>
      </c>
      <c r="W1307" s="1">
        <v>28129.8</v>
      </c>
      <c r="X1307" s="1">
        <v>601.54999999999995</v>
      </c>
      <c r="Y1307" s="1">
        <v>1199</v>
      </c>
      <c r="Z1307" s="1">
        <v>123562.1</v>
      </c>
      <c r="AA1307" s="1">
        <v>28.05</v>
      </c>
      <c r="AB1307" s="1">
        <v>4000</v>
      </c>
    </row>
    <row r="1308" spans="1:28" x14ac:dyDescent="0.4">
      <c r="A1308" s="1" t="s">
        <v>91</v>
      </c>
      <c r="B1308" s="1">
        <v>4000</v>
      </c>
      <c r="C1308" s="1">
        <v>0.4</v>
      </c>
      <c r="D1308" s="1">
        <v>0.5</v>
      </c>
      <c r="E1308" s="1">
        <v>1000</v>
      </c>
      <c r="F1308" s="1">
        <v>1</v>
      </c>
      <c r="G1308" s="1">
        <v>2</v>
      </c>
      <c r="H1308" s="1" t="s">
        <v>592</v>
      </c>
      <c r="I1308" s="1">
        <v>177265.8</v>
      </c>
      <c r="J1308" s="1">
        <v>68879.7</v>
      </c>
      <c r="K1308" s="1">
        <v>108386.1</v>
      </c>
      <c r="L1308" s="1">
        <v>1200</v>
      </c>
      <c r="M1308" s="1">
        <v>601.47</v>
      </c>
      <c r="N1308" s="1">
        <v>39628.9</v>
      </c>
      <c r="O1308" s="1">
        <v>58205.8</v>
      </c>
      <c r="P1308" s="1">
        <v>97834.7</v>
      </c>
      <c r="Q1308" s="1">
        <v>20626.900000000001</v>
      </c>
      <c r="R1308" s="1">
        <v>8393</v>
      </c>
      <c r="S1308" s="1">
        <v>29019.9</v>
      </c>
      <c r="T1308" s="1">
        <v>28.44</v>
      </c>
      <c r="U1308" s="1">
        <v>0.59</v>
      </c>
      <c r="V1308" s="1">
        <v>8373.2000000000007</v>
      </c>
      <c r="W1308" s="1">
        <v>29000.1</v>
      </c>
      <c r="X1308" s="1">
        <v>602.05999999999995</v>
      </c>
      <c r="Y1308" s="1">
        <v>1190</v>
      </c>
      <c r="Z1308" s="1">
        <v>126834.8</v>
      </c>
      <c r="AA1308" s="1">
        <v>28.45</v>
      </c>
      <c r="AB1308" s="1">
        <v>4000</v>
      </c>
    </row>
    <row r="1309" spans="1:28" x14ac:dyDescent="0.4">
      <c r="A1309" s="1" t="s">
        <v>92</v>
      </c>
      <c r="B1309" s="1">
        <v>4000</v>
      </c>
      <c r="C1309" s="1">
        <v>0.4</v>
      </c>
      <c r="D1309" s="1">
        <v>0.5</v>
      </c>
      <c r="E1309" s="1">
        <v>1000</v>
      </c>
      <c r="F1309" s="1">
        <v>1</v>
      </c>
      <c r="G1309" s="1">
        <v>3</v>
      </c>
      <c r="H1309" s="1" t="s">
        <v>592</v>
      </c>
      <c r="I1309" s="1">
        <v>177163.7</v>
      </c>
      <c r="J1309" s="1">
        <v>70112.600000000006</v>
      </c>
      <c r="K1309" s="1">
        <v>107051.1</v>
      </c>
      <c r="L1309" s="1">
        <v>1200</v>
      </c>
      <c r="M1309" s="1">
        <v>602</v>
      </c>
      <c r="N1309" s="1">
        <v>40617.699999999997</v>
      </c>
      <c r="O1309" s="1">
        <v>58995.3</v>
      </c>
      <c r="P1309" s="1">
        <v>99613</v>
      </c>
      <c r="Q1309" s="1">
        <v>20145.599999999999</v>
      </c>
      <c r="R1309" s="1">
        <v>8414.2999999999993</v>
      </c>
      <c r="S1309" s="1">
        <v>28559.9</v>
      </c>
      <c r="T1309" s="1">
        <v>27.65</v>
      </c>
      <c r="U1309" s="1">
        <v>0.78</v>
      </c>
      <c r="V1309" s="1">
        <v>8349.4</v>
      </c>
      <c r="W1309" s="1">
        <v>28495</v>
      </c>
      <c r="X1309" s="1">
        <v>602.78</v>
      </c>
      <c r="Y1309" s="1">
        <v>1191</v>
      </c>
      <c r="Z1309" s="1">
        <v>128108</v>
      </c>
      <c r="AA1309" s="1">
        <v>27.69</v>
      </c>
      <c r="AB1309" s="1">
        <v>4000</v>
      </c>
    </row>
    <row r="1310" spans="1:28" x14ac:dyDescent="0.4">
      <c r="A1310" s="1" t="s">
        <v>93</v>
      </c>
      <c r="B1310" s="1">
        <v>4000</v>
      </c>
      <c r="C1310" s="1">
        <v>0.4</v>
      </c>
      <c r="D1310" s="1">
        <v>0.5</v>
      </c>
      <c r="E1310" s="1">
        <v>1000</v>
      </c>
      <c r="F1310" s="1">
        <v>1</v>
      </c>
      <c r="G1310" s="1">
        <v>4</v>
      </c>
      <c r="H1310" s="1" t="s">
        <v>592</v>
      </c>
      <c r="I1310" s="1">
        <v>172274.8</v>
      </c>
      <c r="J1310" s="1">
        <v>71609</v>
      </c>
      <c r="K1310" s="1">
        <v>100665.8</v>
      </c>
      <c r="L1310" s="1">
        <v>1200</v>
      </c>
      <c r="M1310" s="1">
        <v>601.69000000000005</v>
      </c>
      <c r="N1310" s="1">
        <v>40462.6</v>
      </c>
      <c r="O1310" s="1">
        <v>54454.400000000001</v>
      </c>
      <c r="P1310" s="1">
        <v>94917</v>
      </c>
      <c r="Q1310" s="1">
        <v>21662.1</v>
      </c>
      <c r="R1310" s="1">
        <v>8464.9</v>
      </c>
      <c r="S1310" s="1">
        <v>30127</v>
      </c>
      <c r="T1310" s="1">
        <v>27.42</v>
      </c>
      <c r="U1310" s="1">
        <v>0.61</v>
      </c>
      <c r="V1310" s="1">
        <v>8405.5</v>
      </c>
      <c r="W1310" s="1">
        <v>30067.599999999999</v>
      </c>
      <c r="X1310" s="1">
        <v>602.29</v>
      </c>
      <c r="Y1310" s="1">
        <v>1200</v>
      </c>
      <c r="Z1310" s="1">
        <v>124984.6</v>
      </c>
      <c r="AA1310" s="1">
        <v>27.45</v>
      </c>
      <c r="AB1310" s="1">
        <v>4000</v>
      </c>
    </row>
    <row r="1311" spans="1:28" x14ac:dyDescent="0.4">
      <c r="A1311" s="1" t="s">
        <v>94</v>
      </c>
      <c r="B1311" s="1">
        <v>4000</v>
      </c>
      <c r="C1311" s="1">
        <v>0.4</v>
      </c>
      <c r="D1311" s="1">
        <v>0.5</v>
      </c>
      <c r="E1311" s="1">
        <v>1000</v>
      </c>
      <c r="F1311" s="1">
        <v>1</v>
      </c>
      <c r="G1311" s="1">
        <v>5</v>
      </c>
      <c r="H1311" s="1" t="s">
        <v>592</v>
      </c>
      <c r="I1311" s="1">
        <v>177440</v>
      </c>
      <c r="J1311" s="1">
        <v>71930.2</v>
      </c>
      <c r="K1311" s="1">
        <v>105509.8</v>
      </c>
      <c r="L1311" s="1">
        <v>1200</v>
      </c>
      <c r="M1311" s="1">
        <v>601.07000000000005</v>
      </c>
      <c r="N1311" s="1">
        <v>41568.800000000003</v>
      </c>
      <c r="O1311" s="1">
        <v>56093.5</v>
      </c>
      <c r="P1311" s="1">
        <v>97662.3</v>
      </c>
      <c r="Q1311" s="1">
        <v>21509.5</v>
      </c>
      <c r="R1311" s="1">
        <v>8792.9</v>
      </c>
      <c r="S1311" s="1">
        <v>30302.400000000001</v>
      </c>
      <c r="T1311" s="1">
        <v>27.88</v>
      </c>
      <c r="U1311" s="1">
        <v>0.67</v>
      </c>
      <c r="V1311" s="1">
        <v>8756.2000000000007</v>
      </c>
      <c r="W1311" s="1">
        <v>30265.7</v>
      </c>
      <c r="X1311" s="1">
        <v>601.73</v>
      </c>
      <c r="Y1311" s="1">
        <v>1200</v>
      </c>
      <c r="Z1311" s="1">
        <v>127928</v>
      </c>
      <c r="AA1311" s="1">
        <v>27.9</v>
      </c>
      <c r="AB1311" s="1">
        <v>4000</v>
      </c>
    </row>
    <row r="1312" spans="1:28" x14ac:dyDescent="0.4">
      <c r="A1312" s="1" t="s">
        <v>95</v>
      </c>
      <c r="B1312" s="1">
        <v>4000</v>
      </c>
      <c r="C1312" s="1">
        <v>0.4</v>
      </c>
      <c r="D1312" s="1">
        <v>0.5</v>
      </c>
      <c r="E1312" s="1">
        <v>1000</v>
      </c>
      <c r="F1312" s="1">
        <v>2</v>
      </c>
      <c r="G1312" s="1">
        <v>1</v>
      </c>
      <c r="H1312" s="1" t="s">
        <v>592</v>
      </c>
      <c r="I1312" s="1">
        <v>272984.8</v>
      </c>
      <c r="J1312" s="1">
        <v>106266.9</v>
      </c>
      <c r="K1312" s="1">
        <v>166717.9</v>
      </c>
      <c r="L1312" s="1">
        <v>1200</v>
      </c>
      <c r="M1312" s="1">
        <v>601.49</v>
      </c>
      <c r="N1312" s="1">
        <v>63663</v>
      </c>
      <c r="O1312" s="1">
        <v>90925.7</v>
      </c>
      <c r="P1312" s="1">
        <v>154588.70000000001</v>
      </c>
      <c r="Q1312" s="1">
        <v>20285.599999999999</v>
      </c>
      <c r="R1312" s="1">
        <v>9057.7999999999993</v>
      </c>
      <c r="S1312" s="1">
        <v>29343.4</v>
      </c>
      <c r="T1312" s="1">
        <v>32.619999999999997</v>
      </c>
      <c r="U1312" s="1">
        <v>0.91</v>
      </c>
      <c r="V1312" s="1">
        <v>9023.2999999999993</v>
      </c>
      <c r="W1312" s="1">
        <v>29308.9</v>
      </c>
      <c r="X1312" s="1">
        <v>602.41</v>
      </c>
      <c r="Y1312" s="1">
        <v>1199</v>
      </c>
      <c r="Z1312" s="1">
        <v>183897.60000000001</v>
      </c>
      <c r="AA1312" s="1">
        <v>32.630000000000003</v>
      </c>
      <c r="AB1312" s="1">
        <v>4000</v>
      </c>
    </row>
    <row r="1313" spans="1:28" x14ac:dyDescent="0.4">
      <c r="A1313" s="1" t="s">
        <v>96</v>
      </c>
      <c r="B1313" s="1">
        <v>4000</v>
      </c>
      <c r="C1313" s="1">
        <v>0.4</v>
      </c>
      <c r="D1313" s="1">
        <v>0.5</v>
      </c>
      <c r="E1313" s="1">
        <v>1000</v>
      </c>
      <c r="F1313" s="1">
        <v>2</v>
      </c>
      <c r="G1313" s="1">
        <v>2</v>
      </c>
      <c r="H1313" s="1" t="s">
        <v>592</v>
      </c>
      <c r="I1313" s="1">
        <v>263794</v>
      </c>
      <c r="J1313" s="1">
        <v>97689.9</v>
      </c>
      <c r="K1313" s="1">
        <v>166104.1</v>
      </c>
      <c r="L1313" s="1">
        <v>1200</v>
      </c>
      <c r="M1313" s="1">
        <v>600.01</v>
      </c>
      <c r="N1313" s="1">
        <v>58702.6</v>
      </c>
      <c r="O1313" s="1">
        <v>91765.1</v>
      </c>
      <c r="P1313" s="1">
        <v>150467.70000000001</v>
      </c>
      <c r="Q1313" s="1">
        <v>20439.900000000001</v>
      </c>
      <c r="R1313" s="1">
        <v>8706.1</v>
      </c>
      <c r="S1313" s="1">
        <v>29146</v>
      </c>
      <c r="T1313" s="1">
        <v>31.91</v>
      </c>
      <c r="U1313" s="1">
        <v>0.7</v>
      </c>
      <c r="V1313" s="1">
        <v>8682.1</v>
      </c>
      <c r="W1313" s="1">
        <v>29122</v>
      </c>
      <c r="X1313" s="1">
        <v>600.71</v>
      </c>
      <c r="Y1313" s="1">
        <v>1200</v>
      </c>
      <c r="Z1313" s="1">
        <v>179589.7</v>
      </c>
      <c r="AA1313" s="1">
        <v>31.92</v>
      </c>
      <c r="AB1313" s="1">
        <v>4000</v>
      </c>
    </row>
    <row r="1314" spans="1:28" x14ac:dyDescent="0.4">
      <c r="A1314" s="1" t="s">
        <v>97</v>
      </c>
      <c r="B1314" s="1">
        <v>4000</v>
      </c>
      <c r="C1314" s="1">
        <v>0.4</v>
      </c>
      <c r="D1314" s="1">
        <v>0.5</v>
      </c>
      <c r="E1314" s="1">
        <v>1000</v>
      </c>
      <c r="F1314" s="1">
        <v>2</v>
      </c>
      <c r="G1314" s="1">
        <v>3</v>
      </c>
      <c r="H1314" s="1" t="s">
        <v>592</v>
      </c>
      <c r="I1314" s="1">
        <v>267654.8</v>
      </c>
      <c r="J1314" s="1">
        <v>104237.1</v>
      </c>
      <c r="K1314" s="1">
        <v>163417.70000000001</v>
      </c>
      <c r="L1314" s="1">
        <v>1200</v>
      </c>
      <c r="M1314" s="1">
        <v>600.97</v>
      </c>
      <c r="N1314" s="1">
        <v>60935.199999999997</v>
      </c>
      <c r="O1314" s="1">
        <v>89383.8</v>
      </c>
      <c r="P1314" s="1">
        <v>150319</v>
      </c>
      <c r="Q1314" s="1">
        <v>20680.5</v>
      </c>
      <c r="R1314" s="1">
        <v>9444.5</v>
      </c>
      <c r="S1314" s="1">
        <v>30125</v>
      </c>
      <c r="T1314" s="1">
        <v>32.58</v>
      </c>
      <c r="U1314" s="1">
        <v>0.79</v>
      </c>
      <c r="V1314" s="1">
        <v>9400.7000000000007</v>
      </c>
      <c r="W1314" s="1">
        <v>30081.200000000001</v>
      </c>
      <c r="X1314" s="1">
        <v>601.76</v>
      </c>
      <c r="Y1314" s="1">
        <v>1200</v>
      </c>
      <c r="Z1314" s="1">
        <v>180400.2</v>
      </c>
      <c r="AA1314" s="1">
        <v>32.6</v>
      </c>
      <c r="AB1314" s="1">
        <v>4000</v>
      </c>
    </row>
    <row r="1315" spans="1:28" x14ac:dyDescent="0.4">
      <c r="A1315" s="1" t="s">
        <v>98</v>
      </c>
      <c r="B1315" s="1">
        <v>4000</v>
      </c>
      <c r="C1315" s="1">
        <v>0.4</v>
      </c>
      <c r="D1315" s="1">
        <v>0.5</v>
      </c>
      <c r="E1315" s="1">
        <v>1000</v>
      </c>
      <c r="F1315" s="1">
        <v>2</v>
      </c>
      <c r="G1315" s="1">
        <v>4</v>
      </c>
      <c r="H1315" s="1" t="s">
        <v>592</v>
      </c>
      <c r="I1315" s="1">
        <v>271917.09999999998</v>
      </c>
      <c r="J1315" s="1">
        <v>103980.4</v>
      </c>
      <c r="K1315" s="1">
        <v>167936.7</v>
      </c>
      <c r="L1315" s="1">
        <v>1200</v>
      </c>
      <c r="M1315" s="1">
        <v>600</v>
      </c>
      <c r="N1315" s="1">
        <v>61957.5</v>
      </c>
      <c r="O1315" s="1">
        <v>90419</v>
      </c>
      <c r="P1315" s="1">
        <v>152376.5</v>
      </c>
      <c r="Q1315" s="1">
        <v>20558.8</v>
      </c>
      <c r="R1315" s="1">
        <v>8870.2000000000007</v>
      </c>
      <c r="S1315" s="1">
        <v>29429</v>
      </c>
      <c r="T1315" s="1">
        <v>33.14</v>
      </c>
      <c r="U1315" s="1">
        <v>0.76</v>
      </c>
      <c r="V1315" s="1">
        <v>8845.7999999999993</v>
      </c>
      <c r="W1315" s="1">
        <v>29404.6</v>
      </c>
      <c r="X1315" s="1">
        <v>600.77</v>
      </c>
      <c r="Y1315" s="1">
        <v>1199</v>
      </c>
      <c r="Z1315" s="1">
        <v>181781.1</v>
      </c>
      <c r="AA1315" s="1">
        <v>33.15</v>
      </c>
      <c r="AB1315" s="1">
        <v>4000</v>
      </c>
    </row>
    <row r="1316" spans="1:28" x14ac:dyDescent="0.4">
      <c r="A1316" s="1" t="s">
        <v>99</v>
      </c>
      <c r="B1316" s="1">
        <v>4000</v>
      </c>
      <c r="C1316" s="1">
        <v>0.4</v>
      </c>
      <c r="D1316" s="1">
        <v>0.5</v>
      </c>
      <c r="E1316" s="1">
        <v>1000</v>
      </c>
      <c r="F1316" s="1">
        <v>2</v>
      </c>
      <c r="G1316" s="1">
        <v>5</v>
      </c>
      <c r="H1316" s="1" t="s">
        <v>592</v>
      </c>
      <c r="I1316" s="1">
        <v>276548.7</v>
      </c>
      <c r="J1316" s="1">
        <v>105846.5</v>
      </c>
      <c r="K1316" s="1">
        <v>170702.2</v>
      </c>
      <c r="L1316" s="1">
        <v>1200</v>
      </c>
      <c r="M1316" s="1">
        <v>602.1</v>
      </c>
      <c r="N1316" s="1">
        <v>62169</v>
      </c>
      <c r="O1316" s="1">
        <v>93882.5</v>
      </c>
      <c r="P1316" s="1">
        <v>156051.5</v>
      </c>
      <c r="Q1316" s="1">
        <v>20928.599999999999</v>
      </c>
      <c r="R1316" s="1">
        <v>9378.2999999999993</v>
      </c>
      <c r="S1316" s="1">
        <v>30306.9</v>
      </c>
      <c r="T1316" s="1">
        <v>32.61</v>
      </c>
      <c r="U1316" s="1">
        <v>0.9</v>
      </c>
      <c r="V1316" s="1">
        <v>9364.5</v>
      </c>
      <c r="W1316" s="1">
        <v>30293.1</v>
      </c>
      <c r="X1316" s="1">
        <v>603</v>
      </c>
      <c r="Y1316" s="1">
        <v>1200</v>
      </c>
      <c r="Z1316" s="1">
        <v>186344.6</v>
      </c>
      <c r="AA1316" s="1">
        <v>32.619999999999997</v>
      </c>
      <c r="AB1316" s="1">
        <v>4000</v>
      </c>
    </row>
    <row r="1317" spans="1:28" x14ac:dyDescent="0.4">
      <c r="A1317" s="1" t="s">
        <v>100</v>
      </c>
      <c r="B1317" s="1">
        <v>4000</v>
      </c>
      <c r="C1317" s="1">
        <v>0.4</v>
      </c>
      <c r="D1317" s="1">
        <v>0.5</v>
      </c>
      <c r="E1317" s="1">
        <v>1000</v>
      </c>
      <c r="F1317" s="1">
        <v>3</v>
      </c>
      <c r="G1317" s="1">
        <v>1</v>
      </c>
      <c r="H1317" s="1" t="s">
        <v>592</v>
      </c>
      <c r="I1317" s="1">
        <v>341551.3</v>
      </c>
      <c r="J1317" s="1">
        <v>129094.3</v>
      </c>
      <c r="K1317" s="1">
        <v>212457</v>
      </c>
      <c r="L1317" s="1">
        <v>1200</v>
      </c>
      <c r="M1317" s="1">
        <v>601.65</v>
      </c>
      <c r="N1317" s="1">
        <v>76274.600000000006</v>
      </c>
      <c r="O1317" s="1">
        <v>116675.1</v>
      </c>
      <c r="P1317" s="1">
        <v>192949.7</v>
      </c>
      <c r="Q1317" s="1">
        <v>20741</v>
      </c>
      <c r="R1317" s="1">
        <v>9482.2999999999993</v>
      </c>
      <c r="S1317" s="1">
        <v>30223.3</v>
      </c>
      <c r="T1317" s="1">
        <v>34.659999999999997</v>
      </c>
      <c r="U1317" s="1">
        <v>1</v>
      </c>
      <c r="V1317" s="1">
        <v>9434.4</v>
      </c>
      <c r="W1317" s="1">
        <v>30175.4</v>
      </c>
      <c r="X1317" s="1">
        <v>602.65</v>
      </c>
      <c r="Y1317" s="1">
        <v>1200</v>
      </c>
      <c r="Z1317" s="1">
        <v>223125.1</v>
      </c>
      <c r="AA1317" s="1">
        <v>34.67</v>
      </c>
      <c r="AB1317" s="1">
        <v>4000</v>
      </c>
    </row>
    <row r="1318" spans="1:28" x14ac:dyDescent="0.4">
      <c r="A1318" s="1" t="s">
        <v>101</v>
      </c>
      <c r="B1318" s="1">
        <v>4000</v>
      </c>
      <c r="C1318" s="1">
        <v>0.4</v>
      </c>
      <c r="D1318" s="1">
        <v>0.5</v>
      </c>
      <c r="E1318" s="1">
        <v>1000</v>
      </c>
      <c r="F1318" s="1">
        <v>3</v>
      </c>
      <c r="G1318" s="1">
        <v>2</v>
      </c>
      <c r="H1318" s="1" t="s">
        <v>592</v>
      </c>
      <c r="I1318" s="1">
        <v>359905</v>
      </c>
      <c r="J1318" s="1">
        <v>140692.79999999999</v>
      </c>
      <c r="K1318" s="1">
        <v>219212.2</v>
      </c>
      <c r="L1318" s="1">
        <v>1200</v>
      </c>
      <c r="M1318" s="1">
        <v>601.54</v>
      </c>
      <c r="N1318" s="1">
        <v>84241.1</v>
      </c>
      <c r="O1318" s="1">
        <v>122117.6</v>
      </c>
      <c r="P1318" s="1">
        <v>206358.7</v>
      </c>
      <c r="Q1318" s="1">
        <v>20731.2</v>
      </c>
      <c r="R1318" s="1">
        <v>8864.7999999999993</v>
      </c>
      <c r="S1318" s="1">
        <v>29596</v>
      </c>
      <c r="T1318" s="1">
        <v>34.44</v>
      </c>
      <c r="U1318" s="1">
        <v>0.91</v>
      </c>
      <c r="V1318" s="1">
        <v>8828.6</v>
      </c>
      <c r="W1318" s="1">
        <v>29559.8</v>
      </c>
      <c r="X1318" s="1">
        <v>602.45000000000005</v>
      </c>
      <c r="Y1318" s="1">
        <v>1199</v>
      </c>
      <c r="Z1318" s="1">
        <v>235918.5</v>
      </c>
      <c r="AA1318" s="1">
        <v>34.450000000000003</v>
      </c>
      <c r="AB1318" s="1">
        <v>4000</v>
      </c>
    </row>
    <row r="1319" spans="1:28" x14ac:dyDescent="0.4">
      <c r="A1319" s="1" t="s">
        <v>102</v>
      </c>
      <c r="B1319" s="1">
        <v>4000</v>
      </c>
      <c r="C1319" s="1">
        <v>0.4</v>
      </c>
      <c r="D1319" s="1">
        <v>0.5</v>
      </c>
      <c r="E1319" s="1">
        <v>1000</v>
      </c>
      <c r="F1319" s="1">
        <v>3</v>
      </c>
      <c r="G1319" s="1">
        <v>3</v>
      </c>
      <c r="H1319" s="1" t="s">
        <v>592</v>
      </c>
      <c r="I1319" s="1">
        <v>346084.2</v>
      </c>
      <c r="J1319" s="1">
        <v>139484.70000000001</v>
      </c>
      <c r="K1319" s="1">
        <v>206599.5</v>
      </c>
      <c r="L1319" s="1">
        <v>1200</v>
      </c>
      <c r="M1319" s="1">
        <v>600.01</v>
      </c>
      <c r="N1319" s="1">
        <v>82346.3</v>
      </c>
      <c r="O1319" s="1">
        <v>115386.2</v>
      </c>
      <c r="P1319" s="1">
        <v>197732.5</v>
      </c>
      <c r="Q1319" s="1">
        <v>20729.599999999999</v>
      </c>
      <c r="R1319" s="1">
        <v>8800.7000000000007</v>
      </c>
      <c r="S1319" s="1">
        <v>29530.3</v>
      </c>
      <c r="T1319" s="1">
        <v>34.33</v>
      </c>
      <c r="U1319" s="1">
        <v>0.86</v>
      </c>
      <c r="V1319" s="1">
        <v>8798</v>
      </c>
      <c r="W1319" s="1">
        <v>29527.599999999999</v>
      </c>
      <c r="X1319" s="1">
        <v>600.87</v>
      </c>
      <c r="Y1319" s="1">
        <v>1200</v>
      </c>
      <c r="Z1319" s="1">
        <v>227260.1</v>
      </c>
      <c r="AA1319" s="1">
        <v>34.33</v>
      </c>
      <c r="AB1319" s="1">
        <v>4000</v>
      </c>
    </row>
    <row r="1320" spans="1:28" x14ac:dyDescent="0.4">
      <c r="A1320" s="1" t="s">
        <v>103</v>
      </c>
      <c r="B1320" s="1">
        <v>4000</v>
      </c>
      <c r="C1320" s="1">
        <v>0.4</v>
      </c>
      <c r="D1320" s="1">
        <v>0.5</v>
      </c>
      <c r="E1320" s="1">
        <v>1000</v>
      </c>
      <c r="F1320" s="1">
        <v>3</v>
      </c>
      <c r="G1320" s="1">
        <v>4</v>
      </c>
      <c r="H1320" s="1" t="s">
        <v>592</v>
      </c>
      <c r="I1320" s="1">
        <v>368365.6</v>
      </c>
      <c r="J1320" s="1">
        <v>138650.29999999999</v>
      </c>
      <c r="K1320" s="1">
        <v>229715.3</v>
      </c>
      <c r="L1320" s="1">
        <v>1200</v>
      </c>
      <c r="M1320" s="1">
        <v>602.12</v>
      </c>
      <c r="N1320" s="1">
        <v>82633</v>
      </c>
      <c r="O1320" s="1">
        <v>127787.3</v>
      </c>
      <c r="P1320" s="1">
        <v>210420.3</v>
      </c>
      <c r="Q1320" s="1">
        <v>20237.3</v>
      </c>
      <c r="R1320" s="1">
        <v>9278.5</v>
      </c>
      <c r="S1320" s="1">
        <v>29515.8</v>
      </c>
      <c r="T1320" s="1">
        <v>34.86</v>
      </c>
      <c r="U1320" s="1">
        <v>1.17</v>
      </c>
      <c r="V1320" s="1">
        <v>9225.7999999999993</v>
      </c>
      <c r="W1320" s="1">
        <v>29463.1</v>
      </c>
      <c r="X1320" s="1">
        <v>603.29</v>
      </c>
      <c r="Y1320" s="1">
        <v>1199</v>
      </c>
      <c r="Z1320" s="1">
        <v>239883.4</v>
      </c>
      <c r="AA1320" s="1">
        <v>34.880000000000003</v>
      </c>
      <c r="AB1320" s="1">
        <v>4000</v>
      </c>
    </row>
    <row r="1321" spans="1:28" x14ac:dyDescent="0.4">
      <c r="A1321" s="1" t="s">
        <v>104</v>
      </c>
      <c r="B1321" s="1">
        <v>4000</v>
      </c>
      <c r="C1321" s="1">
        <v>0.4</v>
      </c>
      <c r="D1321" s="1">
        <v>0.5</v>
      </c>
      <c r="E1321" s="1">
        <v>1000</v>
      </c>
      <c r="F1321" s="1">
        <v>3</v>
      </c>
      <c r="G1321" s="1">
        <v>5</v>
      </c>
      <c r="H1321" s="1" t="s">
        <v>592</v>
      </c>
      <c r="I1321" s="1">
        <v>339263.6</v>
      </c>
      <c r="J1321" s="1">
        <v>129708.3</v>
      </c>
      <c r="K1321" s="1">
        <v>209555.3</v>
      </c>
      <c r="L1321" s="1">
        <v>1200</v>
      </c>
      <c r="M1321" s="1">
        <v>601.44000000000005</v>
      </c>
      <c r="N1321" s="1">
        <v>78229.600000000006</v>
      </c>
      <c r="O1321" s="1">
        <v>116424</v>
      </c>
      <c r="P1321" s="1">
        <v>194653.6</v>
      </c>
      <c r="Q1321" s="1">
        <v>20780.5</v>
      </c>
      <c r="R1321" s="1">
        <v>9215.6</v>
      </c>
      <c r="S1321" s="1">
        <v>29996.1</v>
      </c>
      <c r="T1321" s="1">
        <v>33.78</v>
      </c>
      <c r="U1321" s="1">
        <v>0.8</v>
      </c>
      <c r="V1321" s="1">
        <v>9215.6</v>
      </c>
      <c r="W1321" s="1">
        <v>29996.1</v>
      </c>
      <c r="X1321" s="1">
        <v>602.24</v>
      </c>
      <c r="Y1321" s="1">
        <v>1199</v>
      </c>
      <c r="Z1321" s="1">
        <v>224649.7</v>
      </c>
      <c r="AA1321" s="1">
        <v>33.78</v>
      </c>
      <c r="AB1321" s="1">
        <v>4000</v>
      </c>
    </row>
    <row r="1322" spans="1:28" x14ac:dyDescent="0.4">
      <c r="A1322" s="1" t="s">
        <v>437</v>
      </c>
      <c r="B1322" s="1">
        <v>4000</v>
      </c>
      <c r="C1322" s="1">
        <v>0.4</v>
      </c>
      <c r="D1322" s="1">
        <v>0.5</v>
      </c>
      <c r="E1322" s="1">
        <v>2000</v>
      </c>
      <c r="F1322" s="1">
        <v>1</v>
      </c>
      <c r="G1322" s="1">
        <v>1</v>
      </c>
      <c r="H1322" s="1" t="s">
        <v>592</v>
      </c>
      <c r="I1322" s="1">
        <v>359399</v>
      </c>
      <c r="J1322" s="1">
        <v>142539.5</v>
      </c>
      <c r="K1322" s="1">
        <v>216859.5</v>
      </c>
      <c r="L1322" s="1">
        <v>1200</v>
      </c>
      <c r="M1322" s="1">
        <v>601.51</v>
      </c>
      <c r="N1322" s="1">
        <v>82902.899999999994</v>
      </c>
      <c r="O1322" s="1">
        <v>122721.60000000001</v>
      </c>
      <c r="P1322" s="1">
        <v>205624.5</v>
      </c>
      <c r="Q1322" s="1">
        <v>26976.9</v>
      </c>
      <c r="R1322" s="1">
        <v>12365.9</v>
      </c>
      <c r="S1322" s="1">
        <v>39342.800000000003</v>
      </c>
      <c r="T1322" s="1">
        <v>31.84</v>
      </c>
      <c r="U1322" s="1">
        <v>0.45</v>
      </c>
      <c r="V1322" s="1">
        <v>12353.1</v>
      </c>
      <c r="W1322" s="1">
        <v>39330</v>
      </c>
      <c r="X1322" s="1">
        <v>601.96</v>
      </c>
      <c r="Y1322" s="1">
        <v>1198</v>
      </c>
      <c r="Z1322" s="1">
        <v>244954.5</v>
      </c>
      <c r="AA1322" s="1">
        <v>31.84</v>
      </c>
      <c r="AB1322" s="1">
        <v>4000</v>
      </c>
    </row>
    <row r="1323" spans="1:28" x14ac:dyDescent="0.4">
      <c r="A1323" s="1" t="s">
        <v>438</v>
      </c>
      <c r="B1323" s="1">
        <v>4000</v>
      </c>
      <c r="C1323" s="1">
        <v>0.4</v>
      </c>
      <c r="D1323" s="1">
        <v>0.5</v>
      </c>
      <c r="E1323" s="1">
        <v>2000</v>
      </c>
      <c r="F1323" s="1">
        <v>1</v>
      </c>
      <c r="G1323" s="1">
        <v>2</v>
      </c>
      <c r="H1323" s="1" t="s">
        <v>592</v>
      </c>
      <c r="I1323" s="1">
        <v>357031.4</v>
      </c>
      <c r="J1323" s="1">
        <v>141652.1</v>
      </c>
      <c r="K1323" s="1">
        <v>215379.3</v>
      </c>
      <c r="L1323" s="1">
        <v>1200</v>
      </c>
      <c r="M1323" s="1">
        <v>601.1</v>
      </c>
      <c r="N1323" s="1">
        <v>82213.899999999994</v>
      </c>
      <c r="O1323" s="1">
        <v>122925.4</v>
      </c>
      <c r="P1323" s="1">
        <v>205139.3</v>
      </c>
      <c r="Q1323" s="1">
        <v>26282.9</v>
      </c>
      <c r="R1323" s="1">
        <v>12353.3</v>
      </c>
      <c r="S1323" s="1">
        <v>38636.199999999997</v>
      </c>
      <c r="T1323" s="1">
        <v>31.72</v>
      </c>
      <c r="U1323" s="1">
        <v>0.43</v>
      </c>
      <c r="V1323" s="1">
        <v>12336.7</v>
      </c>
      <c r="W1323" s="1">
        <v>38619.599999999999</v>
      </c>
      <c r="X1323" s="1">
        <v>601.53</v>
      </c>
      <c r="Y1323" s="1">
        <v>1200</v>
      </c>
      <c r="Z1323" s="1">
        <v>243758.9</v>
      </c>
      <c r="AA1323" s="1">
        <v>31.73</v>
      </c>
      <c r="AB1323" s="1">
        <v>4000</v>
      </c>
    </row>
    <row r="1324" spans="1:28" x14ac:dyDescent="0.4">
      <c r="A1324" s="1" t="s">
        <v>439</v>
      </c>
      <c r="B1324" s="1">
        <v>4000</v>
      </c>
      <c r="C1324" s="1">
        <v>0.4</v>
      </c>
      <c r="D1324" s="1">
        <v>0.5</v>
      </c>
      <c r="E1324" s="1">
        <v>2000</v>
      </c>
      <c r="F1324" s="1">
        <v>1</v>
      </c>
      <c r="G1324" s="1">
        <v>3</v>
      </c>
      <c r="H1324" s="1" t="s">
        <v>592</v>
      </c>
      <c r="I1324" s="1">
        <v>354479.3</v>
      </c>
      <c r="J1324" s="1">
        <v>137883.5</v>
      </c>
      <c r="K1324" s="1">
        <v>216595.8</v>
      </c>
      <c r="L1324" s="1">
        <v>1200</v>
      </c>
      <c r="M1324" s="1">
        <v>601.16</v>
      </c>
      <c r="N1324" s="1">
        <v>82369.399999999994</v>
      </c>
      <c r="O1324" s="1">
        <v>124000.3</v>
      </c>
      <c r="P1324" s="1">
        <v>206369.7</v>
      </c>
      <c r="Q1324" s="1">
        <v>26614.400000000001</v>
      </c>
      <c r="R1324" s="1">
        <v>12208.2</v>
      </c>
      <c r="S1324" s="1">
        <v>38822.6</v>
      </c>
      <c r="T1324" s="1">
        <v>30.83</v>
      </c>
      <c r="U1324" s="1">
        <v>0.53</v>
      </c>
      <c r="V1324" s="1">
        <v>12208.2</v>
      </c>
      <c r="W1324" s="1">
        <v>38822.6</v>
      </c>
      <c r="X1324" s="1">
        <v>601.69000000000005</v>
      </c>
      <c r="Y1324" s="1">
        <v>1200</v>
      </c>
      <c r="Z1324" s="1">
        <v>245192.3</v>
      </c>
      <c r="AA1324" s="1">
        <v>30.83</v>
      </c>
      <c r="AB1324" s="1">
        <v>4000</v>
      </c>
    </row>
    <row r="1325" spans="1:28" x14ac:dyDescent="0.4">
      <c r="A1325" s="1" t="s">
        <v>440</v>
      </c>
      <c r="B1325" s="1">
        <v>4000</v>
      </c>
      <c r="C1325" s="1">
        <v>0.4</v>
      </c>
      <c r="D1325" s="1">
        <v>0.5</v>
      </c>
      <c r="E1325" s="1">
        <v>2000</v>
      </c>
      <c r="F1325" s="1">
        <v>1</v>
      </c>
      <c r="G1325" s="1">
        <v>4</v>
      </c>
      <c r="H1325" s="1" t="s">
        <v>592</v>
      </c>
      <c r="I1325" s="1">
        <v>350005.1</v>
      </c>
      <c r="J1325" s="1">
        <v>139952.9</v>
      </c>
      <c r="K1325" s="1">
        <v>210052.2</v>
      </c>
      <c r="L1325" s="1">
        <v>1200</v>
      </c>
      <c r="M1325" s="1">
        <v>600.32000000000005</v>
      </c>
      <c r="N1325" s="1">
        <v>81709.100000000006</v>
      </c>
      <c r="O1325" s="1">
        <v>118727.2</v>
      </c>
      <c r="P1325" s="1">
        <v>200436.3</v>
      </c>
      <c r="Q1325" s="1">
        <v>26676.7</v>
      </c>
      <c r="R1325" s="1">
        <v>12101.2</v>
      </c>
      <c r="S1325" s="1">
        <v>38777.9</v>
      </c>
      <c r="T1325" s="1">
        <v>31.65</v>
      </c>
      <c r="U1325" s="1">
        <v>0.59</v>
      </c>
      <c r="V1325" s="1">
        <v>12090.2</v>
      </c>
      <c r="W1325" s="1">
        <v>38766.9</v>
      </c>
      <c r="X1325" s="1">
        <v>600.91</v>
      </c>
      <c r="Y1325" s="1">
        <v>1199</v>
      </c>
      <c r="Z1325" s="1">
        <v>239203.20000000001</v>
      </c>
      <c r="AA1325" s="1">
        <v>31.66</v>
      </c>
      <c r="AB1325" s="1">
        <v>4000</v>
      </c>
    </row>
    <row r="1326" spans="1:28" x14ac:dyDescent="0.4">
      <c r="A1326" s="1" t="s">
        <v>441</v>
      </c>
      <c r="B1326" s="1">
        <v>4000</v>
      </c>
      <c r="C1326" s="1">
        <v>0.4</v>
      </c>
      <c r="D1326" s="1">
        <v>0.5</v>
      </c>
      <c r="E1326" s="1">
        <v>2000</v>
      </c>
      <c r="F1326" s="1">
        <v>1</v>
      </c>
      <c r="G1326" s="1">
        <v>5</v>
      </c>
      <c r="H1326" s="1" t="s">
        <v>592</v>
      </c>
      <c r="I1326" s="1">
        <v>349985</v>
      </c>
      <c r="J1326" s="1">
        <v>143173.9</v>
      </c>
      <c r="K1326" s="1">
        <v>206811.1</v>
      </c>
      <c r="L1326" s="1">
        <v>1200</v>
      </c>
      <c r="M1326" s="1">
        <v>601.74</v>
      </c>
      <c r="N1326" s="1">
        <v>83697.899999999994</v>
      </c>
      <c r="O1326" s="1">
        <v>116092.6</v>
      </c>
      <c r="P1326" s="1">
        <v>199790.5</v>
      </c>
      <c r="Q1326" s="1">
        <v>26276</v>
      </c>
      <c r="R1326" s="1">
        <v>12542.7</v>
      </c>
      <c r="S1326" s="1">
        <v>38818.699999999997</v>
      </c>
      <c r="T1326" s="1">
        <v>31.82</v>
      </c>
      <c r="U1326" s="1">
        <v>0.57999999999999996</v>
      </c>
      <c r="V1326" s="1">
        <v>12517.9</v>
      </c>
      <c r="W1326" s="1">
        <v>38793.9</v>
      </c>
      <c r="X1326" s="1">
        <v>602.32000000000005</v>
      </c>
      <c r="Y1326" s="1">
        <v>1200</v>
      </c>
      <c r="Z1326" s="1">
        <v>238584.4</v>
      </c>
      <c r="AA1326" s="1">
        <v>31.83</v>
      </c>
      <c r="AB1326" s="1">
        <v>4000</v>
      </c>
    </row>
    <row r="1327" spans="1:28" x14ac:dyDescent="0.4">
      <c r="A1327" s="1" t="s">
        <v>442</v>
      </c>
      <c r="B1327" s="1">
        <v>4000</v>
      </c>
      <c r="C1327" s="1">
        <v>0.4</v>
      </c>
      <c r="D1327" s="1">
        <v>0.5</v>
      </c>
      <c r="E1327" s="1">
        <v>2000</v>
      </c>
      <c r="F1327" s="1">
        <v>2</v>
      </c>
      <c r="G1327" s="1">
        <v>1</v>
      </c>
      <c r="H1327" s="1" t="s">
        <v>592</v>
      </c>
      <c r="I1327" s="1">
        <v>530065.5</v>
      </c>
      <c r="J1327" s="1">
        <v>200162.8</v>
      </c>
      <c r="K1327" s="1">
        <v>329902.7</v>
      </c>
      <c r="L1327" s="1">
        <v>1200</v>
      </c>
      <c r="M1327" s="1">
        <v>600.02</v>
      </c>
      <c r="N1327" s="1">
        <v>122204</v>
      </c>
      <c r="O1327" s="1">
        <v>189968.6</v>
      </c>
      <c r="P1327" s="1">
        <v>312172.59999999998</v>
      </c>
      <c r="Q1327" s="1">
        <v>25123.8</v>
      </c>
      <c r="R1327" s="1">
        <v>11442.7</v>
      </c>
      <c r="S1327" s="1">
        <v>36566.5</v>
      </c>
      <c r="T1327" s="1">
        <v>34.21</v>
      </c>
      <c r="U1327" s="1">
        <v>0.74</v>
      </c>
      <c r="V1327" s="1">
        <v>11439.1</v>
      </c>
      <c r="W1327" s="1">
        <v>36562.9</v>
      </c>
      <c r="X1327" s="1">
        <v>600.76</v>
      </c>
      <c r="Y1327" s="1">
        <v>1200</v>
      </c>
      <c r="Z1327" s="1">
        <v>348735.5</v>
      </c>
      <c r="AA1327" s="1">
        <v>34.21</v>
      </c>
      <c r="AB1327" s="1">
        <v>4000</v>
      </c>
    </row>
    <row r="1328" spans="1:28" x14ac:dyDescent="0.4">
      <c r="A1328" s="1" t="s">
        <v>443</v>
      </c>
      <c r="B1328" s="1">
        <v>4000</v>
      </c>
      <c r="C1328" s="1">
        <v>0.4</v>
      </c>
      <c r="D1328" s="1">
        <v>0.5</v>
      </c>
      <c r="E1328" s="1">
        <v>2000</v>
      </c>
      <c r="F1328" s="1">
        <v>2</v>
      </c>
      <c r="G1328" s="1">
        <v>2</v>
      </c>
      <c r="H1328" s="1" t="s">
        <v>592</v>
      </c>
      <c r="I1328" s="1">
        <v>544762.19999999995</v>
      </c>
      <c r="J1328" s="1">
        <v>210074.1</v>
      </c>
      <c r="K1328" s="1">
        <v>334688.09999999998</v>
      </c>
      <c r="L1328" s="1">
        <v>1200</v>
      </c>
      <c r="M1328" s="1">
        <v>601.49</v>
      </c>
      <c r="N1328" s="1">
        <v>129502.5</v>
      </c>
      <c r="O1328" s="1">
        <v>191961.8</v>
      </c>
      <c r="P1328" s="1">
        <v>321464.3</v>
      </c>
      <c r="Q1328" s="1">
        <v>24955.8</v>
      </c>
      <c r="R1328" s="1">
        <v>11368</v>
      </c>
      <c r="S1328" s="1">
        <v>36323.800000000003</v>
      </c>
      <c r="T1328" s="1">
        <v>34.32</v>
      </c>
      <c r="U1328" s="1">
        <v>0.67</v>
      </c>
      <c r="V1328" s="1">
        <v>11360.2</v>
      </c>
      <c r="W1328" s="1">
        <v>36316</v>
      </c>
      <c r="X1328" s="1">
        <v>602.16</v>
      </c>
      <c r="Y1328" s="1">
        <v>1199</v>
      </c>
      <c r="Z1328" s="1">
        <v>357780.3</v>
      </c>
      <c r="AA1328" s="1">
        <v>34.32</v>
      </c>
      <c r="AB1328" s="1">
        <v>4000</v>
      </c>
    </row>
    <row r="1329" spans="1:28" x14ac:dyDescent="0.4">
      <c r="A1329" s="1" t="s">
        <v>444</v>
      </c>
      <c r="B1329" s="1">
        <v>4000</v>
      </c>
      <c r="C1329" s="1">
        <v>0.4</v>
      </c>
      <c r="D1329" s="1">
        <v>0.5</v>
      </c>
      <c r="E1329" s="1">
        <v>2000</v>
      </c>
      <c r="F1329" s="1">
        <v>2</v>
      </c>
      <c r="G1329" s="1">
        <v>3</v>
      </c>
      <c r="H1329" s="1" t="s">
        <v>592</v>
      </c>
      <c r="I1329" s="1">
        <v>530652.9</v>
      </c>
      <c r="J1329" s="1">
        <v>203092.4</v>
      </c>
      <c r="K1329" s="1">
        <v>327560.5</v>
      </c>
      <c r="L1329" s="1">
        <v>1200</v>
      </c>
      <c r="M1329" s="1">
        <v>600.01</v>
      </c>
      <c r="N1329" s="1">
        <v>125248.5</v>
      </c>
      <c r="O1329" s="1">
        <v>187384.1</v>
      </c>
      <c r="P1329" s="1">
        <v>312632.59999999998</v>
      </c>
      <c r="Q1329" s="1">
        <v>24510.799999999999</v>
      </c>
      <c r="R1329" s="1">
        <v>11545</v>
      </c>
      <c r="S1329" s="1">
        <v>36055.800000000003</v>
      </c>
      <c r="T1329" s="1">
        <v>34.29</v>
      </c>
      <c r="U1329" s="1">
        <v>0.8</v>
      </c>
      <c r="V1329" s="1">
        <v>11542.2</v>
      </c>
      <c r="W1329" s="1">
        <v>36053</v>
      </c>
      <c r="X1329" s="1">
        <v>600.80999999999995</v>
      </c>
      <c r="Y1329" s="1">
        <v>1199</v>
      </c>
      <c r="Z1329" s="1">
        <v>348685.6</v>
      </c>
      <c r="AA1329" s="1">
        <v>34.29</v>
      </c>
      <c r="AB1329" s="1">
        <v>4000</v>
      </c>
    </row>
    <row r="1330" spans="1:28" x14ac:dyDescent="0.4">
      <c r="A1330" s="1" t="s">
        <v>445</v>
      </c>
      <c r="B1330" s="1">
        <v>4000</v>
      </c>
      <c r="C1330" s="1">
        <v>0.4</v>
      </c>
      <c r="D1330" s="1">
        <v>0.5</v>
      </c>
      <c r="E1330" s="1">
        <v>2000</v>
      </c>
      <c r="F1330" s="1">
        <v>2</v>
      </c>
      <c r="G1330" s="1">
        <v>4</v>
      </c>
      <c r="H1330" s="1" t="s">
        <v>592</v>
      </c>
      <c r="I1330" s="1">
        <v>541149</v>
      </c>
      <c r="J1330" s="1">
        <v>207558.3</v>
      </c>
      <c r="K1330" s="1">
        <v>333590.7</v>
      </c>
      <c r="L1330" s="1">
        <v>1200</v>
      </c>
      <c r="M1330" s="1">
        <v>601.80999999999995</v>
      </c>
      <c r="N1330" s="1">
        <v>126363.5</v>
      </c>
      <c r="O1330" s="1">
        <v>189948.7</v>
      </c>
      <c r="P1330" s="1">
        <v>316312.2</v>
      </c>
      <c r="Q1330" s="1">
        <v>24785.8</v>
      </c>
      <c r="R1330" s="1">
        <v>11358.6</v>
      </c>
      <c r="S1330" s="1">
        <v>36144.400000000001</v>
      </c>
      <c r="T1330" s="1">
        <v>34.869999999999997</v>
      </c>
      <c r="U1330" s="1">
        <v>0.72</v>
      </c>
      <c r="V1330" s="1">
        <v>11352.2</v>
      </c>
      <c r="W1330" s="1">
        <v>36138</v>
      </c>
      <c r="X1330" s="1">
        <v>602.53</v>
      </c>
      <c r="Y1330" s="1">
        <v>1200</v>
      </c>
      <c r="Z1330" s="1">
        <v>352450.2</v>
      </c>
      <c r="AA1330" s="1">
        <v>34.869999999999997</v>
      </c>
      <c r="AB1330" s="1">
        <v>4000</v>
      </c>
    </row>
    <row r="1331" spans="1:28" x14ac:dyDescent="0.4">
      <c r="A1331" s="1" t="s">
        <v>446</v>
      </c>
      <c r="B1331" s="1">
        <v>4000</v>
      </c>
      <c r="C1331" s="1">
        <v>0.4</v>
      </c>
      <c r="D1331" s="1">
        <v>0.5</v>
      </c>
      <c r="E1331" s="1">
        <v>2000</v>
      </c>
      <c r="F1331" s="1">
        <v>2</v>
      </c>
      <c r="G1331" s="1">
        <v>5</v>
      </c>
      <c r="H1331" s="1" t="s">
        <v>592</v>
      </c>
      <c r="I1331" s="1">
        <v>541488.4</v>
      </c>
      <c r="J1331" s="1">
        <v>211176</v>
      </c>
      <c r="K1331" s="1">
        <v>330312.40000000002</v>
      </c>
      <c r="L1331" s="1">
        <v>1200</v>
      </c>
      <c r="M1331" s="1">
        <v>601.91999999999996</v>
      </c>
      <c r="N1331" s="1">
        <v>128940.1</v>
      </c>
      <c r="O1331" s="1">
        <v>188836.1</v>
      </c>
      <c r="P1331" s="1">
        <v>317776.2</v>
      </c>
      <c r="Q1331" s="1">
        <v>24661.3</v>
      </c>
      <c r="R1331" s="1">
        <v>11389.4</v>
      </c>
      <c r="S1331" s="1">
        <v>36050.699999999997</v>
      </c>
      <c r="T1331" s="1">
        <v>34.659999999999997</v>
      </c>
      <c r="U1331" s="1">
        <v>0.8</v>
      </c>
      <c r="V1331" s="1">
        <v>11389.4</v>
      </c>
      <c r="W1331" s="1">
        <v>36050.699999999997</v>
      </c>
      <c r="X1331" s="1">
        <v>602.72</v>
      </c>
      <c r="Y1331" s="1">
        <v>1200</v>
      </c>
      <c r="Z1331" s="1">
        <v>353826.9</v>
      </c>
      <c r="AA1331" s="1">
        <v>34.659999999999997</v>
      </c>
      <c r="AB1331" s="1">
        <v>4000</v>
      </c>
    </row>
    <row r="1332" spans="1:28" x14ac:dyDescent="0.4">
      <c r="A1332" s="1" t="s">
        <v>447</v>
      </c>
      <c r="B1332" s="1">
        <v>4000</v>
      </c>
      <c r="C1332" s="1">
        <v>0.4</v>
      </c>
      <c r="D1332" s="1">
        <v>0.5</v>
      </c>
      <c r="E1332" s="1">
        <v>2000</v>
      </c>
      <c r="F1332" s="1">
        <v>3</v>
      </c>
      <c r="G1332" s="1">
        <v>1</v>
      </c>
      <c r="H1332" s="1" t="s">
        <v>592</v>
      </c>
      <c r="I1332" s="1">
        <v>690900.6</v>
      </c>
      <c r="J1332" s="1">
        <v>273563.3</v>
      </c>
      <c r="K1332" s="1">
        <v>417337.3</v>
      </c>
      <c r="L1332" s="1">
        <v>1200</v>
      </c>
      <c r="M1332" s="1">
        <v>600.05999999999995</v>
      </c>
      <c r="N1332" s="1">
        <v>167279.6</v>
      </c>
      <c r="O1332" s="1">
        <v>245505.5</v>
      </c>
      <c r="P1332" s="1">
        <v>412785.1</v>
      </c>
      <c r="Q1332" s="1">
        <v>24212.1</v>
      </c>
      <c r="R1332" s="1">
        <v>10291.4</v>
      </c>
      <c r="S1332" s="1">
        <v>34503.5</v>
      </c>
      <c r="T1332" s="1">
        <v>35.26</v>
      </c>
      <c r="U1332" s="1">
        <v>0.83</v>
      </c>
      <c r="V1332" s="1">
        <v>10275.9</v>
      </c>
      <c r="W1332" s="1">
        <v>34488</v>
      </c>
      <c r="X1332" s="1">
        <v>600.9</v>
      </c>
      <c r="Y1332" s="1">
        <v>1200</v>
      </c>
      <c r="Z1332" s="1">
        <v>447273.1</v>
      </c>
      <c r="AA1332" s="1">
        <v>35.26</v>
      </c>
      <c r="AB1332" s="1">
        <v>4000</v>
      </c>
    </row>
    <row r="1333" spans="1:28" x14ac:dyDescent="0.4">
      <c r="A1333" s="1" t="s">
        <v>448</v>
      </c>
      <c r="B1333" s="1">
        <v>4000</v>
      </c>
      <c r="C1333" s="1">
        <v>0.4</v>
      </c>
      <c r="D1333" s="1">
        <v>0.5</v>
      </c>
      <c r="E1333" s="1">
        <v>2000</v>
      </c>
      <c r="F1333" s="1">
        <v>3</v>
      </c>
      <c r="G1333" s="1">
        <v>2</v>
      </c>
      <c r="H1333" s="1" t="s">
        <v>592</v>
      </c>
      <c r="I1333" s="1">
        <v>683230.4</v>
      </c>
      <c r="J1333" s="1">
        <v>258189.2</v>
      </c>
      <c r="K1333" s="1">
        <v>425041.2</v>
      </c>
      <c r="L1333" s="1">
        <v>1200</v>
      </c>
      <c r="M1333" s="1">
        <v>601.75</v>
      </c>
      <c r="N1333" s="1">
        <v>155984</v>
      </c>
      <c r="O1333" s="1">
        <v>247153.3</v>
      </c>
      <c r="P1333" s="1">
        <v>403137.3</v>
      </c>
      <c r="Q1333" s="1">
        <v>24957.8</v>
      </c>
      <c r="R1333" s="1">
        <v>10871.4</v>
      </c>
      <c r="S1333" s="1">
        <v>35829.199999999997</v>
      </c>
      <c r="T1333" s="1">
        <v>35.75</v>
      </c>
      <c r="U1333" s="1">
        <v>0.61</v>
      </c>
      <c r="V1333" s="1">
        <v>10871.4</v>
      </c>
      <c r="W1333" s="1">
        <v>35829.199999999997</v>
      </c>
      <c r="X1333" s="1">
        <v>602.36</v>
      </c>
      <c r="Y1333" s="1">
        <v>1199</v>
      </c>
      <c r="Z1333" s="1">
        <v>438966.5</v>
      </c>
      <c r="AA1333" s="1">
        <v>35.75</v>
      </c>
      <c r="AB1333" s="1">
        <v>4000</v>
      </c>
    </row>
    <row r="1334" spans="1:28" x14ac:dyDescent="0.4">
      <c r="A1334" s="1" t="s">
        <v>449</v>
      </c>
      <c r="B1334" s="1">
        <v>4000</v>
      </c>
      <c r="C1334" s="1">
        <v>0.4</v>
      </c>
      <c r="D1334" s="1">
        <v>0.5</v>
      </c>
      <c r="E1334" s="1">
        <v>2000</v>
      </c>
      <c r="F1334" s="1">
        <v>3</v>
      </c>
      <c r="G1334" s="1">
        <v>3</v>
      </c>
      <c r="H1334" s="1" t="s">
        <v>592</v>
      </c>
      <c r="I1334" s="1">
        <v>685319.4</v>
      </c>
      <c r="J1334" s="1">
        <v>263709.59999999998</v>
      </c>
      <c r="K1334" s="1">
        <v>421609.8</v>
      </c>
      <c r="L1334" s="1">
        <v>1200</v>
      </c>
      <c r="M1334" s="1">
        <v>601.58000000000004</v>
      </c>
      <c r="N1334" s="1">
        <v>159859.9</v>
      </c>
      <c r="O1334" s="1">
        <v>244623.9</v>
      </c>
      <c r="P1334" s="1">
        <v>404483.8</v>
      </c>
      <c r="Q1334" s="1">
        <v>24899.3</v>
      </c>
      <c r="R1334" s="1">
        <v>11089</v>
      </c>
      <c r="S1334" s="1">
        <v>35988.300000000003</v>
      </c>
      <c r="T1334" s="1">
        <v>35.729999999999997</v>
      </c>
      <c r="U1334" s="1">
        <v>0.87</v>
      </c>
      <c r="V1334" s="1">
        <v>11089</v>
      </c>
      <c r="W1334" s="1">
        <v>35988.300000000003</v>
      </c>
      <c r="X1334" s="1">
        <v>602.44000000000005</v>
      </c>
      <c r="Y1334" s="1">
        <v>1200</v>
      </c>
      <c r="Z1334" s="1">
        <v>440472.1</v>
      </c>
      <c r="AA1334" s="1">
        <v>35.729999999999997</v>
      </c>
      <c r="AB1334" s="1">
        <v>4000</v>
      </c>
    </row>
    <row r="1335" spans="1:28" x14ac:dyDescent="0.4">
      <c r="A1335" s="1" t="s">
        <v>450</v>
      </c>
      <c r="B1335" s="1">
        <v>4000</v>
      </c>
      <c r="C1335" s="1">
        <v>0.4</v>
      </c>
      <c r="D1335" s="1">
        <v>0.5</v>
      </c>
      <c r="E1335" s="1">
        <v>2000</v>
      </c>
      <c r="F1335" s="1">
        <v>3</v>
      </c>
      <c r="G1335" s="1">
        <v>4</v>
      </c>
      <c r="H1335" s="1" t="s">
        <v>592</v>
      </c>
      <c r="I1335" s="1">
        <v>705555.1</v>
      </c>
      <c r="J1335" s="1">
        <v>275391</v>
      </c>
      <c r="K1335" s="1">
        <v>430164.1</v>
      </c>
      <c r="L1335" s="1">
        <v>1200</v>
      </c>
      <c r="M1335" s="1">
        <v>601.78</v>
      </c>
      <c r="N1335" s="1">
        <v>167778.4</v>
      </c>
      <c r="O1335" s="1">
        <v>251737.8</v>
      </c>
      <c r="P1335" s="1">
        <v>419516.2</v>
      </c>
      <c r="Q1335" s="1">
        <v>24760.6</v>
      </c>
      <c r="R1335" s="1">
        <v>10692.8</v>
      </c>
      <c r="S1335" s="1">
        <v>35453.4</v>
      </c>
      <c r="T1335" s="1">
        <v>35.520000000000003</v>
      </c>
      <c r="U1335" s="1">
        <v>0.82</v>
      </c>
      <c r="V1335" s="1">
        <v>10684.2</v>
      </c>
      <c r="W1335" s="1">
        <v>35444.800000000003</v>
      </c>
      <c r="X1335" s="1">
        <v>602.61</v>
      </c>
      <c r="Y1335" s="1">
        <v>1200</v>
      </c>
      <c r="Z1335" s="1">
        <v>454961</v>
      </c>
      <c r="AA1335" s="1">
        <v>35.520000000000003</v>
      </c>
      <c r="AB1335" s="1">
        <v>4000</v>
      </c>
    </row>
    <row r="1336" spans="1:28" x14ac:dyDescent="0.4">
      <c r="A1336" s="1" t="s">
        <v>451</v>
      </c>
      <c r="B1336" s="1">
        <v>4000</v>
      </c>
      <c r="C1336" s="1">
        <v>0.4</v>
      </c>
      <c r="D1336" s="1">
        <v>0.5</v>
      </c>
      <c r="E1336" s="1">
        <v>2000</v>
      </c>
      <c r="F1336" s="1">
        <v>3</v>
      </c>
      <c r="G1336" s="1">
        <v>5</v>
      </c>
      <c r="H1336" s="1" t="s">
        <v>592</v>
      </c>
      <c r="I1336" s="1">
        <v>690650.8</v>
      </c>
      <c r="J1336" s="1">
        <v>277328.40000000002</v>
      </c>
      <c r="K1336" s="1">
        <v>413322.4</v>
      </c>
      <c r="L1336" s="1">
        <v>1200</v>
      </c>
      <c r="M1336" s="1">
        <v>601.6</v>
      </c>
      <c r="N1336" s="1">
        <v>168447.6</v>
      </c>
      <c r="O1336" s="1">
        <v>239676.3</v>
      </c>
      <c r="P1336" s="1">
        <v>408123.9</v>
      </c>
      <c r="Q1336" s="1">
        <v>24219.4</v>
      </c>
      <c r="R1336" s="1">
        <v>10442.299999999999</v>
      </c>
      <c r="S1336" s="1">
        <v>34661.699999999997</v>
      </c>
      <c r="T1336" s="1">
        <v>35.89</v>
      </c>
      <c r="U1336" s="1">
        <v>0.94</v>
      </c>
      <c r="V1336" s="1">
        <v>10442.299999999999</v>
      </c>
      <c r="W1336" s="1">
        <v>34661.699999999997</v>
      </c>
      <c r="X1336" s="1">
        <v>602.54</v>
      </c>
      <c r="Y1336" s="1">
        <v>1200</v>
      </c>
      <c r="Z1336" s="1">
        <v>442785.6</v>
      </c>
      <c r="AA1336" s="1">
        <v>35.89</v>
      </c>
      <c r="AB1336" s="1">
        <v>4000</v>
      </c>
    </row>
    <row r="1337" spans="1:28" x14ac:dyDescent="0.4">
      <c r="A1337" s="1" t="s">
        <v>452</v>
      </c>
      <c r="B1337" s="1">
        <v>4000</v>
      </c>
      <c r="C1337" s="1">
        <v>0.4</v>
      </c>
      <c r="D1337" s="1">
        <v>0.5</v>
      </c>
      <c r="E1337" s="1">
        <v>500</v>
      </c>
      <c r="F1337" s="1">
        <v>1</v>
      </c>
      <c r="G1337" s="1">
        <v>1</v>
      </c>
      <c r="H1337" s="1" t="s">
        <v>592</v>
      </c>
      <c r="I1337" s="1">
        <v>87661.1</v>
      </c>
      <c r="J1337" s="1">
        <v>35162.800000000003</v>
      </c>
      <c r="K1337" s="1">
        <v>52498.3</v>
      </c>
      <c r="L1337" s="1">
        <v>1200</v>
      </c>
      <c r="M1337" s="1">
        <v>601.91999999999996</v>
      </c>
      <c r="N1337" s="1">
        <v>20856.8</v>
      </c>
      <c r="O1337" s="1">
        <v>29902.9</v>
      </c>
      <c r="P1337" s="1">
        <v>50759.7</v>
      </c>
      <c r="Q1337" s="1">
        <v>13621.9</v>
      </c>
      <c r="R1337" s="1">
        <v>3781.2</v>
      </c>
      <c r="S1337" s="1">
        <v>17403.099999999999</v>
      </c>
      <c r="T1337" s="1">
        <v>22.24</v>
      </c>
      <c r="U1337" s="1">
        <v>0.6</v>
      </c>
      <c r="V1337" s="1">
        <v>3773.4</v>
      </c>
      <c r="W1337" s="1">
        <v>17395.3</v>
      </c>
      <c r="X1337" s="1">
        <v>602.53</v>
      </c>
      <c r="Y1337" s="1">
        <v>1073</v>
      </c>
      <c r="Z1337" s="1">
        <v>68155</v>
      </c>
      <c r="AA1337" s="1">
        <v>22.25</v>
      </c>
      <c r="AB1337" s="1">
        <v>4000</v>
      </c>
    </row>
    <row r="1338" spans="1:28" x14ac:dyDescent="0.4">
      <c r="A1338" s="1" t="s">
        <v>453</v>
      </c>
      <c r="B1338" s="1">
        <v>4000</v>
      </c>
      <c r="C1338" s="1">
        <v>0.4</v>
      </c>
      <c r="D1338" s="1">
        <v>0.5</v>
      </c>
      <c r="E1338" s="1">
        <v>500</v>
      </c>
      <c r="F1338" s="1">
        <v>1</v>
      </c>
      <c r="G1338" s="1">
        <v>2</v>
      </c>
      <c r="H1338" s="1" t="s">
        <v>592</v>
      </c>
      <c r="I1338" s="1">
        <v>89703.4</v>
      </c>
      <c r="J1338" s="1">
        <v>36386.6</v>
      </c>
      <c r="K1338" s="1">
        <v>53316.800000000003</v>
      </c>
      <c r="L1338" s="1">
        <v>1200</v>
      </c>
      <c r="M1338" s="1">
        <v>601.74</v>
      </c>
      <c r="N1338" s="1">
        <v>20880</v>
      </c>
      <c r="O1338" s="1">
        <v>30368</v>
      </c>
      <c r="P1338" s="1">
        <v>51248</v>
      </c>
      <c r="Q1338" s="1">
        <v>13692.4</v>
      </c>
      <c r="R1338" s="1">
        <v>3847.4</v>
      </c>
      <c r="S1338" s="1">
        <v>17539.8</v>
      </c>
      <c r="T1338" s="1">
        <v>23.32</v>
      </c>
      <c r="U1338" s="1">
        <v>1</v>
      </c>
      <c r="V1338" s="1">
        <v>3821.6</v>
      </c>
      <c r="W1338" s="1">
        <v>17514</v>
      </c>
      <c r="X1338" s="1">
        <v>602.74</v>
      </c>
      <c r="Y1338" s="1">
        <v>1112</v>
      </c>
      <c r="Z1338" s="1">
        <v>68762</v>
      </c>
      <c r="AA1338" s="1">
        <v>23.35</v>
      </c>
      <c r="AB1338" s="1">
        <v>4000</v>
      </c>
    </row>
    <row r="1339" spans="1:28" x14ac:dyDescent="0.4">
      <c r="A1339" s="1" t="s">
        <v>454</v>
      </c>
      <c r="B1339" s="1">
        <v>4000</v>
      </c>
      <c r="C1339" s="1">
        <v>0.4</v>
      </c>
      <c r="D1339" s="1">
        <v>0.5</v>
      </c>
      <c r="E1339" s="1">
        <v>500</v>
      </c>
      <c r="F1339" s="1">
        <v>1</v>
      </c>
      <c r="G1339" s="1">
        <v>3</v>
      </c>
      <c r="H1339" s="1" t="s">
        <v>592</v>
      </c>
      <c r="I1339" s="1">
        <v>91355.9</v>
      </c>
      <c r="J1339" s="1">
        <v>35827.599999999999</v>
      </c>
      <c r="K1339" s="1">
        <v>55528.3</v>
      </c>
      <c r="L1339" s="1">
        <v>1200</v>
      </c>
      <c r="M1339" s="1">
        <v>602.1</v>
      </c>
      <c r="N1339" s="1">
        <v>20869.8</v>
      </c>
      <c r="O1339" s="1">
        <v>31261.1</v>
      </c>
      <c r="P1339" s="1">
        <v>52130.9</v>
      </c>
      <c r="Q1339" s="1">
        <v>13725.3</v>
      </c>
      <c r="R1339" s="1">
        <v>3923.3</v>
      </c>
      <c r="S1339" s="1">
        <v>17648.599999999999</v>
      </c>
      <c r="T1339" s="1">
        <v>23.62</v>
      </c>
      <c r="U1339" s="1">
        <v>0.74</v>
      </c>
      <c r="V1339" s="1">
        <v>3923.3</v>
      </c>
      <c r="W1339" s="1">
        <v>17648.599999999999</v>
      </c>
      <c r="X1339" s="1">
        <v>602.84</v>
      </c>
      <c r="Y1339" s="1">
        <v>1123</v>
      </c>
      <c r="Z1339" s="1">
        <v>69779.5</v>
      </c>
      <c r="AA1339" s="1">
        <v>23.62</v>
      </c>
      <c r="AB1339" s="1">
        <v>4000</v>
      </c>
    </row>
    <row r="1340" spans="1:28" x14ac:dyDescent="0.4">
      <c r="A1340" s="1" t="s">
        <v>455</v>
      </c>
      <c r="B1340" s="1">
        <v>4000</v>
      </c>
      <c r="C1340" s="1">
        <v>0.4</v>
      </c>
      <c r="D1340" s="1">
        <v>0.5</v>
      </c>
      <c r="E1340" s="1">
        <v>500</v>
      </c>
      <c r="F1340" s="1">
        <v>1</v>
      </c>
      <c r="G1340" s="1">
        <v>4</v>
      </c>
      <c r="H1340" s="1" t="s">
        <v>592</v>
      </c>
      <c r="I1340" s="1">
        <v>87928.6</v>
      </c>
      <c r="J1340" s="1">
        <v>35207.4</v>
      </c>
      <c r="K1340" s="1">
        <v>52721.2</v>
      </c>
      <c r="L1340" s="1">
        <v>1200</v>
      </c>
      <c r="M1340" s="1">
        <v>601.83000000000004</v>
      </c>
      <c r="N1340" s="1">
        <v>20328.5</v>
      </c>
      <c r="O1340" s="1">
        <v>28949.200000000001</v>
      </c>
      <c r="P1340" s="1">
        <v>49277.7</v>
      </c>
      <c r="Q1340" s="1">
        <v>14169.1</v>
      </c>
      <c r="R1340" s="1">
        <v>3995.2</v>
      </c>
      <c r="S1340" s="1">
        <v>18164.3</v>
      </c>
      <c r="T1340" s="1">
        <v>23.3</v>
      </c>
      <c r="U1340" s="1">
        <v>0.61</v>
      </c>
      <c r="V1340" s="1">
        <v>3969.7</v>
      </c>
      <c r="W1340" s="1">
        <v>18138.8</v>
      </c>
      <c r="X1340" s="1">
        <v>602.45000000000005</v>
      </c>
      <c r="Y1340" s="1">
        <v>1088</v>
      </c>
      <c r="Z1340" s="1">
        <v>67416.5</v>
      </c>
      <c r="AA1340" s="1">
        <v>23.33</v>
      </c>
      <c r="AB1340" s="1">
        <v>4000</v>
      </c>
    </row>
    <row r="1341" spans="1:28" x14ac:dyDescent="0.4">
      <c r="A1341" s="1" t="s">
        <v>456</v>
      </c>
      <c r="B1341" s="1">
        <v>4000</v>
      </c>
      <c r="C1341" s="1">
        <v>0.4</v>
      </c>
      <c r="D1341" s="1">
        <v>0.5</v>
      </c>
      <c r="E1341" s="1">
        <v>500</v>
      </c>
      <c r="F1341" s="1">
        <v>1</v>
      </c>
      <c r="G1341" s="1">
        <v>5</v>
      </c>
      <c r="H1341" s="1" t="s">
        <v>592</v>
      </c>
      <c r="I1341" s="1">
        <v>88814</v>
      </c>
      <c r="J1341" s="1">
        <v>36737.1</v>
      </c>
      <c r="K1341" s="1">
        <v>52076.9</v>
      </c>
      <c r="L1341" s="1">
        <v>1200</v>
      </c>
      <c r="M1341" s="1">
        <v>601.79</v>
      </c>
      <c r="N1341" s="1">
        <v>21291.200000000001</v>
      </c>
      <c r="O1341" s="1">
        <v>29541.200000000001</v>
      </c>
      <c r="P1341" s="1">
        <v>50832.4</v>
      </c>
      <c r="Q1341" s="1">
        <v>13325.9</v>
      </c>
      <c r="R1341" s="1">
        <v>3839</v>
      </c>
      <c r="S1341" s="1">
        <v>17164.900000000001</v>
      </c>
      <c r="T1341" s="1">
        <v>23.44</v>
      </c>
      <c r="U1341" s="1">
        <v>0.56000000000000005</v>
      </c>
      <c r="V1341" s="1">
        <v>3827.5</v>
      </c>
      <c r="W1341" s="1">
        <v>17153.400000000001</v>
      </c>
      <c r="X1341" s="1">
        <v>602.35</v>
      </c>
      <c r="Y1341" s="1">
        <v>1038</v>
      </c>
      <c r="Z1341" s="1">
        <v>67985.8</v>
      </c>
      <c r="AA1341" s="1">
        <v>23.45</v>
      </c>
      <c r="AB1341" s="1">
        <v>4000</v>
      </c>
    </row>
    <row r="1342" spans="1:28" x14ac:dyDescent="0.4">
      <c r="A1342" s="1" t="s">
        <v>457</v>
      </c>
      <c r="B1342" s="1">
        <v>4000</v>
      </c>
      <c r="C1342" s="1">
        <v>0.4</v>
      </c>
      <c r="D1342" s="1">
        <v>0.5</v>
      </c>
      <c r="E1342" s="1">
        <v>500</v>
      </c>
      <c r="F1342" s="1">
        <v>2</v>
      </c>
      <c r="G1342" s="1">
        <v>1</v>
      </c>
      <c r="H1342" s="1" t="s">
        <v>592</v>
      </c>
      <c r="I1342" s="1">
        <v>137052.1</v>
      </c>
      <c r="J1342" s="1">
        <v>54121</v>
      </c>
      <c r="K1342" s="1">
        <v>82931.100000000006</v>
      </c>
      <c r="L1342" s="1">
        <v>1200</v>
      </c>
      <c r="M1342" s="1">
        <v>600.01</v>
      </c>
      <c r="N1342" s="1">
        <v>30977</v>
      </c>
      <c r="O1342" s="1">
        <v>44019.4</v>
      </c>
      <c r="P1342" s="1">
        <v>74996.399999999994</v>
      </c>
      <c r="Q1342" s="1">
        <v>15562.4</v>
      </c>
      <c r="R1342" s="1">
        <v>5687.8</v>
      </c>
      <c r="S1342" s="1">
        <v>21250.2</v>
      </c>
      <c r="T1342" s="1">
        <v>29.77</v>
      </c>
      <c r="U1342" s="1">
        <v>0.95</v>
      </c>
      <c r="V1342" s="1">
        <v>5678.6</v>
      </c>
      <c r="W1342" s="1">
        <v>21241</v>
      </c>
      <c r="X1342" s="1">
        <v>600.96</v>
      </c>
      <c r="Y1342" s="1">
        <v>1200</v>
      </c>
      <c r="Z1342" s="1">
        <v>96237.4</v>
      </c>
      <c r="AA1342" s="1">
        <v>29.78</v>
      </c>
      <c r="AB1342" s="1">
        <v>4000</v>
      </c>
    </row>
    <row r="1343" spans="1:28" x14ac:dyDescent="0.4">
      <c r="A1343" s="1" t="s">
        <v>458</v>
      </c>
      <c r="B1343" s="1">
        <v>4000</v>
      </c>
      <c r="C1343" s="1">
        <v>0.4</v>
      </c>
      <c r="D1343" s="1">
        <v>0.5</v>
      </c>
      <c r="E1343" s="1">
        <v>500</v>
      </c>
      <c r="F1343" s="1">
        <v>2</v>
      </c>
      <c r="G1343" s="1">
        <v>2</v>
      </c>
      <c r="H1343" s="1" t="s">
        <v>592</v>
      </c>
      <c r="I1343" s="1">
        <v>137294.79999999999</v>
      </c>
      <c r="J1343" s="1">
        <v>54229.3</v>
      </c>
      <c r="K1343" s="1">
        <v>83065.5</v>
      </c>
      <c r="L1343" s="1">
        <v>1200</v>
      </c>
      <c r="M1343" s="1">
        <v>602.48</v>
      </c>
      <c r="N1343" s="1">
        <v>30638.5</v>
      </c>
      <c r="O1343" s="1">
        <v>42951.4</v>
      </c>
      <c r="P1343" s="1">
        <v>73589.899999999994</v>
      </c>
      <c r="Q1343" s="1">
        <v>15841</v>
      </c>
      <c r="R1343" s="1">
        <v>5456</v>
      </c>
      <c r="S1343" s="1">
        <v>21297</v>
      </c>
      <c r="T1343" s="1">
        <v>30.89</v>
      </c>
      <c r="U1343" s="1">
        <v>0.81</v>
      </c>
      <c r="V1343" s="1">
        <v>5437.2</v>
      </c>
      <c r="W1343" s="1">
        <v>21278.2</v>
      </c>
      <c r="X1343" s="1">
        <v>603.29</v>
      </c>
      <c r="Y1343" s="1">
        <v>1199</v>
      </c>
      <c r="Z1343" s="1">
        <v>94868.1</v>
      </c>
      <c r="AA1343" s="1">
        <v>30.9</v>
      </c>
      <c r="AB1343" s="1">
        <v>4000</v>
      </c>
    </row>
    <row r="1344" spans="1:28" x14ac:dyDescent="0.4">
      <c r="A1344" s="1" t="s">
        <v>459</v>
      </c>
      <c r="B1344" s="1">
        <v>4000</v>
      </c>
      <c r="C1344" s="1">
        <v>0.4</v>
      </c>
      <c r="D1344" s="1">
        <v>0.5</v>
      </c>
      <c r="E1344" s="1">
        <v>500</v>
      </c>
      <c r="F1344" s="1">
        <v>2</v>
      </c>
      <c r="G1344" s="1">
        <v>3</v>
      </c>
      <c r="H1344" s="1" t="s">
        <v>592</v>
      </c>
      <c r="I1344" s="1">
        <v>135124.1</v>
      </c>
      <c r="J1344" s="1">
        <v>51690.400000000001</v>
      </c>
      <c r="K1344" s="1">
        <v>83433.7</v>
      </c>
      <c r="L1344" s="1">
        <v>1200</v>
      </c>
      <c r="M1344" s="1">
        <v>601.6</v>
      </c>
      <c r="N1344" s="1">
        <v>29730</v>
      </c>
      <c r="O1344" s="1">
        <v>43549.599999999999</v>
      </c>
      <c r="P1344" s="1">
        <v>73279.600000000006</v>
      </c>
      <c r="Q1344" s="1">
        <v>15180.8</v>
      </c>
      <c r="R1344" s="1">
        <v>5518.1</v>
      </c>
      <c r="S1344" s="1">
        <v>20698.900000000001</v>
      </c>
      <c r="T1344" s="1">
        <v>30.45</v>
      </c>
      <c r="U1344" s="1">
        <v>0.99</v>
      </c>
      <c r="V1344" s="1">
        <v>5504.9</v>
      </c>
      <c r="W1344" s="1">
        <v>20685.7</v>
      </c>
      <c r="X1344" s="1">
        <v>602.58000000000004</v>
      </c>
      <c r="Y1344" s="1">
        <v>1199</v>
      </c>
      <c r="Z1344" s="1">
        <v>93965.3</v>
      </c>
      <c r="AA1344" s="1">
        <v>30.46</v>
      </c>
      <c r="AB1344" s="1">
        <v>4000</v>
      </c>
    </row>
    <row r="1345" spans="1:28" x14ac:dyDescent="0.4">
      <c r="A1345" s="1" t="s">
        <v>460</v>
      </c>
      <c r="B1345" s="1">
        <v>4000</v>
      </c>
      <c r="C1345" s="1">
        <v>0.4</v>
      </c>
      <c r="D1345" s="1">
        <v>0.5</v>
      </c>
      <c r="E1345" s="1">
        <v>500</v>
      </c>
      <c r="F1345" s="1">
        <v>2</v>
      </c>
      <c r="G1345" s="1">
        <v>4</v>
      </c>
      <c r="H1345" s="1" t="s">
        <v>592</v>
      </c>
      <c r="I1345" s="1">
        <v>135231.9</v>
      </c>
      <c r="J1345" s="1">
        <v>54366.2</v>
      </c>
      <c r="K1345" s="1">
        <v>80865.7</v>
      </c>
      <c r="L1345" s="1">
        <v>1200</v>
      </c>
      <c r="M1345" s="1">
        <v>600</v>
      </c>
      <c r="N1345" s="1">
        <v>31928.9</v>
      </c>
      <c r="O1345" s="1">
        <v>44776.6</v>
      </c>
      <c r="P1345" s="1">
        <v>76705.5</v>
      </c>
      <c r="Q1345" s="1">
        <v>14327.5</v>
      </c>
      <c r="R1345" s="1">
        <v>5597.1</v>
      </c>
      <c r="S1345" s="1">
        <v>19924.599999999999</v>
      </c>
      <c r="T1345" s="1">
        <v>28.54</v>
      </c>
      <c r="U1345" s="1">
        <v>1.17</v>
      </c>
      <c r="V1345" s="1">
        <v>5574.6</v>
      </c>
      <c r="W1345" s="1">
        <v>19902.099999999999</v>
      </c>
      <c r="X1345" s="1">
        <v>601.16999999999996</v>
      </c>
      <c r="Y1345" s="1">
        <v>1199</v>
      </c>
      <c r="Z1345" s="1">
        <v>96607.6</v>
      </c>
      <c r="AA1345" s="1">
        <v>28.56</v>
      </c>
      <c r="AB1345" s="1">
        <v>4000</v>
      </c>
    </row>
    <row r="1346" spans="1:28" x14ac:dyDescent="0.4">
      <c r="A1346" s="1" t="s">
        <v>461</v>
      </c>
      <c r="B1346" s="1">
        <v>4000</v>
      </c>
      <c r="C1346" s="1">
        <v>0.4</v>
      </c>
      <c r="D1346" s="1">
        <v>0.5</v>
      </c>
      <c r="E1346" s="1">
        <v>500</v>
      </c>
      <c r="F1346" s="1">
        <v>2</v>
      </c>
      <c r="G1346" s="1">
        <v>5</v>
      </c>
      <c r="H1346" s="1" t="s">
        <v>592</v>
      </c>
      <c r="I1346" s="1">
        <v>136797.6</v>
      </c>
      <c r="J1346" s="1">
        <v>54167</v>
      </c>
      <c r="K1346" s="1">
        <v>82630.600000000006</v>
      </c>
      <c r="L1346" s="1">
        <v>1200</v>
      </c>
      <c r="M1346" s="1">
        <v>602.24</v>
      </c>
      <c r="N1346" s="1">
        <v>31078.1</v>
      </c>
      <c r="O1346" s="1">
        <v>43522.400000000001</v>
      </c>
      <c r="P1346" s="1">
        <v>74600.5</v>
      </c>
      <c r="Q1346" s="1">
        <v>15266</v>
      </c>
      <c r="R1346" s="1">
        <v>5515.4</v>
      </c>
      <c r="S1346" s="1">
        <v>20781.400000000001</v>
      </c>
      <c r="T1346" s="1">
        <v>30.28</v>
      </c>
      <c r="U1346" s="1">
        <v>1.08</v>
      </c>
      <c r="V1346" s="1">
        <v>5510.4</v>
      </c>
      <c r="W1346" s="1">
        <v>20776.400000000001</v>
      </c>
      <c r="X1346" s="1">
        <v>603.30999999999995</v>
      </c>
      <c r="Y1346" s="1">
        <v>1199</v>
      </c>
      <c r="Z1346" s="1">
        <v>95376.9</v>
      </c>
      <c r="AA1346" s="1">
        <v>30.28</v>
      </c>
      <c r="AB1346" s="1">
        <v>4000</v>
      </c>
    </row>
    <row r="1347" spans="1:28" x14ac:dyDescent="0.4">
      <c r="A1347" s="1" t="s">
        <v>462</v>
      </c>
      <c r="B1347" s="1">
        <v>4000</v>
      </c>
      <c r="C1347" s="1">
        <v>0.4</v>
      </c>
      <c r="D1347" s="1">
        <v>0.5</v>
      </c>
      <c r="E1347" s="1">
        <v>500</v>
      </c>
      <c r="F1347" s="1">
        <v>3</v>
      </c>
      <c r="G1347" s="1">
        <v>1</v>
      </c>
      <c r="H1347" s="1" t="s">
        <v>592</v>
      </c>
      <c r="I1347" s="1">
        <v>171391.1</v>
      </c>
      <c r="J1347" s="1">
        <v>67717.2</v>
      </c>
      <c r="K1347" s="1">
        <v>103673.9</v>
      </c>
      <c r="L1347" s="1">
        <v>1200</v>
      </c>
      <c r="M1347" s="1">
        <v>602.15</v>
      </c>
      <c r="N1347" s="1">
        <v>38420.699999999997</v>
      </c>
      <c r="O1347" s="1">
        <v>54858.7</v>
      </c>
      <c r="P1347" s="1">
        <v>93279.4</v>
      </c>
      <c r="Q1347" s="1">
        <v>16165</v>
      </c>
      <c r="R1347" s="1">
        <v>6938.2</v>
      </c>
      <c r="S1347" s="1">
        <v>23103.200000000001</v>
      </c>
      <c r="T1347" s="1">
        <v>32.1</v>
      </c>
      <c r="U1347" s="1">
        <v>0.84</v>
      </c>
      <c r="V1347" s="1">
        <v>6919.8</v>
      </c>
      <c r="W1347" s="1">
        <v>23084.799999999999</v>
      </c>
      <c r="X1347" s="1">
        <v>602.99</v>
      </c>
      <c r="Y1347" s="1">
        <v>1200</v>
      </c>
      <c r="Z1347" s="1">
        <v>116364.2</v>
      </c>
      <c r="AA1347" s="1">
        <v>32.11</v>
      </c>
      <c r="AB1347" s="1">
        <v>4000</v>
      </c>
    </row>
    <row r="1348" spans="1:28" x14ac:dyDescent="0.4">
      <c r="A1348" s="1" t="s">
        <v>463</v>
      </c>
      <c r="B1348" s="1">
        <v>4000</v>
      </c>
      <c r="C1348" s="1">
        <v>0.4</v>
      </c>
      <c r="D1348" s="1">
        <v>0.5</v>
      </c>
      <c r="E1348" s="1">
        <v>500</v>
      </c>
      <c r="F1348" s="1">
        <v>3</v>
      </c>
      <c r="G1348" s="1">
        <v>2</v>
      </c>
      <c r="H1348" s="1" t="s">
        <v>592</v>
      </c>
      <c r="I1348" s="1">
        <v>182732.3</v>
      </c>
      <c r="J1348" s="1">
        <v>70909.8</v>
      </c>
      <c r="K1348" s="1">
        <v>111822.5</v>
      </c>
      <c r="L1348" s="1">
        <v>1200</v>
      </c>
      <c r="M1348" s="1">
        <v>602.28</v>
      </c>
      <c r="N1348" s="1">
        <v>40640.699999999997</v>
      </c>
      <c r="O1348" s="1">
        <v>58623</v>
      </c>
      <c r="P1348" s="1">
        <v>99263.7</v>
      </c>
      <c r="Q1348" s="1">
        <v>16619</v>
      </c>
      <c r="R1348" s="1">
        <v>7218.1</v>
      </c>
      <c r="S1348" s="1">
        <v>23837.1</v>
      </c>
      <c r="T1348" s="1">
        <v>32.630000000000003</v>
      </c>
      <c r="U1348" s="1">
        <v>0.91</v>
      </c>
      <c r="V1348" s="1">
        <v>7193.1</v>
      </c>
      <c r="W1348" s="1">
        <v>23812.1</v>
      </c>
      <c r="X1348" s="1">
        <v>603.19000000000005</v>
      </c>
      <c r="Y1348" s="1">
        <v>1200</v>
      </c>
      <c r="Z1348" s="1">
        <v>123075.8</v>
      </c>
      <c r="AA1348" s="1">
        <v>32.65</v>
      </c>
      <c r="AB1348" s="1">
        <v>4000</v>
      </c>
    </row>
    <row r="1349" spans="1:28" x14ac:dyDescent="0.4">
      <c r="A1349" s="1" t="s">
        <v>464</v>
      </c>
      <c r="B1349" s="1">
        <v>4000</v>
      </c>
      <c r="C1349" s="1">
        <v>0.4</v>
      </c>
      <c r="D1349" s="1">
        <v>0.5</v>
      </c>
      <c r="E1349" s="1">
        <v>500</v>
      </c>
      <c r="F1349" s="1">
        <v>3</v>
      </c>
      <c r="G1349" s="1">
        <v>3</v>
      </c>
      <c r="H1349" s="1" t="s">
        <v>592</v>
      </c>
      <c r="I1349" s="1">
        <v>170968.9</v>
      </c>
      <c r="J1349" s="1">
        <v>66311</v>
      </c>
      <c r="K1349" s="1">
        <v>104657.9</v>
      </c>
      <c r="L1349" s="1">
        <v>1200</v>
      </c>
      <c r="M1349" s="1">
        <v>602.24</v>
      </c>
      <c r="N1349" s="1">
        <v>37466.5</v>
      </c>
      <c r="O1349" s="1">
        <v>55173.8</v>
      </c>
      <c r="P1349" s="1">
        <v>92640.3</v>
      </c>
      <c r="Q1349" s="1">
        <v>16147.8</v>
      </c>
      <c r="R1349" s="1">
        <v>6851.8</v>
      </c>
      <c r="S1349" s="1">
        <v>22999.599999999999</v>
      </c>
      <c r="T1349" s="1">
        <v>32.36</v>
      </c>
      <c r="U1349" s="1">
        <v>1.06</v>
      </c>
      <c r="V1349" s="1">
        <v>6838.6</v>
      </c>
      <c r="W1349" s="1">
        <v>22986.400000000001</v>
      </c>
      <c r="X1349" s="1">
        <v>603.29999999999995</v>
      </c>
      <c r="Y1349" s="1">
        <v>1200</v>
      </c>
      <c r="Z1349" s="1">
        <v>115626.7</v>
      </c>
      <c r="AA1349" s="1">
        <v>32.369999999999997</v>
      </c>
      <c r="AB1349" s="1">
        <v>4000</v>
      </c>
    </row>
    <row r="1350" spans="1:28" x14ac:dyDescent="0.4">
      <c r="A1350" s="1" t="s">
        <v>465</v>
      </c>
      <c r="B1350" s="1">
        <v>4000</v>
      </c>
      <c r="C1350" s="1">
        <v>0.4</v>
      </c>
      <c r="D1350" s="1">
        <v>0.5</v>
      </c>
      <c r="E1350" s="1">
        <v>500</v>
      </c>
      <c r="F1350" s="1">
        <v>3</v>
      </c>
      <c r="G1350" s="1">
        <v>4</v>
      </c>
      <c r="H1350" s="1" t="s">
        <v>592</v>
      </c>
      <c r="I1350" s="1">
        <v>176088</v>
      </c>
      <c r="J1350" s="1">
        <v>67017.2</v>
      </c>
      <c r="K1350" s="1">
        <v>109070.8</v>
      </c>
      <c r="L1350" s="1">
        <v>1200</v>
      </c>
      <c r="M1350" s="1">
        <v>600.03</v>
      </c>
      <c r="N1350" s="1">
        <v>37984.5</v>
      </c>
      <c r="O1350" s="1">
        <v>58286.1</v>
      </c>
      <c r="P1350" s="1">
        <v>96270.6</v>
      </c>
      <c r="Q1350" s="1">
        <v>16605.2</v>
      </c>
      <c r="R1350" s="1">
        <v>6963.7</v>
      </c>
      <c r="S1350" s="1">
        <v>23568.9</v>
      </c>
      <c r="T1350" s="1">
        <v>31.94</v>
      </c>
      <c r="U1350" s="1">
        <v>0.9</v>
      </c>
      <c r="V1350" s="1">
        <v>6917.4</v>
      </c>
      <c r="W1350" s="1">
        <v>23522.6</v>
      </c>
      <c r="X1350" s="1">
        <v>600.91999999999996</v>
      </c>
      <c r="Y1350" s="1">
        <v>1200</v>
      </c>
      <c r="Z1350" s="1">
        <v>119793.2</v>
      </c>
      <c r="AA1350" s="1">
        <v>31.97</v>
      </c>
      <c r="AB1350" s="1">
        <v>4000</v>
      </c>
    </row>
    <row r="1351" spans="1:28" x14ac:dyDescent="0.4">
      <c r="A1351" s="1" t="s">
        <v>466</v>
      </c>
      <c r="B1351" s="1">
        <v>4000</v>
      </c>
      <c r="C1351" s="1">
        <v>0.4</v>
      </c>
      <c r="D1351" s="1">
        <v>0.5</v>
      </c>
      <c r="E1351" s="1">
        <v>500</v>
      </c>
      <c r="F1351" s="1">
        <v>3</v>
      </c>
      <c r="G1351" s="1">
        <v>5</v>
      </c>
      <c r="H1351" s="1" t="s">
        <v>592</v>
      </c>
      <c r="I1351" s="1">
        <v>180565.1</v>
      </c>
      <c r="J1351" s="1">
        <v>70104.7</v>
      </c>
      <c r="K1351" s="1">
        <v>110460.4</v>
      </c>
      <c r="L1351" s="1">
        <v>1200</v>
      </c>
      <c r="M1351" s="1">
        <v>601.26</v>
      </c>
      <c r="N1351" s="1">
        <v>39950.9</v>
      </c>
      <c r="O1351" s="1">
        <v>57549.599999999999</v>
      </c>
      <c r="P1351" s="1">
        <v>97500.5</v>
      </c>
      <c r="Q1351" s="1">
        <v>16755</v>
      </c>
      <c r="R1351" s="1">
        <v>7063.4</v>
      </c>
      <c r="S1351" s="1">
        <v>23818.400000000001</v>
      </c>
      <c r="T1351" s="1">
        <v>32.81</v>
      </c>
      <c r="U1351" s="1">
        <v>0.71</v>
      </c>
      <c r="V1351" s="1">
        <v>7051.5</v>
      </c>
      <c r="W1351" s="1">
        <v>23806.5</v>
      </c>
      <c r="X1351" s="1">
        <v>601.97</v>
      </c>
      <c r="Y1351" s="1">
        <v>1198</v>
      </c>
      <c r="Z1351" s="1">
        <v>121307</v>
      </c>
      <c r="AA1351" s="1">
        <v>32.82</v>
      </c>
      <c r="AB1351" s="1">
        <v>4000</v>
      </c>
    </row>
    <row r="1352" spans="1:28" x14ac:dyDescent="0.4">
      <c r="A1352" s="1" t="s">
        <v>152</v>
      </c>
      <c r="B1352" s="1">
        <v>800</v>
      </c>
      <c r="C1352" s="1">
        <v>0.2</v>
      </c>
      <c r="D1352" s="1">
        <v>0.5</v>
      </c>
      <c r="E1352" s="1">
        <v>1000</v>
      </c>
      <c r="F1352" s="1">
        <v>1</v>
      </c>
      <c r="G1352" s="1">
        <v>1</v>
      </c>
      <c r="H1352" s="1" t="s">
        <v>592</v>
      </c>
      <c r="I1352" s="1">
        <v>87087.3</v>
      </c>
      <c r="J1352" s="1">
        <v>36452.6</v>
      </c>
      <c r="K1352" s="1">
        <v>50634.7</v>
      </c>
      <c r="L1352" s="1">
        <v>240</v>
      </c>
      <c r="M1352" s="1">
        <v>600.79</v>
      </c>
      <c r="N1352" s="1">
        <v>25919.4</v>
      </c>
      <c r="O1352" s="1">
        <v>37511.300000000003</v>
      </c>
      <c r="P1352" s="1">
        <v>63430.7</v>
      </c>
      <c r="Q1352" s="1">
        <v>3292.1</v>
      </c>
      <c r="R1352" s="1">
        <v>853.5</v>
      </c>
      <c r="S1352" s="1">
        <v>4145.6000000000004</v>
      </c>
      <c r="T1352" s="1">
        <v>22.4</v>
      </c>
      <c r="U1352" s="1">
        <v>0.01</v>
      </c>
      <c r="V1352" s="1">
        <v>853.5</v>
      </c>
      <c r="W1352" s="1">
        <v>4145.6000000000004</v>
      </c>
      <c r="X1352" s="1">
        <v>600.79999999999995</v>
      </c>
      <c r="Y1352" s="1">
        <v>240</v>
      </c>
      <c r="Z1352" s="1">
        <v>67576.3</v>
      </c>
      <c r="AA1352" s="1">
        <v>22.4</v>
      </c>
      <c r="AB1352" s="1">
        <v>800</v>
      </c>
    </row>
    <row r="1353" spans="1:28" x14ac:dyDescent="0.4">
      <c r="A1353" s="1" t="s">
        <v>153</v>
      </c>
      <c r="B1353" s="1">
        <v>800</v>
      </c>
      <c r="C1353" s="1">
        <v>0.2</v>
      </c>
      <c r="D1353" s="1">
        <v>0.5</v>
      </c>
      <c r="E1353" s="1">
        <v>1000</v>
      </c>
      <c r="F1353" s="1">
        <v>1</v>
      </c>
      <c r="G1353" s="1">
        <v>2</v>
      </c>
      <c r="H1353" s="1" t="s">
        <v>592</v>
      </c>
      <c r="I1353" s="1">
        <v>85252.3</v>
      </c>
      <c r="J1353" s="1">
        <v>35206.400000000001</v>
      </c>
      <c r="K1353" s="1">
        <v>50045.9</v>
      </c>
      <c r="L1353" s="1">
        <v>240</v>
      </c>
      <c r="M1353" s="1">
        <v>600.45000000000005</v>
      </c>
      <c r="N1353" s="1">
        <v>25749.9</v>
      </c>
      <c r="O1353" s="1">
        <v>37484.1</v>
      </c>
      <c r="P1353" s="1">
        <v>63234</v>
      </c>
      <c r="Q1353" s="1">
        <v>3364.4</v>
      </c>
      <c r="R1353" s="1">
        <v>875.5</v>
      </c>
      <c r="S1353" s="1">
        <v>4239.8999999999996</v>
      </c>
      <c r="T1353" s="1">
        <v>20.85</v>
      </c>
      <c r="U1353" s="1">
        <v>0.01</v>
      </c>
      <c r="V1353" s="1">
        <v>875.5</v>
      </c>
      <c r="W1353" s="1">
        <v>4239.8999999999996</v>
      </c>
      <c r="X1353" s="1">
        <v>600.46</v>
      </c>
      <c r="Y1353" s="1">
        <v>240</v>
      </c>
      <c r="Z1353" s="1">
        <v>67473.899999999994</v>
      </c>
      <c r="AA1353" s="1">
        <v>20.85</v>
      </c>
      <c r="AB1353" s="1">
        <v>800</v>
      </c>
    </row>
    <row r="1354" spans="1:28" x14ac:dyDescent="0.4">
      <c r="A1354" s="1" t="s">
        <v>154</v>
      </c>
      <c r="B1354" s="1">
        <v>800</v>
      </c>
      <c r="C1354" s="1">
        <v>0.2</v>
      </c>
      <c r="D1354" s="1">
        <v>0.5</v>
      </c>
      <c r="E1354" s="1">
        <v>1000</v>
      </c>
      <c r="F1354" s="1">
        <v>1</v>
      </c>
      <c r="G1354" s="1">
        <v>3</v>
      </c>
      <c r="H1354" s="1" t="s">
        <v>592</v>
      </c>
      <c r="I1354" s="1">
        <v>83157.600000000006</v>
      </c>
      <c r="J1354" s="1">
        <v>33716.1</v>
      </c>
      <c r="K1354" s="1">
        <v>49441.5</v>
      </c>
      <c r="L1354" s="1">
        <v>240</v>
      </c>
      <c r="M1354" s="1">
        <v>600</v>
      </c>
      <c r="N1354" s="1">
        <v>24719.5</v>
      </c>
      <c r="O1354" s="1">
        <v>36920.400000000001</v>
      </c>
      <c r="P1354" s="1">
        <v>61639.9</v>
      </c>
      <c r="Q1354" s="1">
        <v>3009.4</v>
      </c>
      <c r="R1354" s="1">
        <v>871.7</v>
      </c>
      <c r="S1354" s="1">
        <v>3881.1</v>
      </c>
      <c r="T1354" s="1">
        <v>21.21</v>
      </c>
      <c r="U1354" s="1">
        <v>0.01</v>
      </c>
      <c r="V1354" s="1">
        <v>828.7</v>
      </c>
      <c r="W1354" s="1">
        <v>3838.1</v>
      </c>
      <c r="X1354" s="1">
        <v>600.01</v>
      </c>
      <c r="Y1354" s="1">
        <v>240</v>
      </c>
      <c r="Z1354" s="1">
        <v>65478</v>
      </c>
      <c r="AA1354" s="1">
        <v>21.26</v>
      </c>
      <c r="AB1354" s="1">
        <v>800</v>
      </c>
    </row>
    <row r="1355" spans="1:28" x14ac:dyDescent="0.4">
      <c r="A1355" s="1" t="s">
        <v>155</v>
      </c>
      <c r="B1355" s="1">
        <v>800</v>
      </c>
      <c r="C1355" s="1">
        <v>0.2</v>
      </c>
      <c r="D1355" s="1">
        <v>0.5</v>
      </c>
      <c r="E1355" s="1">
        <v>1000</v>
      </c>
      <c r="F1355" s="1">
        <v>1</v>
      </c>
      <c r="G1355" s="1">
        <v>4</v>
      </c>
      <c r="H1355" s="1" t="s">
        <v>592</v>
      </c>
      <c r="I1355" s="1">
        <v>84371.6</v>
      </c>
      <c r="J1355" s="1">
        <v>35098.199999999997</v>
      </c>
      <c r="K1355" s="1">
        <v>49273.4</v>
      </c>
      <c r="L1355" s="1">
        <v>240</v>
      </c>
      <c r="M1355" s="1">
        <v>600.29999999999995</v>
      </c>
      <c r="N1355" s="1">
        <v>26084.7</v>
      </c>
      <c r="O1355" s="1">
        <v>37185.199999999997</v>
      </c>
      <c r="P1355" s="1">
        <v>63269.9</v>
      </c>
      <c r="Q1355" s="1">
        <v>3261.3</v>
      </c>
      <c r="R1355" s="1">
        <v>813.1</v>
      </c>
      <c r="S1355" s="1">
        <v>4074.4</v>
      </c>
      <c r="T1355" s="1">
        <v>20.18</v>
      </c>
      <c r="U1355" s="1">
        <v>0.01</v>
      </c>
      <c r="V1355" s="1">
        <v>813.1</v>
      </c>
      <c r="W1355" s="1">
        <v>4074.4</v>
      </c>
      <c r="X1355" s="1">
        <v>600.29999999999995</v>
      </c>
      <c r="Y1355" s="1">
        <v>240</v>
      </c>
      <c r="Z1355" s="1">
        <v>67344.3</v>
      </c>
      <c r="AA1355" s="1">
        <v>20.18</v>
      </c>
      <c r="AB1355" s="1">
        <v>800</v>
      </c>
    </row>
    <row r="1356" spans="1:28" x14ac:dyDescent="0.4">
      <c r="A1356" s="1" t="s">
        <v>156</v>
      </c>
      <c r="B1356" s="1">
        <v>800</v>
      </c>
      <c r="C1356" s="1">
        <v>0.2</v>
      </c>
      <c r="D1356" s="1">
        <v>0.5</v>
      </c>
      <c r="E1356" s="1">
        <v>1000</v>
      </c>
      <c r="F1356" s="1">
        <v>1</v>
      </c>
      <c r="G1356" s="1">
        <v>5</v>
      </c>
      <c r="H1356" s="1" t="s">
        <v>592</v>
      </c>
      <c r="I1356" s="1">
        <v>86498.4</v>
      </c>
      <c r="J1356" s="1">
        <v>34835</v>
      </c>
      <c r="K1356" s="1">
        <v>51663.4</v>
      </c>
      <c r="L1356" s="1">
        <v>240</v>
      </c>
      <c r="M1356" s="1">
        <v>600.95000000000005</v>
      </c>
      <c r="N1356" s="1">
        <v>25270.799999999999</v>
      </c>
      <c r="O1356" s="1">
        <v>38307.800000000003</v>
      </c>
      <c r="P1356" s="1">
        <v>63578.6</v>
      </c>
      <c r="Q1356" s="1">
        <v>3157.5</v>
      </c>
      <c r="R1356" s="1">
        <v>804</v>
      </c>
      <c r="S1356" s="1">
        <v>3961.5</v>
      </c>
      <c r="T1356" s="1">
        <v>21.92</v>
      </c>
      <c r="U1356" s="1">
        <v>0.01</v>
      </c>
      <c r="V1356" s="1">
        <v>804</v>
      </c>
      <c r="W1356" s="1">
        <v>3961.5</v>
      </c>
      <c r="X1356" s="1">
        <v>600.96</v>
      </c>
      <c r="Y1356" s="1">
        <v>240</v>
      </c>
      <c r="Z1356" s="1">
        <v>67540.100000000006</v>
      </c>
      <c r="AA1356" s="1">
        <v>21.92</v>
      </c>
      <c r="AB1356" s="1">
        <v>800</v>
      </c>
    </row>
    <row r="1357" spans="1:28" x14ac:dyDescent="0.4">
      <c r="A1357" s="1" t="s">
        <v>157</v>
      </c>
      <c r="B1357" s="1">
        <v>800</v>
      </c>
      <c r="C1357" s="1">
        <v>0.2</v>
      </c>
      <c r="D1357" s="1">
        <v>0.5</v>
      </c>
      <c r="E1357" s="1">
        <v>1000</v>
      </c>
      <c r="F1357" s="1">
        <v>2</v>
      </c>
      <c r="G1357" s="1">
        <v>1</v>
      </c>
      <c r="H1357" s="1" t="s">
        <v>592</v>
      </c>
      <c r="I1357" s="1">
        <v>124979.2</v>
      </c>
      <c r="J1357" s="1">
        <v>52678.5</v>
      </c>
      <c r="K1357" s="1">
        <v>72300.7</v>
      </c>
      <c r="L1357" s="1">
        <v>240</v>
      </c>
      <c r="M1357" s="1">
        <v>600.87</v>
      </c>
      <c r="N1357" s="1">
        <v>39350.6</v>
      </c>
      <c r="O1357" s="1">
        <v>53951.7</v>
      </c>
      <c r="P1357" s="1">
        <v>93302.3</v>
      </c>
      <c r="Q1357" s="1">
        <v>3057.2</v>
      </c>
      <c r="R1357" s="1">
        <v>860.1</v>
      </c>
      <c r="S1357" s="1">
        <v>3917.3</v>
      </c>
      <c r="T1357" s="1">
        <v>22.21</v>
      </c>
      <c r="U1357" s="1">
        <v>0.01</v>
      </c>
      <c r="V1357" s="1">
        <v>860.1</v>
      </c>
      <c r="W1357" s="1">
        <v>3917.3</v>
      </c>
      <c r="X1357" s="1">
        <v>600.89</v>
      </c>
      <c r="Y1357" s="1">
        <v>240</v>
      </c>
      <c r="Z1357" s="1">
        <v>97219.6</v>
      </c>
      <c r="AA1357" s="1">
        <v>22.21</v>
      </c>
      <c r="AB1357" s="1">
        <v>800</v>
      </c>
    </row>
    <row r="1358" spans="1:28" x14ac:dyDescent="0.4">
      <c r="A1358" s="1" t="s">
        <v>158</v>
      </c>
      <c r="B1358" s="1">
        <v>800</v>
      </c>
      <c r="C1358" s="1">
        <v>0.2</v>
      </c>
      <c r="D1358" s="1">
        <v>0.5</v>
      </c>
      <c r="E1358" s="1">
        <v>1000</v>
      </c>
      <c r="F1358" s="1">
        <v>2</v>
      </c>
      <c r="G1358" s="1">
        <v>2</v>
      </c>
      <c r="H1358" s="1" t="s">
        <v>592</v>
      </c>
      <c r="I1358" s="1">
        <v>123878</v>
      </c>
      <c r="J1358" s="1">
        <v>49806.9</v>
      </c>
      <c r="K1358" s="1">
        <v>74071.100000000006</v>
      </c>
      <c r="L1358" s="1">
        <v>240</v>
      </c>
      <c r="M1358" s="1">
        <v>600.54</v>
      </c>
      <c r="N1358" s="1">
        <v>37664.1</v>
      </c>
      <c r="O1358" s="1">
        <v>55318.400000000001</v>
      </c>
      <c r="P1358" s="1">
        <v>92982.5</v>
      </c>
      <c r="Q1358" s="1">
        <v>3207.2</v>
      </c>
      <c r="R1358" s="1">
        <v>790.1</v>
      </c>
      <c r="S1358" s="1">
        <v>3997.3</v>
      </c>
      <c r="T1358" s="1">
        <v>21.71</v>
      </c>
      <c r="U1358" s="1">
        <v>0.01</v>
      </c>
      <c r="V1358" s="1">
        <v>790.1</v>
      </c>
      <c r="W1358" s="1">
        <v>3997.3</v>
      </c>
      <c r="X1358" s="1">
        <v>600.54999999999995</v>
      </c>
      <c r="Y1358" s="1">
        <v>240</v>
      </c>
      <c r="Z1358" s="1">
        <v>96979.8</v>
      </c>
      <c r="AA1358" s="1">
        <v>21.71</v>
      </c>
      <c r="AB1358" s="1">
        <v>800</v>
      </c>
    </row>
    <row r="1359" spans="1:28" x14ac:dyDescent="0.4">
      <c r="A1359" s="1" t="s">
        <v>159</v>
      </c>
      <c r="B1359" s="1">
        <v>800</v>
      </c>
      <c r="C1359" s="1">
        <v>0.2</v>
      </c>
      <c r="D1359" s="1">
        <v>0.5</v>
      </c>
      <c r="E1359" s="1">
        <v>1000</v>
      </c>
      <c r="F1359" s="1">
        <v>2</v>
      </c>
      <c r="G1359" s="1">
        <v>3</v>
      </c>
      <c r="H1359" s="1" t="s">
        <v>592</v>
      </c>
      <c r="I1359" s="1">
        <v>122027.6</v>
      </c>
      <c r="J1359" s="1">
        <v>48486.3</v>
      </c>
      <c r="K1359" s="1">
        <v>73541.3</v>
      </c>
      <c r="L1359" s="1">
        <v>240</v>
      </c>
      <c r="M1359" s="1">
        <v>600.14</v>
      </c>
      <c r="N1359" s="1">
        <v>36674.800000000003</v>
      </c>
      <c r="O1359" s="1">
        <v>54783.9</v>
      </c>
      <c r="P1359" s="1">
        <v>91458.7</v>
      </c>
      <c r="Q1359" s="1">
        <v>3063.3</v>
      </c>
      <c r="R1359" s="1">
        <v>849.5</v>
      </c>
      <c r="S1359" s="1">
        <v>3912.8</v>
      </c>
      <c r="T1359" s="1">
        <v>21.84</v>
      </c>
      <c r="U1359" s="1">
        <v>0.02</v>
      </c>
      <c r="V1359" s="1">
        <v>837.1</v>
      </c>
      <c r="W1359" s="1">
        <v>3900.4</v>
      </c>
      <c r="X1359" s="1">
        <v>600.16</v>
      </c>
      <c r="Y1359" s="1">
        <v>240</v>
      </c>
      <c r="Z1359" s="1">
        <v>95359.1</v>
      </c>
      <c r="AA1359" s="1">
        <v>21.85</v>
      </c>
      <c r="AB1359" s="1">
        <v>800</v>
      </c>
    </row>
    <row r="1360" spans="1:28" x14ac:dyDescent="0.4">
      <c r="A1360" s="1" t="s">
        <v>160</v>
      </c>
      <c r="B1360" s="1">
        <v>800</v>
      </c>
      <c r="C1360" s="1">
        <v>0.2</v>
      </c>
      <c r="D1360" s="1">
        <v>0.5</v>
      </c>
      <c r="E1360" s="1">
        <v>1000</v>
      </c>
      <c r="F1360" s="1">
        <v>2</v>
      </c>
      <c r="G1360" s="1">
        <v>4</v>
      </c>
      <c r="H1360" s="1" t="s">
        <v>592</v>
      </c>
      <c r="I1360" s="1">
        <v>125666.4</v>
      </c>
      <c r="J1360" s="1">
        <v>50755.1</v>
      </c>
      <c r="K1360" s="1">
        <v>74911.3</v>
      </c>
      <c r="L1360" s="1">
        <v>240</v>
      </c>
      <c r="M1360" s="1">
        <v>600.97</v>
      </c>
      <c r="N1360" s="1">
        <v>37648.5</v>
      </c>
      <c r="O1360" s="1">
        <v>55994.7</v>
      </c>
      <c r="P1360" s="1">
        <v>93643.199999999997</v>
      </c>
      <c r="Q1360" s="1">
        <v>3079.2</v>
      </c>
      <c r="R1360" s="1">
        <v>858.7</v>
      </c>
      <c r="S1360" s="1">
        <v>3937.9</v>
      </c>
      <c r="T1360" s="1">
        <v>22.35</v>
      </c>
      <c r="U1360" s="1">
        <v>0.01</v>
      </c>
      <c r="V1360" s="1">
        <v>858.7</v>
      </c>
      <c r="W1360" s="1">
        <v>3937.9</v>
      </c>
      <c r="X1360" s="1">
        <v>600.98</v>
      </c>
      <c r="Y1360" s="1">
        <v>240</v>
      </c>
      <c r="Z1360" s="1">
        <v>97581.1</v>
      </c>
      <c r="AA1360" s="1">
        <v>22.35</v>
      </c>
      <c r="AB1360" s="1">
        <v>800</v>
      </c>
    </row>
    <row r="1361" spans="1:28" x14ac:dyDescent="0.4">
      <c r="A1361" s="1" t="s">
        <v>161</v>
      </c>
      <c r="B1361" s="1">
        <v>800</v>
      </c>
      <c r="C1361" s="1">
        <v>0.2</v>
      </c>
      <c r="D1361" s="1">
        <v>0.5</v>
      </c>
      <c r="E1361" s="1">
        <v>1000</v>
      </c>
      <c r="F1361" s="1">
        <v>2</v>
      </c>
      <c r="G1361" s="1">
        <v>5</v>
      </c>
      <c r="H1361" s="1" t="s">
        <v>592</v>
      </c>
      <c r="I1361" s="1">
        <v>123503.4</v>
      </c>
      <c r="J1361" s="1">
        <v>49154.400000000001</v>
      </c>
      <c r="K1361" s="1">
        <v>74349</v>
      </c>
      <c r="L1361" s="1">
        <v>240</v>
      </c>
      <c r="M1361" s="1">
        <v>600.39</v>
      </c>
      <c r="N1361" s="1">
        <v>37821.4</v>
      </c>
      <c r="O1361" s="1">
        <v>56407.6</v>
      </c>
      <c r="P1361" s="1">
        <v>94229</v>
      </c>
      <c r="Q1361" s="1">
        <v>2876.3</v>
      </c>
      <c r="R1361" s="1">
        <v>850.8</v>
      </c>
      <c r="S1361" s="1">
        <v>3727.1</v>
      </c>
      <c r="T1361" s="1">
        <v>20.69</v>
      </c>
      <c r="U1361" s="1">
        <v>0.01</v>
      </c>
      <c r="V1361" s="1">
        <v>840.7</v>
      </c>
      <c r="W1361" s="1">
        <v>3717</v>
      </c>
      <c r="X1361" s="1">
        <v>600.41</v>
      </c>
      <c r="Y1361" s="1">
        <v>240</v>
      </c>
      <c r="Z1361" s="1">
        <v>97946</v>
      </c>
      <c r="AA1361" s="1">
        <v>20.69</v>
      </c>
      <c r="AB1361" s="1">
        <v>800</v>
      </c>
    </row>
    <row r="1362" spans="1:28" x14ac:dyDescent="0.4">
      <c r="A1362" s="1" t="s">
        <v>162</v>
      </c>
      <c r="B1362" s="1">
        <v>800</v>
      </c>
      <c r="C1362" s="1">
        <v>0.2</v>
      </c>
      <c r="D1362" s="1">
        <v>0.5</v>
      </c>
      <c r="E1362" s="1">
        <v>1000</v>
      </c>
      <c r="F1362" s="1">
        <v>3</v>
      </c>
      <c r="G1362" s="1">
        <v>1</v>
      </c>
      <c r="H1362" s="1" t="s">
        <v>592</v>
      </c>
      <c r="I1362" s="1">
        <v>148479.1</v>
      </c>
      <c r="J1362" s="1">
        <v>59976.5</v>
      </c>
      <c r="K1362" s="1">
        <v>88502.6</v>
      </c>
      <c r="L1362" s="1">
        <v>240</v>
      </c>
      <c r="M1362" s="1">
        <v>600.36</v>
      </c>
      <c r="N1362" s="1">
        <v>46410.9</v>
      </c>
      <c r="O1362" s="1">
        <v>68239.3</v>
      </c>
      <c r="P1362" s="1">
        <v>114650.2</v>
      </c>
      <c r="Q1362" s="1">
        <v>3090.2</v>
      </c>
      <c r="R1362" s="1">
        <v>857.2</v>
      </c>
      <c r="S1362" s="1">
        <v>3947.4</v>
      </c>
      <c r="T1362" s="1">
        <v>20.13</v>
      </c>
      <c r="U1362" s="1">
        <v>0.02</v>
      </c>
      <c r="V1362" s="1">
        <v>843.9</v>
      </c>
      <c r="W1362" s="1">
        <v>3934.1</v>
      </c>
      <c r="X1362" s="1">
        <v>600.38</v>
      </c>
      <c r="Y1362" s="1">
        <v>239</v>
      </c>
      <c r="Z1362" s="1">
        <v>118584.3</v>
      </c>
      <c r="AA1362" s="1">
        <v>20.13</v>
      </c>
      <c r="AB1362" s="1">
        <v>800</v>
      </c>
    </row>
    <row r="1363" spans="1:28" x14ac:dyDescent="0.4">
      <c r="A1363" s="1" t="s">
        <v>163</v>
      </c>
      <c r="B1363" s="1">
        <v>800</v>
      </c>
      <c r="C1363" s="1">
        <v>0.2</v>
      </c>
      <c r="D1363" s="1">
        <v>0.5</v>
      </c>
      <c r="E1363" s="1">
        <v>1000</v>
      </c>
      <c r="F1363" s="1">
        <v>3</v>
      </c>
      <c r="G1363" s="1">
        <v>2</v>
      </c>
      <c r="H1363" s="1" t="s">
        <v>592</v>
      </c>
      <c r="I1363" s="1">
        <v>154768.20000000001</v>
      </c>
      <c r="J1363" s="1">
        <v>63488.1</v>
      </c>
      <c r="K1363" s="1">
        <v>91280.1</v>
      </c>
      <c r="L1363" s="1">
        <v>240</v>
      </c>
      <c r="M1363" s="1">
        <v>600.01</v>
      </c>
      <c r="N1363" s="1">
        <v>47503.5</v>
      </c>
      <c r="O1363" s="1">
        <v>67520.600000000006</v>
      </c>
      <c r="P1363" s="1">
        <v>115024.1</v>
      </c>
      <c r="Q1363" s="1">
        <v>3122.5</v>
      </c>
      <c r="R1363" s="1">
        <v>869.6</v>
      </c>
      <c r="S1363" s="1">
        <v>3992.1</v>
      </c>
      <c r="T1363" s="1">
        <v>23.1</v>
      </c>
      <c r="U1363" s="1">
        <v>0.02</v>
      </c>
      <c r="V1363" s="1">
        <v>869.6</v>
      </c>
      <c r="W1363" s="1">
        <v>3992.1</v>
      </c>
      <c r="X1363" s="1">
        <v>600.02</v>
      </c>
      <c r="Y1363" s="1">
        <v>240</v>
      </c>
      <c r="Z1363" s="1">
        <v>119016.2</v>
      </c>
      <c r="AA1363" s="1">
        <v>23.1</v>
      </c>
      <c r="AB1363" s="1">
        <v>800</v>
      </c>
    </row>
    <row r="1364" spans="1:28" x14ac:dyDescent="0.4">
      <c r="A1364" s="1" t="s">
        <v>164</v>
      </c>
      <c r="B1364" s="1">
        <v>800</v>
      </c>
      <c r="C1364" s="1">
        <v>0.2</v>
      </c>
      <c r="D1364" s="1">
        <v>0.5</v>
      </c>
      <c r="E1364" s="1">
        <v>1000</v>
      </c>
      <c r="F1364" s="1">
        <v>3</v>
      </c>
      <c r="G1364" s="1">
        <v>3</v>
      </c>
      <c r="H1364" s="1" t="s">
        <v>592</v>
      </c>
      <c r="I1364" s="1">
        <v>154773.79999999999</v>
      </c>
      <c r="J1364" s="1">
        <v>62475.5</v>
      </c>
      <c r="K1364" s="1">
        <v>92298.3</v>
      </c>
      <c r="L1364" s="1">
        <v>240</v>
      </c>
      <c r="M1364" s="1">
        <v>600.4</v>
      </c>
      <c r="N1364" s="1">
        <v>46381.7</v>
      </c>
      <c r="O1364" s="1">
        <v>68494.2</v>
      </c>
      <c r="P1364" s="1">
        <v>114875.9</v>
      </c>
      <c r="Q1364" s="1">
        <v>3127.7</v>
      </c>
      <c r="R1364" s="1">
        <v>828.7</v>
      </c>
      <c r="S1364" s="1">
        <v>3956.4</v>
      </c>
      <c r="T1364" s="1">
        <v>23.22</v>
      </c>
      <c r="U1364" s="1">
        <v>0.01</v>
      </c>
      <c r="V1364" s="1">
        <v>827.3</v>
      </c>
      <c r="W1364" s="1">
        <v>3955</v>
      </c>
      <c r="X1364" s="1">
        <v>600.41</v>
      </c>
      <c r="Y1364" s="1">
        <v>240</v>
      </c>
      <c r="Z1364" s="1">
        <v>118830.9</v>
      </c>
      <c r="AA1364" s="1">
        <v>23.22</v>
      </c>
      <c r="AB1364" s="1">
        <v>800</v>
      </c>
    </row>
    <row r="1365" spans="1:28" x14ac:dyDescent="0.4">
      <c r="A1365" s="1" t="s">
        <v>165</v>
      </c>
      <c r="B1365" s="1">
        <v>800</v>
      </c>
      <c r="C1365" s="1">
        <v>0.2</v>
      </c>
      <c r="D1365" s="1">
        <v>0.5</v>
      </c>
      <c r="E1365" s="1">
        <v>1000</v>
      </c>
      <c r="F1365" s="1">
        <v>3</v>
      </c>
      <c r="G1365" s="1">
        <v>4</v>
      </c>
      <c r="H1365" s="1" t="s">
        <v>592</v>
      </c>
      <c r="I1365" s="1">
        <v>156995.70000000001</v>
      </c>
      <c r="J1365" s="1">
        <v>65727.199999999997</v>
      </c>
      <c r="K1365" s="1">
        <v>91268.5</v>
      </c>
      <c r="L1365" s="1">
        <v>240</v>
      </c>
      <c r="M1365" s="1">
        <v>600.76</v>
      </c>
      <c r="N1365" s="1">
        <v>48151.7</v>
      </c>
      <c r="O1365" s="1">
        <v>67343.7</v>
      </c>
      <c r="P1365" s="1">
        <v>115495.4</v>
      </c>
      <c r="Q1365" s="1">
        <v>2967.7</v>
      </c>
      <c r="R1365" s="1">
        <v>807.6</v>
      </c>
      <c r="S1365" s="1">
        <v>3775.3</v>
      </c>
      <c r="T1365" s="1">
        <v>24.03</v>
      </c>
      <c r="U1365" s="1">
        <v>0.02</v>
      </c>
      <c r="V1365" s="1">
        <v>807.6</v>
      </c>
      <c r="W1365" s="1">
        <v>3775.3</v>
      </c>
      <c r="X1365" s="1">
        <v>600.78</v>
      </c>
      <c r="Y1365" s="1">
        <v>240</v>
      </c>
      <c r="Z1365" s="1">
        <v>119270.7</v>
      </c>
      <c r="AA1365" s="1">
        <v>24.03</v>
      </c>
      <c r="AB1365" s="1">
        <v>800</v>
      </c>
    </row>
    <row r="1366" spans="1:28" x14ac:dyDescent="0.4">
      <c r="A1366" s="1" t="s">
        <v>166</v>
      </c>
      <c r="B1366" s="1">
        <v>800</v>
      </c>
      <c r="C1366" s="1">
        <v>0.2</v>
      </c>
      <c r="D1366" s="1">
        <v>0.5</v>
      </c>
      <c r="E1366" s="1">
        <v>1000</v>
      </c>
      <c r="F1366" s="1">
        <v>3</v>
      </c>
      <c r="G1366" s="1">
        <v>5</v>
      </c>
      <c r="H1366" s="1" t="s">
        <v>592</v>
      </c>
      <c r="I1366" s="1">
        <v>153496.9</v>
      </c>
      <c r="J1366" s="1">
        <v>61169.2</v>
      </c>
      <c r="K1366" s="1">
        <v>92327.7</v>
      </c>
      <c r="L1366" s="1">
        <v>240</v>
      </c>
      <c r="M1366" s="1">
        <v>600.14</v>
      </c>
      <c r="N1366" s="1">
        <v>45809</v>
      </c>
      <c r="O1366" s="1">
        <v>69105.399999999994</v>
      </c>
      <c r="P1366" s="1">
        <v>114914.4</v>
      </c>
      <c r="Q1366" s="1">
        <v>3106.6</v>
      </c>
      <c r="R1366" s="1">
        <v>923.1</v>
      </c>
      <c r="S1366" s="1">
        <v>4029.7</v>
      </c>
      <c r="T1366" s="1">
        <v>22.51</v>
      </c>
      <c r="U1366" s="1">
        <v>0.02</v>
      </c>
      <c r="V1366" s="1">
        <v>916.7</v>
      </c>
      <c r="W1366" s="1">
        <v>4023.3</v>
      </c>
      <c r="X1366" s="1">
        <v>600.16</v>
      </c>
      <c r="Y1366" s="1">
        <v>240</v>
      </c>
      <c r="Z1366" s="1">
        <v>118937.7</v>
      </c>
      <c r="AA1366" s="1">
        <v>22.51</v>
      </c>
      <c r="AB1366" s="1">
        <v>800</v>
      </c>
    </row>
    <row r="1367" spans="1:28" x14ac:dyDescent="0.4">
      <c r="A1367" s="1" t="s">
        <v>167</v>
      </c>
      <c r="B1367" s="1">
        <v>800</v>
      </c>
      <c r="C1367" s="1">
        <v>0.2</v>
      </c>
      <c r="D1367" s="1">
        <v>0.5</v>
      </c>
      <c r="E1367" s="1">
        <v>2000</v>
      </c>
      <c r="F1367" s="1">
        <v>1</v>
      </c>
      <c r="G1367" s="1">
        <v>1</v>
      </c>
      <c r="H1367" s="1" t="s">
        <v>592</v>
      </c>
      <c r="I1367" s="1">
        <v>170586.4</v>
      </c>
      <c r="J1367" s="1">
        <v>68832.399999999994</v>
      </c>
      <c r="K1367" s="1">
        <v>101754</v>
      </c>
      <c r="L1367" s="1">
        <v>240</v>
      </c>
      <c r="M1367" s="1">
        <v>600.01</v>
      </c>
      <c r="N1367" s="1">
        <v>52547.5</v>
      </c>
      <c r="O1367" s="1">
        <v>78001.2</v>
      </c>
      <c r="P1367" s="1">
        <v>130548.7</v>
      </c>
      <c r="Q1367" s="1">
        <v>3132</v>
      </c>
      <c r="R1367" s="1">
        <v>942.6</v>
      </c>
      <c r="S1367" s="1">
        <v>4074.6</v>
      </c>
      <c r="T1367" s="1">
        <v>21.08</v>
      </c>
      <c r="U1367" s="1">
        <v>0.01</v>
      </c>
      <c r="V1367" s="1">
        <v>941.2</v>
      </c>
      <c r="W1367" s="1">
        <v>4073.2</v>
      </c>
      <c r="X1367" s="1">
        <v>600.02</v>
      </c>
      <c r="Y1367" s="1">
        <v>240</v>
      </c>
      <c r="Z1367" s="1">
        <v>134621.9</v>
      </c>
      <c r="AA1367" s="1">
        <v>21.08</v>
      </c>
      <c r="AB1367" s="1">
        <v>800</v>
      </c>
    </row>
    <row r="1368" spans="1:28" x14ac:dyDescent="0.4">
      <c r="A1368" s="1" t="s">
        <v>168</v>
      </c>
      <c r="B1368" s="1">
        <v>800</v>
      </c>
      <c r="C1368" s="1">
        <v>0.2</v>
      </c>
      <c r="D1368" s="1">
        <v>0.5</v>
      </c>
      <c r="E1368" s="1">
        <v>2000</v>
      </c>
      <c r="F1368" s="1">
        <v>1</v>
      </c>
      <c r="G1368" s="1">
        <v>2</v>
      </c>
      <c r="H1368" s="1" t="s">
        <v>592</v>
      </c>
      <c r="I1368" s="1">
        <v>165460</v>
      </c>
      <c r="J1368" s="1">
        <v>69625.7</v>
      </c>
      <c r="K1368" s="1">
        <v>95834.3</v>
      </c>
      <c r="L1368" s="1">
        <v>240</v>
      </c>
      <c r="M1368" s="1">
        <v>600.16999999999996</v>
      </c>
      <c r="N1368" s="1">
        <v>54312.6</v>
      </c>
      <c r="O1368" s="1">
        <v>74472.5</v>
      </c>
      <c r="P1368" s="1">
        <v>128785.1</v>
      </c>
      <c r="Q1368" s="1">
        <v>3244.7</v>
      </c>
      <c r="R1368" s="1">
        <v>870.8</v>
      </c>
      <c r="S1368" s="1">
        <v>4115.5</v>
      </c>
      <c r="T1368" s="1">
        <v>19.68</v>
      </c>
      <c r="U1368" s="1">
        <v>0.01</v>
      </c>
      <c r="V1368" s="1">
        <v>870.8</v>
      </c>
      <c r="W1368" s="1">
        <v>4115.5</v>
      </c>
      <c r="X1368" s="1">
        <v>600.17999999999995</v>
      </c>
      <c r="Y1368" s="1">
        <v>240</v>
      </c>
      <c r="Z1368" s="1">
        <v>132900.6</v>
      </c>
      <c r="AA1368" s="1">
        <v>19.68</v>
      </c>
      <c r="AB1368" s="1">
        <v>800</v>
      </c>
    </row>
    <row r="1369" spans="1:28" x14ac:dyDescent="0.4">
      <c r="A1369" s="1" t="s">
        <v>169</v>
      </c>
      <c r="B1369" s="1">
        <v>800</v>
      </c>
      <c r="C1369" s="1">
        <v>0.2</v>
      </c>
      <c r="D1369" s="1">
        <v>0.5</v>
      </c>
      <c r="E1369" s="1">
        <v>2000</v>
      </c>
      <c r="F1369" s="1">
        <v>1</v>
      </c>
      <c r="G1369" s="1">
        <v>3</v>
      </c>
      <c r="H1369" s="1" t="s">
        <v>592</v>
      </c>
      <c r="I1369" s="1">
        <v>168221.5</v>
      </c>
      <c r="J1369" s="1">
        <v>70384.5</v>
      </c>
      <c r="K1369" s="1">
        <v>97837</v>
      </c>
      <c r="L1369" s="1">
        <v>240</v>
      </c>
      <c r="M1369" s="1">
        <v>600.05999999999995</v>
      </c>
      <c r="N1369" s="1">
        <v>52625.5</v>
      </c>
      <c r="O1369" s="1">
        <v>74682.899999999994</v>
      </c>
      <c r="P1369" s="1">
        <v>127308.4</v>
      </c>
      <c r="Q1369" s="1">
        <v>3409.6</v>
      </c>
      <c r="R1369" s="1">
        <v>957.7</v>
      </c>
      <c r="S1369" s="1">
        <v>4367.3</v>
      </c>
      <c r="T1369" s="1">
        <v>21.72</v>
      </c>
      <c r="U1369" s="1">
        <v>0.01</v>
      </c>
      <c r="V1369" s="1">
        <v>938.3</v>
      </c>
      <c r="W1369" s="1">
        <v>4347.8999999999996</v>
      </c>
      <c r="X1369" s="1">
        <v>600.07000000000005</v>
      </c>
      <c r="Y1369" s="1">
        <v>240</v>
      </c>
      <c r="Z1369" s="1">
        <v>131656.29999999999</v>
      </c>
      <c r="AA1369" s="1">
        <v>21.74</v>
      </c>
      <c r="AB1369" s="1">
        <v>800</v>
      </c>
    </row>
    <row r="1370" spans="1:28" x14ac:dyDescent="0.4">
      <c r="A1370" s="1" t="s">
        <v>170</v>
      </c>
      <c r="B1370" s="1">
        <v>800</v>
      </c>
      <c r="C1370" s="1">
        <v>0.2</v>
      </c>
      <c r="D1370" s="1">
        <v>0.5</v>
      </c>
      <c r="E1370" s="1">
        <v>2000</v>
      </c>
      <c r="F1370" s="1">
        <v>1</v>
      </c>
      <c r="G1370" s="1">
        <v>4</v>
      </c>
      <c r="H1370" s="1" t="s">
        <v>592</v>
      </c>
      <c r="I1370" s="1">
        <v>168917.2</v>
      </c>
      <c r="J1370" s="1">
        <v>69517.8</v>
      </c>
      <c r="K1370" s="1">
        <v>99399.4</v>
      </c>
      <c r="L1370" s="1">
        <v>240</v>
      </c>
      <c r="M1370" s="1">
        <v>600.30999999999995</v>
      </c>
      <c r="N1370" s="1">
        <v>51523.6</v>
      </c>
      <c r="O1370" s="1">
        <v>76132.899999999994</v>
      </c>
      <c r="P1370" s="1">
        <v>127656.5</v>
      </c>
      <c r="Q1370" s="1">
        <v>3359.3</v>
      </c>
      <c r="R1370" s="1">
        <v>1002.5</v>
      </c>
      <c r="S1370" s="1">
        <v>4361.8</v>
      </c>
      <c r="T1370" s="1">
        <v>21.84</v>
      </c>
      <c r="U1370" s="1">
        <v>0.01</v>
      </c>
      <c r="V1370" s="1">
        <v>979.5</v>
      </c>
      <c r="W1370" s="1">
        <v>4338.8</v>
      </c>
      <c r="X1370" s="1">
        <v>600.32000000000005</v>
      </c>
      <c r="Y1370" s="1">
        <v>240</v>
      </c>
      <c r="Z1370" s="1">
        <v>131995.29999999999</v>
      </c>
      <c r="AA1370" s="1">
        <v>21.86</v>
      </c>
      <c r="AB1370" s="1">
        <v>800</v>
      </c>
    </row>
    <row r="1371" spans="1:28" x14ac:dyDescent="0.4">
      <c r="A1371" s="1" t="s">
        <v>171</v>
      </c>
      <c r="B1371" s="1">
        <v>800</v>
      </c>
      <c r="C1371" s="1">
        <v>0.2</v>
      </c>
      <c r="D1371" s="1">
        <v>0.5</v>
      </c>
      <c r="E1371" s="1">
        <v>2000</v>
      </c>
      <c r="F1371" s="1">
        <v>1</v>
      </c>
      <c r="G1371" s="1">
        <v>5</v>
      </c>
      <c r="H1371" s="1" t="s">
        <v>592</v>
      </c>
      <c r="I1371" s="1">
        <v>168479.3</v>
      </c>
      <c r="J1371" s="1">
        <v>68009.100000000006</v>
      </c>
      <c r="K1371" s="1">
        <v>100470.2</v>
      </c>
      <c r="L1371" s="1">
        <v>240</v>
      </c>
      <c r="M1371" s="1">
        <v>600.91999999999996</v>
      </c>
      <c r="N1371" s="1">
        <v>50560.3</v>
      </c>
      <c r="O1371" s="1">
        <v>74835.5</v>
      </c>
      <c r="P1371" s="1">
        <v>125395.8</v>
      </c>
      <c r="Q1371" s="1">
        <v>3381.3</v>
      </c>
      <c r="R1371" s="1">
        <v>891.2</v>
      </c>
      <c r="S1371" s="1">
        <v>4272.5</v>
      </c>
      <c r="T1371" s="1">
        <v>23.04</v>
      </c>
      <c r="U1371" s="1">
        <v>0.01</v>
      </c>
      <c r="V1371" s="1">
        <v>891.2</v>
      </c>
      <c r="W1371" s="1">
        <v>4272.5</v>
      </c>
      <c r="X1371" s="1">
        <v>600.94000000000005</v>
      </c>
      <c r="Y1371" s="1">
        <v>240</v>
      </c>
      <c r="Z1371" s="1">
        <v>129668.3</v>
      </c>
      <c r="AA1371" s="1">
        <v>23.04</v>
      </c>
      <c r="AB1371" s="1">
        <v>800</v>
      </c>
    </row>
    <row r="1372" spans="1:28" x14ac:dyDescent="0.4">
      <c r="A1372" s="1" t="s">
        <v>172</v>
      </c>
      <c r="B1372" s="1">
        <v>800</v>
      </c>
      <c r="C1372" s="1">
        <v>0.2</v>
      </c>
      <c r="D1372" s="1">
        <v>0.5</v>
      </c>
      <c r="E1372" s="1">
        <v>2000</v>
      </c>
      <c r="F1372" s="1">
        <v>2</v>
      </c>
      <c r="G1372" s="1">
        <v>1</v>
      </c>
      <c r="H1372" s="1" t="s">
        <v>592</v>
      </c>
      <c r="I1372" s="1">
        <v>245290.8</v>
      </c>
      <c r="J1372" s="1">
        <v>101416.6</v>
      </c>
      <c r="K1372" s="1">
        <v>143874.20000000001</v>
      </c>
      <c r="L1372" s="1">
        <v>240</v>
      </c>
      <c r="M1372" s="1">
        <v>600.05999999999995</v>
      </c>
      <c r="N1372" s="1">
        <v>76621</v>
      </c>
      <c r="O1372" s="1">
        <v>109828.2</v>
      </c>
      <c r="P1372" s="1">
        <v>186449.2</v>
      </c>
      <c r="Q1372" s="1">
        <v>3307.3</v>
      </c>
      <c r="R1372" s="1">
        <v>931.9</v>
      </c>
      <c r="S1372" s="1">
        <v>4239.2</v>
      </c>
      <c r="T1372" s="1">
        <v>22.26</v>
      </c>
      <c r="U1372" s="1">
        <v>0.01</v>
      </c>
      <c r="V1372" s="1">
        <v>909.5</v>
      </c>
      <c r="W1372" s="1">
        <v>4216.8</v>
      </c>
      <c r="X1372" s="1">
        <v>600.07000000000005</v>
      </c>
      <c r="Y1372" s="1">
        <v>240</v>
      </c>
      <c r="Z1372" s="1">
        <v>190666</v>
      </c>
      <c r="AA1372" s="1">
        <v>22.27</v>
      </c>
      <c r="AB1372" s="1">
        <v>800</v>
      </c>
    </row>
    <row r="1373" spans="1:28" x14ac:dyDescent="0.4">
      <c r="A1373" s="1" t="s">
        <v>173</v>
      </c>
      <c r="B1373" s="1">
        <v>800</v>
      </c>
      <c r="C1373" s="1">
        <v>0.2</v>
      </c>
      <c r="D1373" s="1">
        <v>0.5</v>
      </c>
      <c r="E1373" s="1">
        <v>2000</v>
      </c>
      <c r="F1373" s="1">
        <v>2</v>
      </c>
      <c r="G1373" s="1">
        <v>2</v>
      </c>
      <c r="H1373" s="1" t="s">
        <v>592</v>
      </c>
      <c r="I1373" s="1">
        <v>244984.3</v>
      </c>
      <c r="J1373" s="1">
        <v>99494.9</v>
      </c>
      <c r="K1373" s="1">
        <v>145489.4</v>
      </c>
      <c r="L1373" s="1">
        <v>240</v>
      </c>
      <c r="M1373" s="1">
        <v>600.88</v>
      </c>
      <c r="N1373" s="1">
        <v>77135.600000000006</v>
      </c>
      <c r="O1373" s="1">
        <v>111155.1</v>
      </c>
      <c r="P1373" s="1">
        <v>188290.7</v>
      </c>
      <c r="Q1373" s="1">
        <v>3198.6</v>
      </c>
      <c r="R1373" s="1">
        <v>893.1</v>
      </c>
      <c r="S1373" s="1">
        <v>4091.7</v>
      </c>
      <c r="T1373" s="1">
        <v>21.47</v>
      </c>
      <c r="U1373" s="1">
        <v>0.02</v>
      </c>
      <c r="V1373" s="1">
        <v>893.1</v>
      </c>
      <c r="W1373" s="1">
        <v>4091.7</v>
      </c>
      <c r="X1373" s="1">
        <v>600.9</v>
      </c>
      <c r="Y1373" s="1">
        <v>240</v>
      </c>
      <c r="Z1373" s="1">
        <v>192382.4</v>
      </c>
      <c r="AA1373" s="1">
        <v>21.47</v>
      </c>
      <c r="AB1373" s="1">
        <v>800</v>
      </c>
    </row>
    <row r="1374" spans="1:28" x14ac:dyDescent="0.4">
      <c r="A1374" s="1" t="s">
        <v>174</v>
      </c>
      <c r="B1374" s="1">
        <v>800</v>
      </c>
      <c r="C1374" s="1">
        <v>0.2</v>
      </c>
      <c r="D1374" s="1">
        <v>0.5</v>
      </c>
      <c r="E1374" s="1">
        <v>2000</v>
      </c>
      <c r="F1374" s="1">
        <v>2</v>
      </c>
      <c r="G1374" s="1">
        <v>3</v>
      </c>
      <c r="H1374" s="1" t="s">
        <v>592</v>
      </c>
      <c r="I1374" s="1">
        <v>246364.79999999999</v>
      </c>
      <c r="J1374" s="1">
        <v>99776.2</v>
      </c>
      <c r="K1374" s="1">
        <v>146588.6</v>
      </c>
      <c r="L1374" s="1">
        <v>240</v>
      </c>
      <c r="M1374" s="1">
        <v>600.95000000000005</v>
      </c>
      <c r="N1374" s="1">
        <v>76933.399999999994</v>
      </c>
      <c r="O1374" s="1">
        <v>110589.7</v>
      </c>
      <c r="P1374" s="1">
        <v>187523.1</v>
      </c>
      <c r="Q1374" s="1">
        <v>3109.1</v>
      </c>
      <c r="R1374" s="1">
        <v>965.6</v>
      </c>
      <c r="S1374" s="1">
        <v>4074.7</v>
      </c>
      <c r="T1374" s="1">
        <v>22.23</v>
      </c>
      <c r="U1374" s="1">
        <v>0.02</v>
      </c>
      <c r="V1374" s="1">
        <v>965.6</v>
      </c>
      <c r="W1374" s="1">
        <v>4074.7</v>
      </c>
      <c r="X1374" s="1">
        <v>600.97</v>
      </c>
      <c r="Y1374" s="1">
        <v>240</v>
      </c>
      <c r="Z1374" s="1">
        <v>191597.8</v>
      </c>
      <c r="AA1374" s="1">
        <v>22.23</v>
      </c>
      <c r="AB1374" s="1">
        <v>800</v>
      </c>
    </row>
    <row r="1375" spans="1:28" x14ac:dyDescent="0.4">
      <c r="A1375" s="1" t="s">
        <v>175</v>
      </c>
      <c r="B1375" s="1">
        <v>800</v>
      </c>
      <c r="C1375" s="1">
        <v>0.2</v>
      </c>
      <c r="D1375" s="1">
        <v>0.5</v>
      </c>
      <c r="E1375" s="1">
        <v>2000</v>
      </c>
      <c r="F1375" s="1">
        <v>2</v>
      </c>
      <c r="G1375" s="1">
        <v>4</v>
      </c>
      <c r="H1375" s="1" t="s">
        <v>592</v>
      </c>
      <c r="I1375" s="1">
        <v>242464.7</v>
      </c>
      <c r="J1375" s="1">
        <v>99473.1</v>
      </c>
      <c r="K1375" s="1">
        <v>142991.6</v>
      </c>
      <c r="L1375" s="1">
        <v>240</v>
      </c>
      <c r="M1375" s="1">
        <v>600.30999999999995</v>
      </c>
      <c r="N1375" s="1">
        <v>77115.3</v>
      </c>
      <c r="O1375" s="1">
        <v>110013.6</v>
      </c>
      <c r="P1375" s="1">
        <v>187128.9</v>
      </c>
      <c r="Q1375" s="1">
        <v>3189.9</v>
      </c>
      <c r="R1375" s="1">
        <v>914.5</v>
      </c>
      <c r="S1375" s="1">
        <v>4104.3999999999996</v>
      </c>
      <c r="T1375" s="1">
        <v>21.13</v>
      </c>
      <c r="U1375" s="1">
        <v>0.02</v>
      </c>
      <c r="V1375" s="1">
        <v>914.5</v>
      </c>
      <c r="W1375" s="1">
        <v>4104.3999999999996</v>
      </c>
      <c r="X1375" s="1">
        <v>600.33000000000004</v>
      </c>
      <c r="Y1375" s="1">
        <v>240</v>
      </c>
      <c r="Z1375" s="1">
        <v>191233.3</v>
      </c>
      <c r="AA1375" s="1">
        <v>21.13</v>
      </c>
      <c r="AB1375" s="1">
        <v>800</v>
      </c>
    </row>
    <row r="1376" spans="1:28" x14ac:dyDescent="0.4">
      <c r="A1376" s="1" t="s">
        <v>176</v>
      </c>
      <c r="B1376" s="1">
        <v>800</v>
      </c>
      <c r="C1376" s="1">
        <v>0.2</v>
      </c>
      <c r="D1376" s="1">
        <v>0.5</v>
      </c>
      <c r="E1376" s="1">
        <v>2000</v>
      </c>
      <c r="F1376" s="1">
        <v>2</v>
      </c>
      <c r="G1376" s="1">
        <v>5</v>
      </c>
      <c r="H1376" s="1" t="s">
        <v>592</v>
      </c>
      <c r="I1376" s="1">
        <v>247997.4</v>
      </c>
      <c r="J1376" s="1">
        <v>101583.4</v>
      </c>
      <c r="K1376" s="1">
        <v>146414</v>
      </c>
      <c r="L1376" s="1">
        <v>240</v>
      </c>
      <c r="M1376" s="1">
        <v>600</v>
      </c>
      <c r="N1376" s="1">
        <v>76547</v>
      </c>
      <c r="O1376" s="1">
        <v>111212.1</v>
      </c>
      <c r="P1376" s="1">
        <v>187759.1</v>
      </c>
      <c r="Q1376" s="1">
        <v>3244.7</v>
      </c>
      <c r="R1376" s="1">
        <v>1025.2</v>
      </c>
      <c r="S1376" s="1">
        <v>4269.8999999999996</v>
      </c>
      <c r="T1376" s="1">
        <v>22.57</v>
      </c>
      <c r="U1376" s="1">
        <v>0.01</v>
      </c>
      <c r="V1376" s="1">
        <v>1025.2</v>
      </c>
      <c r="W1376" s="1">
        <v>4269.8999999999996</v>
      </c>
      <c r="X1376" s="1">
        <v>600.01</v>
      </c>
      <c r="Y1376" s="1">
        <v>240</v>
      </c>
      <c r="Z1376" s="1">
        <v>192029</v>
      </c>
      <c r="AA1376" s="1">
        <v>22.57</v>
      </c>
      <c r="AB1376" s="1">
        <v>800</v>
      </c>
    </row>
    <row r="1377" spans="1:28" x14ac:dyDescent="0.4">
      <c r="A1377" s="1" t="s">
        <v>177</v>
      </c>
      <c r="B1377" s="1">
        <v>800</v>
      </c>
      <c r="C1377" s="1">
        <v>0.2</v>
      </c>
      <c r="D1377" s="1">
        <v>0.5</v>
      </c>
      <c r="E1377" s="1">
        <v>2000</v>
      </c>
      <c r="F1377" s="1">
        <v>3</v>
      </c>
      <c r="G1377" s="1">
        <v>1</v>
      </c>
      <c r="H1377" s="1" t="s">
        <v>592</v>
      </c>
      <c r="I1377" s="1">
        <v>299881.40000000002</v>
      </c>
      <c r="J1377" s="1">
        <v>120588.9</v>
      </c>
      <c r="K1377" s="1">
        <v>179292.5</v>
      </c>
      <c r="L1377" s="1">
        <v>240</v>
      </c>
      <c r="M1377" s="1">
        <v>600.62</v>
      </c>
      <c r="N1377" s="1">
        <v>93127.5</v>
      </c>
      <c r="O1377" s="1">
        <v>137580.9</v>
      </c>
      <c r="P1377" s="1">
        <v>230708.4</v>
      </c>
      <c r="Q1377" s="1">
        <v>3268.1</v>
      </c>
      <c r="R1377" s="1">
        <v>918.4</v>
      </c>
      <c r="S1377" s="1">
        <v>4186.5</v>
      </c>
      <c r="T1377" s="1">
        <v>21.67</v>
      </c>
      <c r="U1377" s="1">
        <v>0.02</v>
      </c>
      <c r="V1377" s="1">
        <v>905.3</v>
      </c>
      <c r="W1377" s="1">
        <v>4173.3999999999996</v>
      </c>
      <c r="X1377" s="1">
        <v>600.64</v>
      </c>
      <c r="Y1377" s="1">
        <v>240</v>
      </c>
      <c r="Z1377" s="1">
        <v>234881.8</v>
      </c>
      <c r="AA1377" s="1">
        <v>21.68</v>
      </c>
      <c r="AB1377" s="1">
        <v>800</v>
      </c>
    </row>
    <row r="1378" spans="1:28" x14ac:dyDescent="0.4">
      <c r="A1378" s="1" t="s">
        <v>178</v>
      </c>
      <c r="B1378" s="1">
        <v>800</v>
      </c>
      <c r="C1378" s="1">
        <v>0.2</v>
      </c>
      <c r="D1378" s="1">
        <v>0.5</v>
      </c>
      <c r="E1378" s="1">
        <v>2000</v>
      </c>
      <c r="F1378" s="1">
        <v>3</v>
      </c>
      <c r="G1378" s="1">
        <v>2</v>
      </c>
      <c r="H1378" s="1" t="s">
        <v>592</v>
      </c>
      <c r="I1378" s="1">
        <v>313359.5</v>
      </c>
      <c r="J1378" s="1">
        <v>131053.2</v>
      </c>
      <c r="K1378" s="1">
        <v>182306.3</v>
      </c>
      <c r="L1378" s="1">
        <v>240</v>
      </c>
      <c r="M1378" s="1">
        <v>600.88</v>
      </c>
      <c r="N1378" s="1">
        <v>100479.7</v>
      </c>
      <c r="O1378" s="1">
        <v>138071</v>
      </c>
      <c r="P1378" s="1">
        <v>238550.7</v>
      </c>
      <c r="Q1378" s="1">
        <v>3230.4</v>
      </c>
      <c r="R1378" s="1">
        <v>1054.8</v>
      </c>
      <c r="S1378" s="1">
        <v>4285.2</v>
      </c>
      <c r="T1378" s="1">
        <v>22.51</v>
      </c>
      <c r="U1378" s="1">
        <v>0.01</v>
      </c>
      <c r="V1378" s="1">
        <v>1054.8</v>
      </c>
      <c r="W1378" s="1">
        <v>4285.2</v>
      </c>
      <c r="X1378" s="1">
        <v>600.89</v>
      </c>
      <c r="Y1378" s="1">
        <v>240</v>
      </c>
      <c r="Z1378" s="1">
        <v>242835.9</v>
      </c>
      <c r="AA1378" s="1">
        <v>22.51</v>
      </c>
      <c r="AB1378" s="1">
        <v>800</v>
      </c>
    </row>
    <row r="1379" spans="1:28" x14ac:dyDescent="0.4">
      <c r="A1379" s="1" t="s">
        <v>179</v>
      </c>
      <c r="B1379" s="1">
        <v>800</v>
      </c>
      <c r="C1379" s="1">
        <v>0.2</v>
      </c>
      <c r="D1379" s="1">
        <v>0.5</v>
      </c>
      <c r="E1379" s="1">
        <v>2000</v>
      </c>
      <c r="F1379" s="1">
        <v>3</v>
      </c>
      <c r="G1379" s="1">
        <v>3</v>
      </c>
      <c r="H1379" s="1" t="s">
        <v>592</v>
      </c>
      <c r="I1379" s="1">
        <v>312901.7</v>
      </c>
      <c r="J1379" s="1">
        <v>123616.3</v>
      </c>
      <c r="K1379" s="1">
        <v>189285.4</v>
      </c>
      <c r="L1379" s="1">
        <v>240</v>
      </c>
      <c r="M1379" s="1">
        <v>600.21</v>
      </c>
      <c r="N1379" s="1">
        <v>93952.8</v>
      </c>
      <c r="O1379" s="1">
        <v>142821.6</v>
      </c>
      <c r="P1379" s="1">
        <v>236774.39999999999</v>
      </c>
      <c r="Q1379" s="1">
        <v>3387.8</v>
      </c>
      <c r="R1379" s="1">
        <v>996.9</v>
      </c>
      <c r="S1379" s="1">
        <v>4384.7</v>
      </c>
      <c r="T1379" s="1">
        <v>22.93</v>
      </c>
      <c r="U1379" s="1">
        <v>0.01</v>
      </c>
      <c r="V1379" s="1">
        <v>995.5</v>
      </c>
      <c r="W1379" s="1">
        <v>4383.3</v>
      </c>
      <c r="X1379" s="1">
        <v>600.22</v>
      </c>
      <c r="Y1379" s="1">
        <v>240</v>
      </c>
      <c r="Z1379" s="1">
        <v>241157.7</v>
      </c>
      <c r="AA1379" s="1">
        <v>22.93</v>
      </c>
      <c r="AB1379" s="1">
        <v>800</v>
      </c>
    </row>
    <row r="1380" spans="1:28" x14ac:dyDescent="0.4">
      <c r="A1380" s="1" t="s">
        <v>180</v>
      </c>
      <c r="B1380" s="1">
        <v>800</v>
      </c>
      <c r="C1380" s="1">
        <v>0.2</v>
      </c>
      <c r="D1380" s="1">
        <v>0.5</v>
      </c>
      <c r="E1380" s="1">
        <v>2000</v>
      </c>
      <c r="F1380" s="1">
        <v>3</v>
      </c>
      <c r="G1380" s="1">
        <v>4</v>
      </c>
      <c r="H1380" s="1" t="s">
        <v>592</v>
      </c>
      <c r="I1380" s="1">
        <v>315103.40000000002</v>
      </c>
      <c r="J1380" s="1">
        <v>126781</v>
      </c>
      <c r="K1380" s="1">
        <v>188322.4</v>
      </c>
      <c r="L1380" s="1">
        <v>240</v>
      </c>
      <c r="M1380" s="1">
        <v>600.26</v>
      </c>
      <c r="N1380" s="1">
        <v>97482.3</v>
      </c>
      <c r="O1380" s="1">
        <v>142026.6</v>
      </c>
      <c r="P1380" s="1">
        <v>239508.9</v>
      </c>
      <c r="Q1380" s="1">
        <v>3444.8</v>
      </c>
      <c r="R1380" s="1">
        <v>910.1</v>
      </c>
      <c r="S1380" s="1">
        <v>4354.8999999999996</v>
      </c>
      <c r="T1380" s="1">
        <v>22.61</v>
      </c>
      <c r="U1380" s="1">
        <v>0.01</v>
      </c>
      <c r="V1380" s="1">
        <v>910.1</v>
      </c>
      <c r="W1380" s="1">
        <v>4354.8999999999996</v>
      </c>
      <c r="X1380" s="1">
        <v>600.27</v>
      </c>
      <c r="Y1380" s="1">
        <v>240</v>
      </c>
      <c r="Z1380" s="1">
        <v>243863.8</v>
      </c>
      <c r="AA1380" s="1">
        <v>22.61</v>
      </c>
      <c r="AB1380" s="1">
        <v>800</v>
      </c>
    </row>
    <row r="1381" spans="1:28" x14ac:dyDescent="0.4">
      <c r="A1381" s="1" t="s">
        <v>181</v>
      </c>
      <c r="B1381" s="1">
        <v>800</v>
      </c>
      <c r="C1381" s="1">
        <v>0.2</v>
      </c>
      <c r="D1381" s="1">
        <v>0.5</v>
      </c>
      <c r="E1381" s="1">
        <v>2000</v>
      </c>
      <c r="F1381" s="1">
        <v>3</v>
      </c>
      <c r="G1381" s="1">
        <v>5</v>
      </c>
      <c r="H1381" s="1" t="s">
        <v>592</v>
      </c>
      <c r="I1381" s="1">
        <v>306717</v>
      </c>
      <c r="J1381" s="1">
        <v>125797.8</v>
      </c>
      <c r="K1381" s="1">
        <v>180919.2</v>
      </c>
      <c r="L1381" s="1">
        <v>240</v>
      </c>
      <c r="M1381" s="1">
        <v>600.91999999999996</v>
      </c>
      <c r="N1381" s="1">
        <v>95716.7</v>
      </c>
      <c r="O1381" s="1">
        <v>136909</v>
      </c>
      <c r="P1381" s="1">
        <v>232625.7</v>
      </c>
      <c r="Q1381" s="1">
        <v>3235.1</v>
      </c>
      <c r="R1381" s="1">
        <v>859.2</v>
      </c>
      <c r="S1381" s="1">
        <v>4094.3</v>
      </c>
      <c r="T1381" s="1">
        <v>22.82</v>
      </c>
      <c r="U1381" s="1">
        <v>0.02</v>
      </c>
      <c r="V1381" s="1">
        <v>859.2</v>
      </c>
      <c r="W1381" s="1">
        <v>4094.3</v>
      </c>
      <c r="X1381" s="1">
        <v>600.92999999999995</v>
      </c>
      <c r="Y1381" s="1">
        <v>240</v>
      </c>
      <c r="Z1381" s="1">
        <v>236720</v>
      </c>
      <c r="AA1381" s="1">
        <v>22.82</v>
      </c>
      <c r="AB1381" s="1">
        <v>800</v>
      </c>
    </row>
    <row r="1382" spans="1:28" x14ac:dyDescent="0.4">
      <c r="A1382" s="1" t="s">
        <v>182</v>
      </c>
      <c r="B1382" s="1">
        <v>800</v>
      </c>
      <c r="C1382" s="1">
        <v>0.2</v>
      </c>
      <c r="D1382" s="1">
        <v>0.5</v>
      </c>
      <c r="E1382" s="1">
        <v>500</v>
      </c>
      <c r="F1382" s="1">
        <v>1</v>
      </c>
      <c r="G1382" s="1">
        <v>1</v>
      </c>
      <c r="H1382" s="1" t="s">
        <v>592</v>
      </c>
      <c r="I1382" s="1">
        <v>42456</v>
      </c>
      <c r="J1382" s="1">
        <v>17710.900000000001</v>
      </c>
      <c r="K1382" s="1">
        <v>24745.1</v>
      </c>
      <c r="L1382" s="1">
        <v>240</v>
      </c>
      <c r="M1382" s="1">
        <v>600.85</v>
      </c>
      <c r="N1382" s="1">
        <v>12702.9</v>
      </c>
      <c r="O1382" s="1">
        <v>17941.8</v>
      </c>
      <c r="P1382" s="1">
        <v>30644.7</v>
      </c>
      <c r="Q1382" s="1">
        <v>2738.1</v>
      </c>
      <c r="R1382" s="1">
        <v>681.7</v>
      </c>
      <c r="S1382" s="1">
        <v>3419.8</v>
      </c>
      <c r="T1382" s="1">
        <v>19.77</v>
      </c>
      <c r="U1382" s="1">
        <v>0.01</v>
      </c>
      <c r="V1382" s="1">
        <v>669.8</v>
      </c>
      <c r="W1382" s="1">
        <v>3407.9</v>
      </c>
      <c r="X1382" s="1">
        <v>600.86</v>
      </c>
      <c r="Y1382" s="1">
        <v>240</v>
      </c>
      <c r="Z1382" s="1">
        <v>34052.6</v>
      </c>
      <c r="AA1382" s="1">
        <v>19.79</v>
      </c>
      <c r="AB1382" s="1">
        <v>800</v>
      </c>
    </row>
    <row r="1383" spans="1:28" x14ac:dyDescent="0.4">
      <c r="A1383" s="1" t="s">
        <v>183</v>
      </c>
      <c r="B1383" s="1">
        <v>800</v>
      </c>
      <c r="C1383" s="1">
        <v>0.2</v>
      </c>
      <c r="D1383" s="1">
        <v>0.5</v>
      </c>
      <c r="E1383" s="1">
        <v>500</v>
      </c>
      <c r="F1383" s="1">
        <v>1</v>
      </c>
      <c r="G1383" s="1">
        <v>2</v>
      </c>
      <c r="H1383" s="1" t="s">
        <v>592</v>
      </c>
      <c r="I1383" s="1">
        <v>39729.800000000003</v>
      </c>
      <c r="J1383" s="1">
        <v>15669.4</v>
      </c>
      <c r="K1383" s="1">
        <v>24060.400000000001</v>
      </c>
      <c r="L1383" s="1">
        <v>240</v>
      </c>
      <c r="M1383" s="1">
        <v>600.37</v>
      </c>
      <c r="N1383" s="1">
        <v>11489.1</v>
      </c>
      <c r="O1383" s="1">
        <v>17011</v>
      </c>
      <c r="P1383" s="1">
        <v>28500.1</v>
      </c>
      <c r="Q1383" s="1">
        <v>2898.9</v>
      </c>
      <c r="R1383" s="1">
        <v>610.1</v>
      </c>
      <c r="S1383" s="1">
        <v>3509</v>
      </c>
      <c r="T1383" s="1">
        <v>19.43</v>
      </c>
      <c r="U1383" s="1">
        <v>0.01</v>
      </c>
      <c r="V1383" s="1">
        <v>608.70000000000005</v>
      </c>
      <c r="W1383" s="1">
        <v>3507.6</v>
      </c>
      <c r="X1383" s="1">
        <v>600.38</v>
      </c>
      <c r="Y1383" s="1">
        <v>240</v>
      </c>
      <c r="Z1383" s="1">
        <v>32007.7</v>
      </c>
      <c r="AA1383" s="1">
        <v>19.440000000000001</v>
      </c>
      <c r="AB1383" s="1">
        <v>800</v>
      </c>
    </row>
    <row r="1384" spans="1:28" x14ac:dyDescent="0.4">
      <c r="A1384" s="1" t="s">
        <v>184</v>
      </c>
      <c r="B1384" s="1">
        <v>800</v>
      </c>
      <c r="C1384" s="1">
        <v>0.2</v>
      </c>
      <c r="D1384" s="1">
        <v>0.5</v>
      </c>
      <c r="E1384" s="1">
        <v>500</v>
      </c>
      <c r="F1384" s="1">
        <v>1</v>
      </c>
      <c r="G1384" s="1">
        <v>3</v>
      </c>
      <c r="H1384" s="1" t="s">
        <v>592</v>
      </c>
      <c r="I1384" s="1">
        <v>41512.699999999997</v>
      </c>
      <c r="J1384" s="1">
        <v>16714</v>
      </c>
      <c r="K1384" s="1">
        <v>24798.7</v>
      </c>
      <c r="L1384" s="1">
        <v>240</v>
      </c>
      <c r="M1384" s="1">
        <v>600.92999999999995</v>
      </c>
      <c r="N1384" s="1">
        <v>12108.9</v>
      </c>
      <c r="O1384" s="1">
        <v>17906.3</v>
      </c>
      <c r="P1384" s="1">
        <v>30015.200000000001</v>
      </c>
      <c r="Q1384" s="1">
        <v>2812.8</v>
      </c>
      <c r="R1384" s="1">
        <v>660.2</v>
      </c>
      <c r="S1384" s="1">
        <v>3473</v>
      </c>
      <c r="T1384" s="1">
        <v>19.329999999999998</v>
      </c>
      <c r="U1384" s="1">
        <v>0.01</v>
      </c>
      <c r="V1384" s="1">
        <v>660.2</v>
      </c>
      <c r="W1384" s="1">
        <v>3473</v>
      </c>
      <c r="X1384" s="1">
        <v>600.94000000000005</v>
      </c>
      <c r="Y1384" s="1">
        <v>240</v>
      </c>
      <c r="Z1384" s="1">
        <v>33488.199999999997</v>
      </c>
      <c r="AA1384" s="1">
        <v>19.329999999999998</v>
      </c>
      <c r="AB1384" s="1">
        <v>800</v>
      </c>
    </row>
    <row r="1385" spans="1:28" x14ac:dyDescent="0.4">
      <c r="A1385" s="1" t="s">
        <v>185</v>
      </c>
      <c r="B1385" s="1">
        <v>800</v>
      </c>
      <c r="C1385" s="1">
        <v>0.2</v>
      </c>
      <c r="D1385" s="1">
        <v>0.5</v>
      </c>
      <c r="E1385" s="1">
        <v>500</v>
      </c>
      <c r="F1385" s="1">
        <v>1</v>
      </c>
      <c r="G1385" s="1">
        <v>4</v>
      </c>
      <c r="H1385" s="1" t="s">
        <v>592</v>
      </c>
      <c r="I1385" s="1">
        <v>44381.599999999999</v>
      </c>
      <c r="J1385" s="1">
        <v>18877.900000000001</v>
      </c>
      <c r="K1385" s="1">
        <v>25503.7</v>
      </c>
      <c r="L1385" s="1">
        <v>240</v>
      </c>
      <c r="M1385" s="1">
        <v>600.17999999999995</v>
      </c>
      <c r="N1385" s="1">
        <v>13538.6</v>
      </c>
      <c r="O1385" s="1">
        <v>19107.099999999999</v>
      </c>
      <c r="P1385" s="1">
        <v>32645.7</v>
      </c>
      <c r="Q1385" s="1">
        <v>2948.2</v>
      </c>
      <c r="R1385" s="1">
        <v>599.1</v>
      </c>
      <c r="S1385" s="1">
        <v>3547.3</v>
      </c>
      <c r="T1385" s="1">
        <v>18.45</v>
      </c>
      <c r="U1385" s="1">
        <v>0.01</v>
      </c>
      <c r="V1385" s="1">
        <v>594.9</v>
      </c>
      <c r="W1385" s="1">
        <v>3543.1</v>
      </c>
      <c r="X1385" s="1">
        <v>600.17999999999995</v>
      </c>
      <c r="Y1385" s="1">
        <v>240</v>
      </c>
      <c r="Z1385" s="1">
        <v>36188.800000000003</v>
      </c>
      <c r="AA1385" s="1">
        <v>18.46</v>
      </c>
      <c r="AB1385" s="1">
        <v>800</v>
      </c>
    </row>
    <row r="1386" spans="1:28" x14ac:dyDescent="0.4">
      <c r="A1386" s="1" t="s">
        <v>186</v>
      </c>
      <c r="B1386" s="1">
        <v>800</v>
      </c>
      <c r="C1386" s="1">
        <v>0.2</v>
      </c>
      <c r="D1386" s="1">
        <v>0.5</v>
      </c>
      <c r="E1386" s="1">
        <v>500</v>
      </c>
      <c r="F1386" s="1">
        <v>1</v>
      </c>
      <c r="G1386" s="1">
        <v>5</v>
      </c>
      <c r="H1386" s="1" t="s">
        <v>592</v>
      </c>
      <c r="I1386" s="1">
        <v>42373.3</v>
      </c>
      <c r="J1386" s="1">
        <v>16880</v>
      </c>
      <c r="K1386" s="1">
        <v>25493.3</v>
      </c>
      <c r="L1386" s="1">
        <v>240</v>
      </c>
      <c r="M1386" s="1">
        <v>600.69000000000005</v>
      </c>
      <c r="N1386" s="1">
        <v>11985</v>
      </c>
      <c r="O1386" s="1">
        <v>18104.5</v>
      </c>
      <c r="P1386" s="1">
        <v>30089.5</v>
      </c>
      <c r="Q1386" s="1">
        <v>2967.6</v>
      </c>
      <c r="R1386" s="1">
        <v>647.79999999999995</v>
      </c>
      <c r="S1386" s="1">
        <v>3615.4</v>
      </c>
      <c r="T1386" s="1">
        <v>20.46</v>
      </c>
      <c r="U1386" s="1">
        <v>0.01</v>
      </c>
      <c r="V1386" s="1">
        <v>635</v>
      </c>
      <c r="W1386" s="1">
        <v>3602.6</v>
      </c>
      <c r="X1386" s="1">
        <v>600.70000000000005</v>
      </c>
      <c r="Y1386" s="1">
        <v>240</v>
      </c>
      <c r="Z1386" s="1">
        <v>33692.1</v>
      </c>
      <c r="AA1386" s="1">
        <v>20.49</v>
      </c>
      <c r="AB1386" s="1">
        <v>800</v>
      </c>
    </row>
    <row r="1387" spans="1:28" x14ac:dyDescent="0.4">
      <c r="A1387" s="1" t="s">
        <v>187</v>
      </c>
      <c r="B1387" s="1">
        <v>800</v>
      </c>
      <c r="C1387" s="1">
        <v>0.2</v>
      </c>
      <c r="D1387" s="1">
        <v>0.5</v>
      </c>
      <c r="E1387" s="1">
        <v>500</v>
      </c>
      <c r="F1387" s="1">
        <v>2</v>
      </c>
      <c r="G1387" s="1">
        <v>1</v>
      </c>
      <c r="H1387" s="1" t="s">
        <v>592</v>
      </c>
      <c r="I1387" s="1">
        <v>58760.1</v>
      </c>
      <c r="J1387" s="1">
        <v>23869.599999999999</v>
      </c>
      <c r="K1387" s="1">
        <v>34890.5</v>
      </c>
      <c r="L1387" s="1">
        <v>240</v>
      </c>
      <c r="M1387" s="1">
        <v>600.26</v>
      </c>
      <c r="N1387" s="1">
        <v>17973.099999999999</v>
      </c>
      <c r="O1387" s="1">
        <v>25591.9</v>
      </c>
      <c r="P1387" s="1">
        <v>43565</v>
      </c>
      <c r="Q1387" s="1">
        <v>2647.9</v>
      </c>
      <c r="R1387" s="1">
        <v>597.4</v>
      </c>
      <c r="S1387" s="1">
        <v>3245.3</v>
      </c>
      <c r="T1387" s="1">
        <v>20.34</v>
      </c>
      <c r="U1387" s="1">
        <v>0.01</v>
      </c>
      <c r="V1387" s="1">
        <v>597.4</v>
      </c>
      <c r="W1387" s="1">
        <v>3245.3</v>
      </c>
      <c r="X1387" s="1">
        <v>600.27</v>
      </c>
      <c r="Y1387" s="1">
        <v>240</v>
      </c>
      <c r="Z1387" s="1">
        <v>46810.3</v>
      </c>
      <c r="AA1387" s="1">
        <v>20.34</v>
      </c>
      <c r="AB1387" s="1">
        <v>800</v>
      </c>
    </row>
    <row r="1388" spans="1:28" x14ac:dyDescent="0.4">
      <c r="A1388" s="1" t="s">
        <v>188</v>
      </c>
      <c r="B1388" s="1">
        <v>800</v>
      </c>
      <c r="C1388" s="1">
        <v>0.2</v>
      </c>
      <c r="D1388" s="1">
        <v>0.5</v>
      </c>
      <c r="E1388" s="1">
        <v>500</v>
      </c>
      <c r="F1388" s="1">
        <v>2</v>
      </c>
      <c r="G1388" s="1">
        <v>2</v>
      </c>
      <c r="H1388" s="1" t="s">
        <v>592</v>
      </c>
      <c r="I1388" s="1">
        <v>61570.7</v>
      </c>
      <c r="J1388" s="1">
        <v>26005.7</v>
      </c>
      <c r="K1388" s="1">
        <v>35565</v>
      </c>
      <c r="L1388" s="1">
        <v>240</v>
      </c>
      <c r="M1388" s="1">
        <v>600.34</v>
      </c>
      <c r="N1388" s="1">
        <v>18833</v>
      </c>
      <c r="O1388" s="1">
        <v>25930.1</v>
      </c>
      <c r="P1388" s="1">
        <v>44763.1</v>
      </c>
      <c r="Q1388" s="1">
        <v>2755</v>
      </c>
      <c r="R1388" s="1">
        <v>762.5</v>
      </c>
      <c r="S1388" s="1">
        <v>3517.5</v>
      </c>
      <c r="T1388" s="1">
        <v>21.59</v>
      </c>
      <c r="U1388" s="1">
        <v>0.01</v>
      </c>
      <c r="V1388" s="1">
        <v>762.5</v>
      </c>
      <c r="W1388" s="1">
        <v>3517.5</v>
      </c>
      <c r="X1388" s="1">
        <v>600.35</v>
      </c>
      <c r="Y1388" s="1">
        <v>240</v>
      </c>
      <c r="Z1388" s="1">
        <v>48280.6</v>
      </c>
      <c r="AA1388" s="1">
        <v>21.59</v>
      </c>
      <c r="AB1388" s="1">
        <v>800</v>
      </c>
    </row>
    <row r="1389" spans="1:28" x14ac:dyDescent="0.4">
      <c r="A1389" s="1" t="s">
        <v>189</v>
      </c>
      <c r="B1389" s="1">
        <v>800</v>
      </c>
      <c r="C1389" s="1">
        <v>0.2</v>
      </c>
      <c r="D1389" s="1">
        <v>0.5</v>
      </c>
      <c r="E1389" s="1">
        <v>500</v>
      </c>
      <c r="F1389" s="1">
        <v>2</v>
      </c>
      <c r="G1389" s="1">
        <v>3</v>
      </c>
      <c r="H1389" s="1" t="s">
        <v>592</v>
      </c>
      <c r="I1389" s="1">
        <v>63072.5</v>
      </c>
      <c r="J1389" s="1">
        <v>23232.1</v>
      </c>
      <c r="K1389" s="1">
        <v>39840.400000000001</v>
      </c>
      <c r="L1389" s="1">
        <v>240</v>
      </c>
      <c r="M1389" s="1">
        <v>600.28</v>
      </c>
      <c r="N1389" s="1">
        <v>17273.400000000001</v>
      </c>
      <c r="O1389" s="1">
        <v>29535.7</v>
      </c>
      <c r="P1389" s="1">
        <v>46809.1</v>
      </c>
      <c r="Q1389" s="1">
        <v>2757.1</v>
      </c>
      <c r="R1389" s="1">
        <v>758.4</v>
      </c>
      <c r="S1389" s="1">
        <v>3515.5</v>
      </c>
      <c r="T1389" s="1">
        <v>20.21</v>
      </c>
      <c r="U1389" s="1">
        <v>0.01</v>
      </c>
      <c r="V1389" s="1">
        <v>755.6</v>
      </c>
      <c r="W1389" s="1">
        <v>3512.7</v>
      </c>
      <c r="X1389" s="1">
        <v>600.29</v>
      </c>
      <c r="Y1389" s="1">
        <v>240</v>
      </c>
      <c r="Z1389" s="1">
        <v>50321.8</v>
      </c>
      <c r="AA1389" s="1">
        <v>20.22</v>
      </c>
      <c r="AB1389" s="1">
        <v>800</v>
      </c>
    </row>
    <row r="1390" spans="1:28" x14ac:dyDescent="0.4">
      <c r="A1390" s="1" t="s">
        <v>190</v>
      </c>
      <c r="B1390" s="1">
        <v>800</v>
      </c>
      <c r="C1390" s="1">
        <v>0.2</v>
      </c>
      <c r="D1390" s="1">
        <v>0.5</v>
      </c>
      <c r="E1390" s="1">
        <v>500</v>
      </c>
      <c r="F1390" s="1">
        <v>2</v>
      </c>
      <c r="G1390" s="1">
        <v>4</v>
      </c>
      <c r="H1390" s="1" t="s">
        <v>592</v>
      </c>
      <c r="I1390" s="1">
        <v>62339.8</v>
      </c>
      <c r="J1390" s="1">
        <v>25439</v>
      </c>
      <c r="K1390" s="1">
        <v>36900.800000000003</v>
      </c>
      <c r="L1390" s="1">
        <v>240</v>
      </c>
      <c r="M1390" s="1">
        <v>600.9</v>
      </c>
      <c r="N1390" s="1">
        <v>18666.7</v>
      </c>
      <c r="O1390" s="1">
        <v>27003.7</v>
      </c>
      <c r="P1390" s="1">
        <v>45670.400000000001</v>
      </c>
      <c r="Q1390" s="1">
        <v>2901.1</v>
      </c>
      <c r="R1390" s="1">
        <v>654.79999999999995</v>
      </c>
      <c r="S1390" s="1">
        <v>3555.9</v>
      </c>
      <c r="T1390" s="1">
        <v>21.04</v>
      </c>
      <c r="U1390" s="1">
        <v>0.01</v>
      </c>
      <c r="V1390" s="1">
        <v>654.79999999999995</v>
      </c>
      <c r="W1390" s="1">
        <v>3555.9</v>
      </c>
      <c r="X1390" s="1">
        <v>600.91</v>
      </c>
      <c r="Y1390" s="1">
        <v>240</v>
      </c>
      <c r="Z1390" s="1">
        <v>49226.3</v>
      </c>
      <c r="AA1390" s="1">
        <v>21.04</v>
      </c>
      <c r="AB1390" s="1">
        <v>800</v>
      </c>
    </row>
    <row r="1391" spans="1:28" x14ac:dyDescent="0.4">
      <c r="A1391" s="1" t="s">
        <v>191</v>
      </c>
      <c r="B1391" s="1">
        <v>800</v>
      </c>
      <c r="C1391" s="1">
        <v>0.2</v>
      </c>
      <c r="D1391" s="1">
        <v>0.5</v>
      </c>
      <c r="E1391" s="1">
        <v>500</v>
      </c>
      <c r="F1391" s="1">
        <v>2</v>
      </c>
      <c r="G1391" s="1">
        <v>5</v>
      </c>
      <c r="H1391" s="1" t="s">
        <v>592</v>
      </c>
      <c r="I1391" s="1">
        <v>64404.800000000003</v>
      </c>
      <c r="J1391" s="1">
        <v>25541.1</v>
      </c>
      <c r="K1391" s="1">
        <v>38863.699999999997</v>
      </c>
      <c r="L1391" s="1">
        <v>240</v>
      </c>
      <c r="M1391" s="1">
        <v>600.29</v>
      </c>
      <c r="N1391" s="1">
        <v>18567.3</v>
      </c>
      <c r="O1391" s="1">
        <v>28579</v>
      </c>
      <c r="P1391" s="1">
        <v>47146.3</v>
      </c>
      <c r="Q1391" s="1">
        <v>2803.3</v>
      </c>
      <c r="R1391" s="1">
        <v>719.6</v>
      </c>
      <c r="S1391" s="1">
        <v>3522.9</v>
      </c>
      <c r="T1391" s="1">
        <v>21.33</v>
      </c>
      <c r="U1391" s="1">
        <v>0.01</v>
      </c>
      <c r="V1391" s="1">
        <v>718.2</v>
      </c>
      <c r="W1391" s="1">
        <v>3521.5</v>
      </c>
      <c r="X1391" s="1">
        <v>600.29999999999995</v>
      </c>
      <c r="Y1391" s="1">
        <v>240</v>
      </c>
      <c r="Z1391" s="1">
        <v>50667.8</v>
      </c>
      <c r="AA1391" s="1">
        <v>21.33</v>
      </c>
      <c r="AB1391" s="1">
        <v>800</v>
      </c>
    </row>
    <row r="1392" spans="1:28" x14ac:dyDescent="0.4">
      <c r="A1392" s="1" t="s">
        <v>192</v>
      </c>
      <c r="B1392" s="1">
        <v>800</v>
      </c>
      <c r="C1392" s="1">
        <v>0.2</v>
      </c>
      <c r="D1392" s="1">
        <v>0.5</v>
      </c>
      <c r="E1392" s="1">
        <v>500</v>
      </c>
      <c r="F1392" s="1">
        <v>3</v>
      </c>
      <c r="G1392" s="1">
        <v>1</v>
      </c>
      <c r="H1392" s="1" t="s">
        <v>592</v>
      </c>
      <c r="I1392" s="1">
        <v>79313.899999999994</v>
      </c>
      <c r="J1392" s="1">
        <v>31214.7</v>
      </c>
      <c r="K1392" s="1">
        <v>48099.199999999997</v>
      </c>
      <c r="L1392" s="1">
        <v>240</v>
      </c>
      <c r="M1392" s="1">
        <v>600.07000000000005</v>
      </c>
      <c r="N1392" s="1">
        <v>23081.599999999999</v>
      </c>
      <c r="O1392" s="1">
        <v>34978</v>
      </c>
      <c r="P1392" s="1">
        <v>58059.6</v>
      </c>
      <c r="Q1392" s="1">
        <v>2846.4</v>
      </c>
      <c r="R1392" s="1">
        <v>897.7</v>
      </c>
      <c r="S1392" s="1">
        <v>3744.1</v>
      </c>
      <c r="T1392" s="1">
        <v>22.08</v>
      </c>
      <c r="U1392" s="1">
        <v>0.02</v>
      </c>
      <c r="V1392" s="1">
        <v>896.3</v>
      </c>
      <c r="W1392" s="1">
        <v>3742.7</v>
      </c>
      <c r="X1392" s="1">
        <v>600.09</v>
      </c>
      <c r="Y1392" s="1">
        <v>240</v>
      </c>
      <c r="Z1392" s="1">
        <v>61802.3</v>
      </c>
      <c r="AA1392" s="1">
        <v>22.08</v>
      </c>
      <c r="AB1392" s="1">
        <v>800</v>
      </c>
    </row>
    <row r="1393" spans="1:28" x14ac:dyDescent="0.4">
      <c r="A1393" s="1" t="s">
        <v>193</v>
      </c>
      <c r="B1393" s="1">
        <v>800</v>
      </c>
      <c r="C1393" s="1">
        <v>0.2</v>
      </c>
      <c r="D1393" s="1">
        <v>0.5</v>
      </c>
      <c r="E1393" s="1">
        <v>500</v>
      </c>
      <c r="F1393" s="1">
        <v>3</v>
      </c>
      <c r="G1393" s="1">
        <v>2</v>
      </c>
      <c r="H1393" s="1" t="s">
        <v>592</v>
      </c>
      <c r="I1393" s="1">
        <v>79561.8</v>
      </c>
      <c r="J1393" s="1">
        <v>30927.7</v>
      </c>
      <c r="K1393" s="1">
        <v>48634.1</v>
      </c>
      <c r="L1393" s="1">
        <v>240</v>
      </c>
      <c r="M1393" s="1">
        <v>600</v>
      </c>
      <c r="N1393" s="1">
        <v>22960.6</v>
      </c>
      <c r="O1393" s="1">
        <v>35989.9</v>
      </c>
      <c r="P1393" s="1">
        <v>58950.5</v>
      </c>
      <c r="Q1393" s="1">
        <v>2868.6</v>
      </c>
      <c r="R1393" s="1">
        <v>723.8</v>
      </c>
      <c r="S1393" s="1">
        <v>3592.4</v>
      </c>
      <c r="T1393" s="1">
        <v>21.39</v>
      </c>
      <c r="U1393" s="1">
        <v>0.01</v>
      </c>
      <c r="V1393" s="1">
        <v>721</v>
      </c>
      <c r="W1393" s="1">
        <v>3589.6</v>
      </c>
      <c r="X1393" s="1">
        <v>600.02</v>
      </c>
      <c r="Y1393" s="1">
        <v>240</v>
      </c>
      <c r="Z1393" s="1">
        <v>62540.1</v>
      </c>
      <c r="AA1393" s="1">
        <v>21.39</v>
      </c>
      <c r="AB1393" s="1">
        <v>800</v>
      </c>
    </row>
    <row r="1394" spans="1:28" x14ac:dyDescent="0.4">
      <c r="A1394" s="1" t="s">
        <v>194</v>
      </c>
      <c r="B1394" s="1">
        <v>800</v>
      </c>
      <c r="C1394" s="1">
        <v>0.2</v>
      </c>
      <c r="D1394" s="1">
        <v>0.5</v>
      </c>
      <c r="E1394" s="1">
        <v>500</v>
      </c>
      <c r="F1394" s="1">
        <v>3</v>
      </c>
      <c r="G1394" s="1">
        <v>3</v>
      </c>
      <c r="H1394" s="1" t="s">
        <v>592</v>
      </c>
      <c r="I1394" s="1">
        <v>73403.7</v>
      </c>
      <c r="J1394" s="1">
        <v>31356.799999999999</v>
      </c>
      <c r="K1394" s="1">
        <v>42046.9</v>
      </c>
      <c r="L1394" s="1">
        <v>240</v>
      </c>
      <c r="M1394" s="1">
        <v>600.76</v>
      </c>
      <c r="N1394" s="1">
        <v>22529.9</v>
      </c>
      <c r="O1394" s="1">
        <v>30608.400000000001</v>
      </c>
      <c r="P1394" s="1">
        <v>53138.3</v>
      </c>
      <c r="Q1394" s="1">
        <v>2786</v>
      </c>
      <c r="R1394" s="1">
        <v>639.79999999999995</v>
      </c>
      <c r="S1394" s="1">
        <v>3425.8</v>
      </c>
      <c r="T1394" s="1">
        <v>22.94</v>
      </c>
      <c r="U1394" s="1">
        <v>0.01</v>
      </c>
      <c r="V1394" s="1">
        <v>639.79999999999995</v>
      </c>
      <c r="W1394" s="1">
        <v>3425.8</v>
      </c>
      <c r="X1394" s="1">
        <v>600.77</v>
      </c>
      <c r="Y1394" s="1">
        <v>240</v>
      </c>
      <c r="Z1394" s="1">
        <v>56564.1</v>
      </c>
      <c r="AA1394" s="1">
        <v>22.94</v>
      </c>
      <c r="AB1394" s="1">
        <v>800</v>
      </c>
    </row>
    <row r="1395" spans="1:28" x14ac:dyDescent="0.4">
      <c r="A1395" s="1" t="s">
        <v>195</v>
      </c>
      <c r="B1395" s="1">
        <v>800</v>
      </c>
      <c r="C1395" s="1">
        <v>0.2</v>
      </c>
      <c r="D1395" s="1">
        <v>0.5</v>
      </c>
      <c r="E1395" s="1">
        <v>500</v>
      </c>
      <c r="F1395" s="1">
        <v>3</v>
      </c>
      <c r="G1395" s="1">
        <v>4</v>
      </c>
      <c r="H1395" s="1" t="s">
        <v>592</v>
      </c>
      <c r="I1395" s="1">
        <v>79997</v>
      </c>
      <c r="J1395" s="1">
        <v>32625.7</v>
      </c>
      <c r="K1395" s="1">
        <v>47371.3</v>
      </c>
      <c r="L1395" s="1">
        <v>240</v>
      </c>
      <c r="M1395" s="1">
        <v>600.73</v>
      </c>
      <c r="N1395" s="1">
        <v>23611.599999999999</v>
      </c>
      <c r="O1395" s="1">
        <v>33905</v>
      </c>
      <c r="P1395" s="1">
        <v>57516.6</v>
      </c>
      <c r="Q1395" s="1">
        <v>2905.4</v>
      </c>
      <c r="R1395" s="1">
        <v>722.3</v>
      </c>
      <c r="S1395" s="1">
        <v>3627.7</v>
      </c>
      <c r="T1395" s="1">
        <v>23.57</v>
      </c>
      <c r="U1395" s="1">
        <v>0.01</v>
      </c>
      <c r="V1395" s="1">
        <v>705.4</v>
      </c>
      <c r="W1395" s="1">
        <v>3610.8</v>
      </c>
      <c r="X1395" s="1">
        <v>600.74</v>
      </c>
      <c r="Y1395" s="1">
        <v>240</v>
      </c>
      <c r="Z1395" s="1">
        <v>61127.4</v>
      </c>
      <c r="AA1395" s="1">
        <v>23.59</v>
      </c>
      <c r="AB1395" s="1">
        <v>800</v>
      </c>
    </row>
    <row r="1396" spans="1:28" x14ac:dyDescent="0.4">
      <c r="A1396" s="1" t="s">
        <v>196</v>
      </c>
      <c r="B1396" s="1">
        <v>800</v>
      </c>
      <c r="C1396" s="1">
        <v>0.2</v>
      </c>
      <c r="D1396" s="1">
        <v>0.5</v>
      </c>
      <c r="E1396" s="1">
        <v>500</v>
      </c>
      <c r="F1396" s="1">
        <v>3</v>
      </c>
      <c r="G1396" s="1">
        <v>5</v>
      </c>
      <c r="H1396" s="1" t="s">
        <v>592</v>
      </c>
      <c r="I1396" s="1">
        <v>79466.7</v>
      </c>
      <c r="J1396" s="1">
        <v>34632.300000000003</v>
      </c>
      <c r="K1396" s="1">
        <v>44834.400000000001</v>
      </c>
      <c r="L1396" s="1">
        <v>240</v>
      </c>
      <c r="M1396" s="1">
        <v>600.64</v>
      </c>
      <c r="N1396" s="1">
        <v>25191.200000000001</v>
      </c>
      <c r="O1396" s="1">
        <v>33158.199999999997</v>
      </c>
      <c r="P1396" s="1">
        <v>58349.4</v>
      </c>
      <c r="Q1396" s="1">
        <v>2802.9</v>
      </c>
      <c r="R1396" s="1">
        <v>779.6</v>
      </c>
      <c r="S1396" s="1">
        <v>3582.5</v>
      </c>
      <c r="T1396" s="1">
        <v>22.07</v>
      </c>
      <c r="U1396" s="1">
        <v>0.02</v>
      </c>
      <c r="V1396" s="1">
        <v>769.1</v>
      </c>
      <c r="W1396" s="1">
        <v>3572</v>
      </c>
      <c r="X1396" s="1">
        <v>600.65</v>
      </c>
      <c r="Y1396" s="1">
        <v>240</v>
      </c>
      <c r="Z1396" s="1">
        <v>61921.4</v>
      </c>
      <c r="AA1396" s="1">
        <v>22.08</v>
      </c>
      <c r="AB1396" s="1">
        <v>800</v>
      </c>
    </row>
    <row r="1397" spans="1:28" x14ac:dyDescent="0.4">
      <c r="A1397" s="1" t="s">
        <v>197</v>
      </c>
      <c r="B1397" s="1">
        <v>800</v>
      </c>
      <c r="C1397" s="1">
        <v>0.3</v>
      </c>
      <c r="D1397" s="1">
        <v>0.5</v>
      </c>
      <c r="E1397" s="1">
        <v>1000</v>
      </c>
      <c r="F1397" s="1">
        <v>1</v>
      </c>
      <c r="G1397" s="1">
        <v>1</v>
      </c>
      <c r="H1397" s="1" t="s">
        <v>592</v>
      </c>
      <c r="I1397" s="1">
        <v>84653.3</v>
      </c>
      <c r="J1397" s="1">
        <v>35326.1</v>
      </c>
      <c r="K1397" s="1">
        <v>49327.199999999997</v>
      </c>
      <c r="L1397" s="1">
        <v>240</v>
      </c>
      <c r="M1397" s="1">
        <v>600</v>
      </c>
      <c r="N1397" s="1">
        <v>24083.8</v>
      </c>
      <c r="O1397" s="1">
        <v>34980.699999999997</v>
      </c>
      <c r="P1397" s="1">
        <v>59064.5</v>
      </c>
      <c r="Q1397" s="1">
        <v>3321.2</v>
      </c>
      <c r="R1397" s="1">
        <v>1199.2</v>
      </c>
      <c r="S1397" s="1">
        <v>4520.3999999999996</v>
      </c>
      <c r="T1397" s="1">
        <v>24.89</v>
      </c>
      <c r="U1397" s="1">
        <v>0.03</v>
      </c>
      <c r="V1397" s="1">
        <v>1199.2</v>
      </c>
      <c r="W1397" s="1">
        <v>4520.3999999999996</v>
      </c>
      <c r="X1397" s="1">
        <v>600.03</v>
      </c>
      <c r="Y1397" s="1">
        <v>240</v>
      </c>
      <c r="Z1397" s="1">
        <v>63584.9</v>
      </c>
      <c r="AA1397" s="1">
        <v>24.89</v>
      </c>
      <c r="AB1397" s="1">
        <v>800</v>
      </c>
    </row>
    <row r="1398" spans="1:28" x14ac:dyDescent="0.4">
      <c r="A1398" s="1" t="s">
        <v>198</v>
      </c>
      <c r="B1398" s="1">
        <v>800</v>
      </c>
      <c r="C1398" s="1">
        <v>0.3</v>
      </c>
      <c r="D1398" s="1">
        <v>0.5</v>
      </c>
      <c r="E1398" s="1">
        <v>1000</v>
      </c>
      <c r="F1398" s="1">
        <v>1</v>
      </c>
      <c r="G1398" s="1">
        <v>2</v>
      </c>
      <c r="H1398" s="1" t="s">
        <v>592</v>
      </c>
      <c r="I1398" s="1">
        <v>82666.2</v>
      </c>
      <c r="J1398" s="1">
        <v>34357</v>
      </c>
      <c r="K1398" s="1">
        <v>48309.2</v>
      </c>
      <c r="L1398" s="1">
        <v>240</v>
      </c>
      <c r="M1398" s="1">
        <v>600.24</v>
      </c>
      <c r="N1398" s="1">
        <v>23449.4</v>
      </c>
      <c r="O1398" s="1">
        <v>33925</v>
      </c>
      <c r="P1398" s="1">
        <v>57374.400000000001</v>
      </c>
      <c r="Q1398" s="1">
        <v>3162.3</v>
      </c>
      <c r="R1398" s="1">
        <v>1128.5999999999999</v>
      </c>
      <c r="S1398" s="1">
        <v>4290.8999999999996</v>
      </c>
      <c r="T1398" s="1">
        <v>25.4</v>
      </c>
      <c r="U1398" s="1">
        <v>0.02</v>
      </c>
      <c r="V1398" s="1">
        <v>1128.5999999999999</v>
      </c>
      <c r="W1398" s="1">
        <v>4290.8999999999996</v>
      </c>
      <c r="X1398" s="1">
        <v>600.25</v>
      </c>
      <c r="Y1398" s="1">
        <v>240</v>
      </c>
      <c r="Z1398" s="1">
        <v>61665.3</v>
      </c>
      <c r="AA1398" s="1">
        <v>25.4</v>
      </c>
      <c r="AB1398" s="1">
        <v>800</v>
      </c>
    </row>
    <row r="1399" spans="1:28" x14ac:dyDescent="0.4">
      <c r="A1399" s="1" t="s">
        <v>199</v>
      </c>
      <c r="B1399" s="1">
        <v>800</v>
      </c>
      <c r="C1399" s="1">
        <v>0.3</v>
      </c>
      <c r="D1399" s="1">
        <v>0.5</v>
      </c>
      <c r="E1399" s="1">
        <v>1000</v>
      </c>
      <c r="F1399" s="1">
        <v>1</v>
      </c>
      <c r="G1399" s="1">
        <v>3</v>
      </c>
      <c r="H1399" s="1" t="s">
        <v>592</v>
      </c>
      <c r="I1399" s="1">
        <v>85677.4</v>
      </c>
      <c r="J1399" s="1">
        <v>34507</v>
      </c>
      <c r="K1399" s="1">
        <v>51170.400000000001</v>
      </c>
      <c r="L1399" s="1">
        <v>240</v>
      </c>
      <c r="M1399" s="1">
        <v>600.04</v>
      </c>
      <c r="N1399" s="1">
        <v>23758.1</v>
      </c>
      <c r="O1399" s="1">
        <v>35663.4</v>
      </c>
      <c r="P1399" s="1">
        <v>59421.5</v>
      </c>
      <c r="Q1399" s="1">
        <v>3192.7</v>
      </c>
      <c r="R1399" s="1">
        <v>1072.8</v>
      </c>
      <c r="S1399" s="1">
        <v>4265.5</v>
      </c>
      <c r="T1399" s="1">
        <v>25.67</v>
      </c>
      <c r="U1399" s="1">
        <v>0.02</v>
      </c>
      <c r="V1399" s="1">
        <v>1072.8</v>
      </c>
      <c r="W1399" s="1">
        <v>4265.5</v>
      </c>
      <c r="X1399" s="1">
        <v>600.05999999999995</v>
      </c>
      <c r="Y1399" s="1">
        <v>240</v>
      </c>
      <c r="Z1399" s="1">
        <v>63687</v>
      </c>
      <c r="AA1399" s="1">
        <v>25.67</v>
      </c>
      <c r="AB1399" s="1">
        <v>800</v>
      </c>
    </row>
    <row r="1400" spans="1:28" x14ac:dyDescent="0.4">
      <c r="A1400" s="1" t="s">
        <v>200</v>
      </c>
      <c r="B1400" s="1">
        <v>800</v>
      </c>
      <c r="C1400" s="1">
        <v>0.3</v>
      </c>
      <c r="D1400" s="1">
        <v>0.5</v>
      </c>
      <c r="E1400" s="1">
        <v>1000</v>
      </c>
      <c r="F1400" s="1">
        <v>1</v>
      </c>
      <c r="G1400" s="1">
        <v>4</v>
      </c>
      <c r="H1400" s="1" t="s">
        <v>592</v>
      </c>
      <c r="I1400" s="1">
        <v>83697.600000000006</v>
      </c>
      <c r="J1400" s="1">
        <v>35227.4</v>
      </c>
      <c r="K1400" s="1">
        <v>48470.2</v>
      </c>
      <c r="L1400" s="1">
        <v>240</v>
      </c>
      <c r="M1400" s="1">
        <v>600.13</v>
      </c>
      <c r="N1400" s="1">
        <v>24667.200000000001</v>
      </c>
      <c r="O1400" s="1">
        <v>34601.1</v>
      </c>
      <c r="P1400" s="1">
        <v>59268.3</v>
      </c>
      <c r="Q1400" s="1">
        <v>3373.8</v>
      </c>
      <c r="R1400" s="1">
        <v>1232.5999999999999</v>
      </c>
      <c r="S1400" s="1">
        <v>4606.3999999999996</v>
      </c>
      <c r="T1400" s="1">
        <v>23.68</v>
      </c>
      <c r="U1400" s="1">
        <v>0.02</v>
      </c>
      <c r="V1400" s="1">
        <v>1232.5999999999999</v>
      </c>
      <c r="W1400" s="1">
        <v>4606.3999999999996</v>
      </c>
      <c r="X1400" s="1">
        <v>600.14</v>
      </c>
      <c r="Y1400" s="1">
        <v>240</v>
      </c>
      <c r="Z1400" s="1">
        <v>63874.7</v>
      </c>
      <c r="AA1400" s="1">
        <v>23.68</v>
      </c>
      <c r="AB1400" s="1">
        <v>800</v>
      </c>
    </row>
    <row r="1401" spans="1:28" x14ac:dyDescent="0.4">
      <c r="A1401" s="1" t="s">
        <v>201</v>
      </c>
      <c r="B1401" s="1">
        <v>800</v>
      </c>
      <c r="C1401" s="1">
        <v>0.3</v>
      </c>
      <c r="D1401" s="1">
        <v>0.5</v>
      </c>
      <c r="E1401" s="1">
        <v>1000</v>
      </c>
      <c r="F1401" s="1">
        <v>1</v>
      </c>
      <c r="G1401" s="1">
        <v>5</v>
      </c>
      <c r="H1401" s="1" t="s">
        <v>592</v>
      </c>
      <c r="I1401" s="1">
        <v>84517.4</v>
      </c>
      <c r="J1401" s="1">
        <v>33762.1</v>
      </c>
      <c r="K1401" s="1">
        <v>50755.3</v>
      </c>
      <c r="L1401" s="1">
        <v>240</v>
      </c>
      <c r="M1401" s="1">
        <v>600.21</v>
      </c>
      <c r="N1401" s="1">
        <v>23776.1</v>
      </c>
      <c r="O1401" s="1">
        <v>35824.400000000001</v>
      </c>
      <c r="P1401" s="1">
        <v>59600.5</v>
      </c>
      <c r="Q1401" s="1">
        <v>3022.6</v>
      </c>
      <c r="R1401" s="1">
        <v>1210.5</v>
      </c>
      <c r="S1401" s="1">
        <v>4233.1000000000004</v>
      </c>
      <c r="T1401" s="1">
        <v>24.47</v>
      </c>
      <c r="U1401" s="1">
        <v>0.03</v>
      </c>
      <c r="V1401" s="1">
        <v>1210.5</v>
      </c>
      <c r="W1401" s="1">
        <v>4233.1000000000004</v>
      </c>
      <c r="X1401" s="1">
        <v>600.25</v>
      </c>
      <c r="Y1401" s="1">
        <v>240</v>
      </c>
      <c r="Z1401" s="1">
        <v>63833.599999999999</v>
      </c>
      <c r="AA1401" s="1">
        <v>24.47</v>
      </c>
      <c r="AB1401" s="1">
        <v>800</v>
      </c>
    </row>
    <row r="1402" spans="1:28" x14ac:dyDescent="0.4">
      <c r="A1402" s="1" t="s">
        <v>202</v>
      </c>
      <c r="B1402" s="1">
        <v>800</v>
      </c>
      <c r="C1402" s="1">
        <v>0.3</v>
      </c>
      <c r="D1402" s="1">
        <v>0.5</v>
      </c>
      <c r="E1402" s="1">
        <v>1000</v>
      </c>
      <c r="F1402" s="1">
        <v>2</v>
      </c>
      <c r="G1402" s="1">
        <v>1</v>
      </c>
      <c r="H1402" s="1" t="s">
        <v>592</v>
      </c>
      <c r="I1402" s="1">
        <v>123870.9</v>
      </c>
      <c r="J1402" s="1">
        <v>51589.4</v>
      </c>
      <c r="K1402" s="1">
        <v>72281.5</v>
      </c>
      <c r="L1402" s="1">
        <v>240</v>
      </c>
      <c r="M1402" s="1">
        <v>600.96</v>
      </c>
      <c r="N1402" s="1">
        <v>35625.300000000003</v>
      </c>
      <c r="O1402" s="1">
        <v>50220.800000000003</v>
      </c>
      <c r="P1402" s="1">
        <v>85846.1</v>
      </c>
      <c r="Q1402" s="1">
        <v>2965.2</v>
      </c>
      <c r="R1402" s="1">
        <v>1047.0999999999999</v>
      </c>
      <c r="S1402" s="1">
        <v>4012.3</v>
      </c>
      <c r="T1402" s="1">
        <v>27.46</v>
      </c>
      <c r="U1402" s="1">
        <v>0.03</v>
      </c>
      <c r="V1402" s="1">
        <v>1047.0999999999999</v>
      </c>
      <c r="W1402" s="1">
        <v>4012.3</v>
      </c>
      <c r="X1402" s="1">
        <v>600.99</v>
      </c>
      <c r="Y1402" s="1">
        <v>240</v>
      </c>
      <c r="Z1402" s="1">
        <v>89858.4</v>
      </c>
      <c r="AA1402" s="1">
        <v>27.46</v>
      </c>
      <c r="AB1402" s="1">
        <v>800</v>
      </c>
    </row>
    <row r="1403" spans="1:28" x14ac:dyDescent="0.4">
      <c r="A1403" s="1" t="s">
        <v>203</v>
      </c>
      <c r="B1403" s="1">
        <v>800</v>
      </c>
      <c r="C1403" s="1">
        <v>0.3</v>
      </c>
      <c r="D1403" s="1">
        <v>0.5</v>
      </c>
      <c r="E1403" s="1">
        <v>1000</v>
      </c>
      <c r="F1403" s="1">
        <v>2</v>
      </c>
      <c r="G1403" s="1">
        <v>2</v>
      </c>
      <c r="H1403" s="1" t="s">
        <v>592</v>
      </c>
      <c r="I1403" s="1">
        <v>123697.2</v>
      </c>
      <c r="J1403" s="1">
        <v>50663.4</v>
      </c>
      <c r="K1403" s="1">
        <v>73033.8</v>
      </c>
      <c r="L1403" s="1">
        <v>240</v>
      </c>
      <c r="M1403" s="1">
        <v>600.38</v>
      </c>
      <c r="N1403" s="1">
        <v>36555.1</v>
      </c>
      <c r="O1403" s="1">
        <v>51553.9</v>
      </c>
      <c r="P1403" s="1">
        <v>88109</v>
      </c>
      <c r="Q1403" s="1">
        <v>2914.1</v>
      </c>
      <c r="R1403" s="1">
        <v>1063.2</v>
      </c>
      <c r="S1403" s="1">
        <v>3977.3</v>
      </c>
      <c r="T1403" s="1">
        <v>25.56</v>
      </c>
      <c r="U1403" s="1">
        <v>0.02</v>
      </c>
      <c r="V1403" s="1">
        <v>1063.2</v>
      </c>
      <c r="W1403" s="1">
        <v>3977.3</v>
      </c>
      <c r="X1403" s="1">
        <v>600.41</v>
      </c>
      <c r="Y1403" s="1">
        <v>240</v>
      </c>
      <c r="Z1403" s="1">
        <v>92086.3</v>
      </c>
      <c r="AA1403" s="1">
        <v>25.56</v>
      </c>
      <c r="AB1403" s="1">
        <v>800</v>
      </c>
    </row>
    <row r="1404" spans="1:28" x14ac:dyDescent="0.4">
      <c r="A1404" s="1" t="s">
        <v>204</v>
      </c>
      <c r="B1404" s="1">
        <v>800</v>
      </c>
      <c r="C1404" s="1">
        <v>0.3</v>
      </c>
      <c r="D1404" s="1">
        <v>0.5</v>
      </c>
      <c r="E1404" s="1">
        <v>1000</v>
      </c>
      <c r="F1404" s="1">
        <v>2</v>
      </c>
      <c r="G1404" s="1">
        <v>3</v>
      </c>
      <c r="H1404" s="1" t="s">
        <v>592</v>
      </c>
      <c r="I1404" s="1">
        <v>126029.9</v>
      </c>
      <c r="J1404" s="1">
        <v>50118.3</v>
      </c>
      <c r="K1404" s="1">
        <v>75911.600000000006</v>
      </c>
      <c r="L1404" s="1">
        <v>240</v>
      </c>
      <c r="M1404" s="1">
        <v>600.63</v>
      </c>
      <c r="N1404" s="1">
        <v>36019</v>
      </c>
      <c r="O1404" s="1">
        <v>53890</v>
      </c>
      <c r="P1404" s="1">
        <v>89909</v>
      </c>
      <c r="Q1404" s="1">
        <v>3067.2</v>
      </c>
      <c r="R1404" s="1">
        <v>1236.4000000000001</v>
      </c>
      <c r="S1404" s="1">
        <v>4303.6000000000004</v>
      </c>
      <c r="T1404" s="1">
        <v>25.25</v>
      </c>
      <c r="U1404" s="1">
        <v>0.04</v>
      </c>
      <c r="V1404" s="1">
        <v>1234.2</v>
      </c>
      <c r="W1404" s="1">
        <v>4301.3999999999996</v>
      </c>
      <c r="X1404" s="1">
        <v>600.66999999999996</v>
      </c>
      <c r="Y1404" s="1">
        <v>240</v>
      </c>
      <c r="Z1404" s="1">
        <v>94210.4</v>
      </c>
      <c r="AA1404" s="1">
        <v>25.25</v>
      </c>
      <c r="AB1404" s="1">
        <v>800</v>
      </c>
    </row>
    <row r="1405" spans="1:28" x14ac:dyDescent="0.4">
      <c r="A1405" s="1" t="s">
        <v>205</v>
      </c>
      <c r="B1405" s="1">
        <v>800</v>
      </c>
      <c r="C1405" s="1">
        <v>0.3</v>
      </c>
      <c r="D1405" s="1">
        <v>0.5</v>
      </c>
      <c r="E1405" s="1">
        <v>1000</v>
      </c>
      <c r="F1405" s="1">
        <v>2</v>
      </c>
      <c r="G1405" s="1">
        <v>4</v>
      </c>
      <c r="H1405" s="1" t="s">
        <v>592</v>
      </c>
      <c r="I1405" s="1">
        <v>124838.2</v>
      </c>
      <c r="J1405" s="1">
        <v>49077.599999999999</v>
      </c>
      <c r="K1405" s="1">
        <v>75760.600000000006</v>
      </c>
      <c r="L1405" s="1">
        <v>240</v>
      </c>
      <c r="M1405" s="1">
        <v>600.84</v>
      </c>
      <c r="N1405" s="1">
        <v>34282</v>
      </c>
      <c r="O1405" s="1">
        <v>53188.7</v>
      </c>
      <c r="P1405" s="1">
        <v>87470.7</v>
      </c>
      <c r="Q1405" s="1">
        <v>3110.5</v>
      </c>
      <c r="R1405" s="1">
        <v>1167.7</v>
      </c>
      <c r="S1405" s="1">
        <v>4278.2</v>
      </c>
      <c r="T1405" s="1">
        <v>26.51</v>
      </c>
      <c r="U1405" s="1">
        <v>0.04</v>
      </c>
      <c r="V1405" s="1">
        <v>1167.7</v>
      </c>
      <c r="W1405" s="1">
        <v>4278.2</v>
      </c>
      <c r="X1405" s="1">
        <v>600.88</v>
      </c>
      <c r="Y1405" s="1">
        <v>240</v>
      </c>
      <c r="Z1405" s="1">
        <v>91748.9</v>
      </c>
      <c r="AA1405" s="1">
        <v>26.51</v>
      </c>
      <c r="AB1405" s="1">
        <v>800</v>
      </c>
    </row>
    <row r="1406" spans="1:28" x14ac:dyDescent="0.4">
      <c r="A1406" s="1" t="s">
        <v>206</v>
      </c>
      <c r="B1406" s="1">
        <v>800</v>
      </c>
      <c r="C1406" s="1">
        <v>0.3</v>
      </c>
      <c r="D1406" s="1">
        <v>0.5</v>
      </c>
      <c r="E1406" s="1">
        <v>1000</v>
      </c>
      <c r="F1406" s="1">
        <v>2</v>
      </c>
      <c r="G1406" s="1">
        <v>5</v>
      </c>
      <c r="H1406" s="1" t="s">
        <v>592</v>
      </c>
      <c r="I1406" s="1">
        <v>130583.5</v>
      </c>
      <c r="J1406" s="1">
        <v>53589.9</v>
      </c>
      <c r="K1406" s="1">
        <v>76993.600000000006</v>
      </c>
      <c r="L1406" s="1">
        <v>240</v>
      </c>
      <c r="M1406" s="1">
        <v>600.91999999999996</v>
      </c>
      <c r="N1406" s="1">
        <v>37563.1</v>
      </c>
      <c r="O1406" s="1">
        <v>53769</v>
      </c>
      <c r="P1406" s="1">
        <v>91332.1</v>
      </c>
      <c r="Q1406" s="1">
        <v>3162.8</v>
      </c>
      <c r="R1406" s="1">
        <v>1105.5999999999999</v>
      </c>
      <c r="S1406" s="1">
        <v>4268.3999999999996</v>
      </c>
      <c r="T1406" s="1">
        <v>26.79</v>
      </c>
      <c r="U1406" s="1">
        <v>0.04</v>
      </c>
      <c r="V1406" s="1">
        <v>1105.5999999999999</v>
      </c>
      <c r="W1406" s="1">
        <v>4268.3999999999996</v>
      </c>
      <c r="X1406" s="1">
        <v>600.96</v>
      </c>
      <c r="Y1406" s="1">
        <v>240</v>
      </c>
      <c r="Z1406" s="1">
        <v>95600.5</v>
      </c>
      <c r="AA1406" s="1">
        <v>26.79</v>
      </c>
      <c r="AB1406" s="1">
        <v>800</v>
      </c>
    </row>
    <row r="1407" spans="1:28" x14ac:dyDescent="0.4">
      <c r="A1407" s="1" t="s">
        <v>207</v>
      </c>
      <c r="B1407" s="1">
        <v>800</v>
      </c>
      <c r="C1407" s="1">
        <v>0.3</v>
      </c>
      <c r="D1407" s="1">
        <v>0.5</v>
      </c>
      <c r="E1407" s="1">
        <v>1000</v>
      </c>
      <c r="F1407" s="1">
        <v>3</v>
      </c>
      <c r="G1407" s="1">
        <v>1</v>
      </c>
      <c r="H1407" s="1" t="s">
        <v>592</v>
      </c>
      <c r="I1407" s="1">
        <v>165838</v>
      </c>
      <c r="J1407" s="1">
        <v>67188.399999999994</v>
      </c>
      <c r="K1407" s="1">
        <v>98649.600000000006</v>
      </c>
      <c r="L1407" s="1">
        <v>240</v>
      </c>
      <c r="M1407" s="1">
        <v>600.83000000000004</v>
      </c>
      <c r="N1407" s="1">
        <v>49409.5</v>
      </c>
      <c r="O1407" s="1">
        <v>69247.399999999994</v>
      </c>
      <c r="P1407" s="1">
        <v>118656.9</v>
      </c>
      <c r="Q1407" s="1">
        <v>3241.8</v>
      </c>
      <c r="R1407" s="1">
        <v>1395.4</v>
      </c>
      <c r="S1407" s="1">
        <v>4637.2</v>
      </c>
      <c r="T1407" s="1">
        <v>25.65</v>
      </c>
      <c r="U1407" s="1">
        <v>0.03</v>
      </c>
      <c r="V1407" s="1">
        <v>1395.4</v>
      </c>
      <c r="W1407" s="1">
        <v>4637.2</v>
      </c>
      <c r="X1407" s="1">
        <v>600.86</v>
      </c>
      <c r="Y1407" s="1">
        <v>240</v>
      </c>
      <c r="Z1407" s="1">
        <v>123294.1</v>
      </c>
      <c r="AA1407" s="1">
        <v>25.65</v>
      </c>
      <c r="AB1407" s="1">
        <v>800</v>
      </c>
    </row>
    <row r="1408" spans="1:28" x14ac:dyDescent="0.4">
      <c r="A1408" s="1" t="s">
        <v>208</v>
      </c>
      <c r="B1408" s="1">
        <v>800</v>
      </c>
      <c r="C1408" s="1">
        <v>0.3</v>
      </c>
      <c r="D1408" s="1">
        <v>0.5</v>
      </c>
      <c r="E1408" s="1">
        <v>1000</v>
      </c>
      <c r="F1408" s="1">
        <v>3</v>
      </c>
      <c r="G1408" s="1">
        <v>2</v>
      </c>
      <c r="H1408" s="1" t="s">
        <v>592</v>
      </c>
      <c r="I1408" s="1">
        <v>157725.29999999999</v>
      </c>
      <c r="J1408" s="1">
        <v>62671.7</v>
      </c>
      <c r="K1408" s="1">
        <v>95053.6</v>
      </c>
      <c r="L1408" s="1">
        <v>240</v>
      </c>
      <c r="M1408" s="1">
        <v>600.01</v>
      </c>
      <c r="N1408" s="1">
        <v>44863.7</v>
      </c>
      <c r="O1408" s="1">
        <v>68531.899999999994</v>
      </c>
      <c r="P1408" s="1">
        <v>113395.6</v>
      </c>
      <c r="Q1408" s="1">
        <v>3125.4</v>
      </c>
      <c r="R1408" s="1">
        <v>980.5</v>
      </c>
      <c r="S1408" s="1">
        <v>4105.8999999999996</v>
      </c>
      <c r="T1408" s="1">
        <v>25.5</v>
      </c>
      <c r="U1408" s="1">
        <v>0.02</v>
      </c>
      <c r="V1408" s="1">
        <v>980.5</v>
      </c>
      <c r="W1408" s="1">
        <v>4105.8999999999996</v>
      </c>
      <c r="X1408" s="1">
        <v>600.03</v>
      </c>
      <c r="Y1408" s="1">
        <v>240</v>
      </c>
      <c r="Z1408" s="1">
        <v>117501.5</v>
      </c>
      <c r="AA1408" s="1">
        <v>25.5</v>
      </c>
      <c r="AB1408" s="1">
        <v>800</v>
      </c>
    </row>
    <row r="1409" spans="1:28" x14ac:dyDescent="0.4">
      <c r="A1409" s="1" t="s">
        <v>209</v>
      </c>
      <c r="B1409" s="1">
        <v>800</v>
      </c>
      <c r="C1409" s="1">
        <v>0.3</v>
      </c>
      <c r="D1409" s="1">
        <v>0.5</v>
      </c>
      <c r="E1409" s="1">
        <v>1000</v>
      </c>
      <c r="F1409" s="1">
        <v>3</v>
      </c>
      <c r="G1409" s="1">
        <v>3</v>
      </c>
      <c r="H1409" s="1" t="s">
        <v>592</v>
      </c>
      <c r="I1409" s="1">
        <v>158113.60000000001</v>
      </c>
      <c r="J1409" s="1">
        <v>62217.4</v>
      </c>
      <c r="K1409" s="1">
        <v>95896.2</v>
      </c>
      <c r="L1409" s="1">
        <v>240</v>
      </c>
      <c r="M1409" s="1">
        <v>600.32000000000005</v>
      </c>
      <c r="N1409" s="1">
        <v>43739</v>
      </c>
      <c r="O1409" s="1">
        <v>66900.399999999994</v>
      </c>
      <c r="P1409" s="1">
        <v>110639.4</v>
      </c>
      <c r="Q1409" s="1">
        <v>3116.9</v>
      </c>
      <c r="R1409" s="1">
        <v>1105.3</v>
      </c>
      <c r="S1409" s="1">
        <v>4222.2</v>
      </c>
      <c r="T1409" s="1">
        <v>27.36</v>
      </c>
      <c r="U1409" s="1">
        <v>0.03</v>
      </c>
      <c r="V1409" s="1">
        <v>1105.3</v>
      </c>
      <c r="W1409" s="1">
        <v>4222.2</v>
      </c>
      <c r="X1409" s="1">
        <v>600.34</v>
      </c>
      <c r="Y1409" s="1">
        <v>240</v>
      </c>
      <c r="Z1409" s="1">
        <v>114861.6</v>
      </c>
      <c r="AA1409" s="1">
        <v>27.36</v>
      </c>
      <c r="AB1409" s="1">
        <v>800</v>
      </c>
    </row>
    <row r="1410" spans="1:28" x14ac:dyDescent="0.4">
      <c r="A1410" s="1" t="s">
        <v>210</v>
      </c>
      <c r="B1410" s="1">
        <v>800</v>
      </c>
      <c r="C1410" s="1">
        <v>0.3</v>
      </c>
      <c r="D1410" s="1">
        <v>0.5</v>
      </c>
      <c r="E1410" s="1">
        <v>1000</v>
      </c>
      <c r="F1410" s="1">
        <v>3</v>
      </c>
      <c r="G1410" s="1">
        <v>4</v>
      </c>
      <c r="H1410" s="1" t="s">
        <v>592</v>
      </c>
      <c r="I1410" s="1">
        <v>152442.79999999999</v>
      </c>
      <c r="J1410" s="1">
        <v>62484.3</v>
      </c>
      <c r="K1410" s="1">
        <v>89958.5</v>
      </c>
      <c r="L1410" s="1">
        <v>240</v>
      </c>
      <c r="M1410" s="1">
        <v>600.54</v>
      </c>
      <c r="N1410" s="1">
        <v>44714.6</v>
      </c>
      <c r="O1410" s="1">
        <v>63884.5</v>
      </c>
      <c r="P1410" s="1">
        <v>108599.1</v>
      </c>
      <c r="Q1410" s="1">
        <v>3232.3</v>
      </c>
      <c r="R1410" s="1">
        <v>1178</v>
      </c>
      <c r="S1410" s="1">
        <v>4410.3</v>
      </c>
      <c r="T1410" s="1">
        <v>25.87</v>
      </c>
      <c r="U1410" s="1">
        <v>0.03</v>
      </c>
      <c r="V1410" s="1">
        <v>1178</v>
      </c>
      <c r="W1410" s="1">
        <v>4410.3</v>
      </c>
      <c r="X1410" s="1">
        <v>600.57000000000005</v>
      </c>
      <c r="Y1410" s="1">
        <v>240</v>
      </c>
      <c r="Z1410" s="1">
        <v>113009.4</v>
      </c>
      <c r="AA1410" s="1">
        <v>25.87</v>
      </c>
      <c r="AB1410" s="1">
        <v>800</v>
      </c>
    </row>
    <row r="1411" spans="1:28" x14ac:dyDescent="0.4">
      <c r="A1411" s="1" t="s">
        <v>211</v>
      </c>
      <c r="B1411" s="1">
        <v>800</v>
      </c>
      <c r="C1411" s="1">
        <v>0.3</v>
      </c>
      <c r="D1411" s="1">
        <v>0.5</v>
      </c>
      <c r="E1411" s="1">
        <v>1000</v>
      </c>
      <c r="F1411" s="1">
        <v>3</v>
      </c>
      <c r="G1411" s="1">
        <v>5</v>
      </c>
      <c r="H1411" s="1" t="s">
        <v>592</v>
      </c>
      <c r="I1411" s="1">
        <v>155852.5</v>
      </c>
      <c r="J1411" s="1">
        <v>62377.7</v>
      </c>
      <c r="K1411" s="1">
        <v>93474.8</v>
      </c>
      <c r="L1411" s="1">
        <v>240</v>
      </c>
      <c r="M1411" s="1">
        <v>600.29999999999995</v>
      </c>
      <c r="N1411" s="1">
        <v>44884.3</v>
      </c>
      <c r="O1411" s="1">
        <v>65020.800000000003</v>
      </c>
      <c r="P1411" s="1">
        <v>109905.1</v>
      </c>
      <c r="Q1411" s="1">
        <v>3087.1</v>
      </c>
      <c r="R1411" s="1">
        <v>1221.7</v>
      </c>
      <c r="S1411" s="1">
        <v>4308.8</v>
      </c>
      <c r="T1411" s="1">
        <v>26.72</v>
      </c>
      <c r="U1411" s="1">
        <v>0.03</v>
      </c>
      <c r="V1411" s="1">
        <v>1221.7</v>
      </c>
      <c r="W1411" s="1">
        <v>4308.8</v>
      </c>
      <c r="X1411" s="1">
        <v>600.33000000000004</v>
      </c>
      <c r="Y1411" s="1">
        <v>240</v>
      </c>
      <c r="Z1411" s="1">
        <v>114213.9</v>
      </c>
      <c r="AA1411" s="1">
        <v>26.72</v>
      </c>
      <c r="AB1411" s="1">
        <v>800</v>
      </c>
    </row>
    <row r="1412" spans="1:28" x14ac:dyDescent="0.4">
      <c r="A1412" s="1" t="s">
        <v>212</v>
      </c>
      <c r="B1412" s="1">
        <v>800</v>
      </c>
      <c r="C1412" s="1">
        <v>0.3</v>
      </c>
      <c r="D1412" s="1">
        <v>0.5</v>
      </c>
      <c r="E1412" s="1">
        <v>2000</v>
      </c>
      <c r="F1412" s="1">
        <v>1</v>
      </c>
      <c r="G1412" s="1">
        <v>1</v>
      </c>
      <c r="H1412" s="1" t="s">
        <v>592</v>
      </c>
      <c r="I1412" s="1">
        <v>171006.7</v>
      </c>
      <c r="J1412" s="1">
        <v>71207.600000000006</v>
      </c>
      <c r="K1412" s="1">
        <v>99799.1</v>
      </c>
      <c r="L1412" s="1">
        <v>240</v>
      </c>
      <c r="M1412" s="1">
        <v>600.69000000000005</v>
      </c>
      <c r="N1412" s="1">
        <v>50437.4</v>
      </c>
      <c r="O1412" s="1">
        <v>71641.600000000006</v>
      </c>
      <c r="P1412" s="1">
        <v>122079</v>
      </c>
      <c r="Q1412" s="1">
        <v>3292.7</v>
      </c>
      <c r="R1412" s="1">
        <v>1338.8</v>
      </c>
      <c r="S1412" s="1">
        <v>4631.5</v>
      </c>
      <c r="T1412" s="1">
        <v>25.9</v>
      </c>
      <c r="U1412" s="1">
        <v>0.03</v>
      </c>
      <c r="V1412" s="1">
        <v>1338.8</v>
      </c>
      <c r="W1412" s="1">
        <v>4631.5</v>
      </c>
      <c r="X1412" s="1">
        <v>600.72</v>
      </c>
      <c r="Y1412" s="1">
        <v>240</v>
      </c>
      <c r="Z1412" s="1">
        <v>126710.5</v>
      </c>
      <c r="AA1412" s="1">
        <v>25.9</v>
      </c>
      <c r="AB1412" s="1">
        <v>800</v>
      </c>
    </row>
    <row r="1413" spans="1:28" x14ac:dyDescent="0.4">
      <c r="A1413" s="1" t="s">
        <v>213</v>
      </c>
      <c r="B1413" s="1">
        <v>800</v>
      </c>
      <c r="C1413" s="1">
        <v>0.3</v>
      </c>
      <c r="D1413" s="1">
        <v>0.5</v>
      </c>
      <c r="E1413" s="1">
        <v>2000</v>
      </c>
      <c r="F1413" s="1">
        <v>1</v>
      </c>
      <c r="G1413" s="1">
        <v>2</v>
      </c>
      <c r="H1413" s="1" t="s">
        <v>592</v>
      </c>
      <c r="I1413" s="1">
        <v>172500.6</v>
      </c>
      <c r="J1413" s="1">
        <v>71637.7</v>
      </c>
      <c r="K1413" s="1">
        <v>100862.9</v>
      </c>
      <c r="L1413" s="1">
        <v>240</v>
      </c>
      <c r="M1413" s="1">
        <v>600.24</v>
      </c>
      <c r="N1413" s="1">
        <v>51011.199999999997</v>
      </c>
      <c r="O1413" s="1">
        <v>73716.399999999994</v>
      </c>
      <c r="P1413" s="1">
        <v>124727.6</v>
      </c>
      <c r="Q1413" s="1">
        <v>3333.4</v>
      </c>
      <c r="R1413" s="1">
        <v>1244.0999999999999</v>
      </c>
      <c r="S1413" s="1">
        <v>4577.5</v>
      </c>
      <c r="T1413" s="1">
        <v>25.04</v>
      </c>
      <c r="U1413" s="1">
        <v>0.03</v>
      </c>
      <c r="V1413" s="1">
        <v>1244.0999999999999</v>
      </c>
      <c r="W1413" s="1">
        <v>4577.5</v>
      </c>
      <c r="X1413" s="1">
        <v>600.27</v>
      </c>
      <c r="Y1413" s="1">
        <v>240</v>
      </c>
      <c r="Z1413" s="1">
        <v>129305.1</v>
      </c>
      <c r="AA1413" s="1">
        <v>25.04</v>
      </c>
      <c r="AB1413" s="1">
        <v>800</v>
      </c>
    </row>
    <row r="1414" spans="1:28" x14ac:dyDescent="0.4">
      <c r="A1414" s="1" t="s">
        <v>214</v>
      </c>
      <c r="B1414" s="1">
        <v>800</v>
      </c>
      <c r="C1414" s="1">
        <v>0.3</v>
      </c>
      <c r="D1414" s="1">
        <v>0.5</v>
      </c>
      <c r="E1414" s="1">
        <v>2000</v>
      </c>
      <c r="F1414" s="1">
        <v>1</v>
      </c>
      <c r="G1414" s="1">
        <v>3</v>
      </c>
      <c r="H1414" s="1" t="s">
        <v>592</v>
      </c>
      <c r="I1414" s="1">
        <v>168558.4</v>
      </c>
      <c r="J1414" s="1">
        <v>67244.600000000006</v>
      </c>
      <c r="K1414" s="1">
        <v>101313.8</v>
      </c>
      <c r="L1414" s="1">
        <v>240</v>
      </c>
      <c r="M1414" s="1">
        <v>600.34</v>
      </c>
      <c r="N1414" s="1">
        <v>48741.2</v>
      </c>
      <c r="O1414" s="1">
        <v>74246.399999999994</v>
      </c>
      <c r="P1414" s="1">
        <v>122987.6</v>
      </c>
      <c r="Q1414" s="1">
        <v>3322.9</v>
      </c>
      <c r="R1414" s="1">
        <v>1221.4000000000001</v>
      </c>
      <c r="S1414" s="1">
        <v>4544.3</v>
      </c>
      <c r="T1414" s="1">
        <v>24.34</v>
      </c>
      <c r="U1414" s="1">
        <v>0.04</v>
      </c>
      <c r="V1414" s="1">
        <v>1218.7</v>
      </c>
      <c r="W1414" s="1">
        <v>4541.6000000000004</v>
      </c>
      <c r="X1414" s="1">
        <v>600.38</v>
      </c>
      <c r="Y1414" s="1">
        <v>240</v>
      </c>
      <c r="Z1414" s="1">
        <v>127529.2</v>
      </c>
      <c r="AA1414" s="1">
        <v>24.34</v>
      </c>
      <c r="AB1414" s="1">
        <v>800</v>
      </c>
    </row>
    <row r="1415" spans="1:28" x14ac:dyDescent="0.4">
      <c r="A1415" s="1" t="s">
        <v>215</v>
      </c>
      <c r="B1415" s="1">
        <v>800</v>
      </c>
      <c r="C1415" s="1">
        <v>0.3</v>
      </c>
      <c r="D1415" s="1">
        <v>0.5</v>
      </c>
      <c r="E1415" s="1">
        <v>2000</v>
      </c>
      <c r="F1415" s="1">
        <v>1</v>
      </c>
      <c r="G1415" s="1">
        <v>4</v>
      </c>
      <c r="H1415" s="1" t="s">
        <v>592</v>
      </c>
      <c r="I1415" s="1">
        <v>176111.9</v>
      </c>
      <c r="J1415" s="1">
        <v>72025.8</v>
      </c>
      <c r="K1415" s="1">
        <v>104086.1</v>
      </c>
      <c r="L1415" s="1">
        <v>240</v>
      </c>
      <c r="M1415" s="1">
        <v>600.05999999999995</v>
      </c>
      <c r="N1415" s="1">
        <v>51058.2</v>
      </c>
      <c r="O1415" s="1">
        <v>73542.3</v>
      </c>
      <c r="P1415" s="1">
        <v>124600.5</v>
      </c>
      <c r="Q1415" s="1">
        <v>3284.3</v>
      </c>
      <c r="R1415" s="1">
        <v>1252.2</v>
      </c>
      <c r="S1415" s="1">
        <v>4536.5</v>
      </c>
      <c r="T1415" s="1">
        <v>26.67</v>
      </c>
      <c r="U1415" s="1">
        <v>0.04</v>
      </c>
      <c r="V1415" s="1">
        <v>1252.2</v>
      </c>
      <c r="W1415" s="1">
        <v>4536.5</v>
      </c>
      <c r="X1415" s="1">
        <v>600.1</v>
      </c>
      <c r="Y1415" s="1">
        <v>240</v>
      </c>
      <c r="Z1415" s="1">
        <v>129137</v>
      </c>
      <c r="AA1415" s="1">
        <v>26.67</v>
      </c>
      <c r="AB1415" s="1">
        <v>800</v>
      </c>
    </row>
    <row r="1416" spans="1:28" x14ac:dyDescent="0.4">
      <c r="A1416" s="1" t="s">
        <v>216</v>
      </c>
      <c r="B1416" s="1">
        <v>800</v>
      </c>
      <c r="C1416" s="1">
        <v>0.3</v>
      </c>
      <c r="D1416" s="1">
        <v>0.5</v>
      </c>
      <c r="E1416" s="1">
        <v>2000</v>
      </c>
      <c r="F1416" s="1">
        <v>1</v>
      </c>
      <c r="G1416" s="1">
        <v>5</v>
      </c>
      <c r="H1416" s="1" t="s">
        <v>592</v>
      </c>
      <c r="I1416" s="1">
        <v>169328.4</v>
      </c>
      <c r="J1416" s="1">
        <v>68708.100000000006</v>
      </c>
      <c r="K1416" s="1">
        <v>100620.3</v>
      </c>
      <c r="L1416" s="1">
        <v>240</v>
      </c>
      <c r="M1416" s="1">
        <v>600.17999999999995</v>
      </c>
      <c r="N1416" s="1">
        <v>49567.1</v>
      </c>
      <c r="O1416" s="1">
        <v>73114.899999999994</v>
      </c>
      <c r="P1416" s="1">
        <v>122682</v>
      </c>
      <c r="Q1416" s="1">
        <v>3339</v>
      </c>
      <c r="R1416" s="1">
        <v>1284.5999999999999</v>
      </c>
      <c r="S1416" s="1">
        <v>4623.6000000000004</v>
      </c>
      <c r="T1416" s="1">
        <v>24.82</v>
      </c>
      <c r="U1416" s="1">
        <v>0.04</v>
      </c>
      <c r="V1416" s="1">
        <v>1284.5999999999999</v>
      </c>
      <c r="W1416" s="1">
        <v>4623.6000000000004</v>
      </c>
      <c r="X1416" s="1">
        <v>600.22</v>
      </c>
      <c r="Y1416" s="1">
        <v>240</v>
      </c>
      <c r="Z1416" s="1">
        <v>127305.60000000001</v>
      </c>
      <c r="AA1416" s="1">
        <v>24.82</v>
      </c>
      <c r="AB1416" s="1">
        <v>800</v>
      </c>
    </row>
    <row r="1417" spans="1:28" x14ac:dyDescent="0.4">
      <c r="A1417" s="1" t="s">
        <v>217</v>
      </c>
      <c r="B1417" s="1">
        <v>800</v>
      </c>
      <c r="C1417" s="1">
        <v>0.3</v>
      </c>
      <c r="D1417" s="1">
        <v>0.5</v>
      </c>
      <c r="E1417" s="1">
        <v>2000</v>
      </c>
      <c r="F1417" s="1">
        <v>2</v>
      </c>
      <c r="G1417" s="1">
        <v>1</v>
      </c>
      <c r="H1417" s="1" t="s">
        <v>592</v>
      </c>
      <c r="I1417" s="1">
        <v>248948.8</v>
      </c>
      <c r="J1417" s="1">
        <v>101892.4</v>
      </c>
      <c r="K1417" s="1">
        <v>147056.4</v>
      </c>
      <c r="L1417" s="1">
        <v>240</v>
      </c>
      <c r="M1417" s="1">
        <v>600.01</v>
      </c>
      <c r="N1417" s="1">
        <v>73481.399999999994</v>
      </c>
      <c r="O1417" s="1">
        <v>104943.1</v>
      </c>
      <c r="P1417" s="1">
        <v>178424.5</v>
      </c>
      <c r="Q1417" s="1">
        <v>3158.3</v>
      </c>
      <c r="R1417" s="1">
        <v>1198.7</v>
      </c>
      <c r="S1417" s="1">
        <v>4357</v>
      </c>
      <c r="T1417" s="1">
        <v>26.58</v>
      </c>
      <c r="U1417" s="1">
        <v>0.04</v>
      </c>
      <c r="V1417" s="1">
        <v>1198.7</v>
      </c>
      <c r="W1417" s="1">
        <v>4357</v>
      </c>
      <c r="X1417" s="1">
        <v>600.04999999999995</v>
      </c>
      <c r="Y1417" s="1">
        <v>240</v>
      </c>
      <c r="Z1417" s="1">
        <v>182781.5</v>
      </c>
      <c r="AA1417" s="1">
        <v>26.58</v>
      </c>
      <c r="AB1417" s="1">
        <v>800</v>
      </c>
    </row>
    <row r="1418" spans="1:28" x14ac:dyDescent="0.4">
      <c r="A1418" s="1" t="s">
        <v>218</v>
      </c>
      <c r="B1418" s="1">
        <v>800</v>
      </c>
      <c r="C1418" s="1">
        <v>0.3</v>
      </c>
      <c r="D1418" s="1">
        <v>0.5</v>
      </c>
      <c r="E1418" s="1">
        <v>2000</v>
      </c>
      <c r="F1418" s="1">
        <v>2</v>
      </c>
      <c r="G1418" s="1">
        <v>2</v>
      </c>
      <c r="H1418" s="1" t="s">
        <v>592</v>
      </c>
      <c r="I1418" s="1">
        <v>251798.1</v>
      </c>
      <c r="J1418" s="1">
        <v>99478.3</v>
      </c>
      <c r="K1418" s="1">
        <v>152319.79999999999</v>
      </c>
      <c r="L1418" s="1">
        <v>240</v>
      </c>
      <c r="M1418" s="1">
        <v>600.65</v>
      </c>
      <c r="N1418" s="1">
        <v>72467.3</v>
      </c>
      <c r="O1418" s="1">
        <v>108265.60000000001</v>
      </c>
      <c r="P1418" s="1">
        <v>180732.9</v>
      </c>
      <c r="Q1418" s="1">
        <v>3246.2</v>
      </c>
      <c r="R1418" s="1">
        <v>1369.8</v>
      </c>
      <c r="S1418" s="1">
        <v>4616</v>
      </c>
      <c r="T1418" s="1">
        <v>26.39</v>
      </c>
      <c r="U1418" s="1">
        <v>0.04</v>
      </c>
      <c r="V1418" s="1">
        <v>1369.8</v>
      </c>
      <c r="W1418" s="1">
        <v>4616</v>
      </c>
      <c r="X1418" s="1">
        <v>600.69000000000005</v>
      </c>
      <c r="Y1418" s="1">
        <v>240</v>
      </c>
      <c r="Z1418" s="1">
        <v>185348.9</v>
      </c>
      <c r="AA1418" s="1">
        <v>26.39</v>
      </c>
      <c r="AB1418" s="1">
        <v>800</v>
      </c>
    </row>
    <row r="1419" spans="1:28" x14ac:dyDescent="0.4">
      <c r="A1419" s="1" t="s">
        <v>219</v>
      </c>
      <c r="B1419" s="1">
        <v>800</v>
      </c>
      <c r="C1419" s="1">
        <v>0.3</v>
      </c>
      <c r="D1419" s="1">
        <v>0.5</v>
      </c>
      <c r="E1419" s="1">
        <v>2000</v>
      </c>
      <c r="F1419" s="1">
        <v>2</v>
      </c>
      <c r="G1419" s="1">
        <v>3</v>
      </c>
      <c r="H1419" s="1" t="s">
        <v>592</v>
      </c>
      <c r="I1419" s="1">
        <v>256798.8</v>
      </c>
      <c r="J1419" s="1">
        <v>104496.9</v>
      </c>
      <c r="K1419" s="1">
        <v>152301.9</v>
      </c>
      <c r="L1419" s="1">
        <v>240</v>
      </c>
      <c r="M1419" s="1">
        <v>600.13</v>
      </c>
      <c r="N1419" s="1">
        <v>73803.899999999994</v>
      </c>
      <c r="O1419" s="1">
        <v>106402.1</v>
      </c>
      <c r="P1419" s="1">
        <v>180206</v>
      </c>
      <c r="Q1419" s="1">
        <v>3401.8</v>
      </c>
      <c r="R1419" s="1">
        <v>1085.5</v>
      </c>
      <c r="S1419" s="1">
        <v>4487.3</v>
      </c>
      <c r="T1419" s="1">
        <v>28.08</v>
      </c>
      <c r="U1419" s="1">
        <v>0.04</v>
      </c>
      <c r="V1419" s="1">
        <v>1085.5</v>
      </c>
      <c r="W1419" s="1">
        <v>4487.3</v>
      </c>
      <c r="X1419" s="1">
        <v>600.16999999999996</v>
      </c>
      <c r="Y1419" s="1">
        <v>240</v>
      </c>
      <c r="Z1419" s="1">
        <v>184693.3</v>
      </c>
      <c r="AA1419" s="1">
        <v>28.08</v>
      </c>
      <c r="AB1419" s="1">
        <v>800</v>
      </c>
    </row>
    <row r="1420" spans="1:28" x14ac:dyDescent="0.4">
      <c r="A1420" s="1" t="s">
        <v>220</v>
      </c>
      <c r="B1420" s="1">
        <v>800</v>
      </c>
      <c r="C1420" s="1">
        <v>0.3</v>
      </c>
      <c r="D1420" s="1">
        <v>0.5</v>
      </c>
      <c r="E1420" s="1">
        <v>2000</v>
      </c>
      <c r="F1420" s="1">
        <v>2</v>
      </c>
      <c r="G1420" s="1">
        <v>4</v>
      </c>
      <c r="H1420" s="1" t="s">
        <v>592</v>
      </c>
      <c r="I1420" s="1">
        <v>253933.9</v>
      </c>
      <c r="J1420" s="1">
        <v>102202.1</v>
      </c>
      <c r="K1420" s="1">
        <v>151731.79999999999</v>
      </c>
      <c r="L1420" s="1">
        <v>240</v>
      </c>
      <c r="M1420" s="1">
        <v>600.29</v>
      </c>
      <c r="N1420" s="1">
        <v>73786</v>
      </c>
      <c r="O1420" s="1">
        <v>108417</v>
      </c>
      <c r="P1420" s="1">
        <v>182203</v>
      </c>
      <c r="Q1420" s="1">
        <v>3254.8</v>
      </c>
      <c r="R1420" s="1">
        <v>1117.5</v>
      </c>
      <c r="S1420" s="1">
        <v>4372.3</v>
      </c>
      <c r="T1420" s="1">
        <v>26.53</v>
      </c>
      <c r="U1420" s="1">
        <v>0.03</v>
      </c>
      <c r="V1420" s="1">
        <v>1117.5</v>
      </c>
      <c r="W1420" s="1">
        <v>4372.3</v>
      </c>
      <c r="X1420" s="1">
        <v>600.32000000000005</v>
      </c>
      <c r="Y1420" s="1">
        <v>240</v>
      </c>
      <c r="Z1420" s="1">
        <v>186575.3</v>
      </c>
      <c r="AA1420" s="1">
        <v>26.53</v>
      </c>
      <c r="AB1420" s="1">
        <v>800</v>
      </c>
    </row>
    <row r="1421" spans="1:28" x14ac:dyDescent="0.4">
      <c r="A1421" s="1" t="s">
        <v>221</v>
      </c>
      <c r="B1421" s="1">
        <v>800</v>
      </c>
      <c r="C1421" s="1">
        <v>0.3</v>
      </c>
      <c r="D1421" s="1">
        <v>0.5</v>
      </c>
      <c r="E1421" s="1">
        <v>2000</v>
      </c>
      <c r="F1421" s="1">
        <v>2</v>
      </c>
      <c r="G1421" s="1">
        <v>5</v>
      </c>
      <c r="H1421" s="1" t="s">
        <v>592</v>
      </c>
      <c r="I1421" s="1">
        <v>249086.1</v>
      </c>
      <c r="J1421" s="1">
        <v>101164.3</v>
      </c>
      <c r="K1421" s="1">
        <v>147921.79999999999</v>
      </c>
      <c r="L1421" s="1">
        <v>240</v>
      </c>
      <c r="M1421" s="1">
        <v>600.51</v>
      </c>
      <c r="N1421" s="1">
        <v>73119.7</v>
      </c>
      <c r="O1421" s="1">
        <v>104997</v>
      </c>
      <c r="P1421" s="1">
        <v>178116.7</v>
      </c>
      <c r="Q1421" s="1">
        <v>3202.4</v>
      </c>
      <c r="R1421" s="1">
        <v>1242</v>
      </c>
      <c r="S1421" s="1">
        <v>4444.3999999999996</v>
      </c>
      <c r="T1421" s="1">
        <v>26.71</v>
      </c>
      <c r="U1421" s="1">
        <v>0.04</v>
      </c>
      <c r="V1421" s="1">
        <v>1242</v>
      </c>
      <c r="W1421" s="1">
        <v>4444.3999999999996</v>
      </c>
      <c r="X1421" s="1">
        <v>600.54999999999995</v>
      </c>
      <c r="Y1421" s="1">
        <v>240</v>
      </c>
      <c r="Z1421" s="1">
        <v>182561.1</v>
      </c>
      <c r="AA1421" s="1">
        <v>26.71</v>
      </c>
      <c r="AB1421" s="1">
        <v>800</v>
      </c>
    </row>
    <row r="1422" spans="1:28" x14ac:dyDescent="0.4">
      <c r="A1422" s="1" t="s">
        <v>222</v>
      </c>
      <c r="B1422" s="1">
        <v>800</v>
      </c>
      <c r="C1422" s="1">
        <v>0.3</v>
      </c>
      <c r="D1422" s="1">
        <v>0.5</v>
      </c>
      <c r="E1422" s="1">
        <v>2000</v>
      </c>
      <c r="F1422" s="1">
        <v>3</v>
      </c>
      <c r="G1422" s="1">
        <v>1</v>
      </c>
      <c r="H1422" s="1" t="s">
        <v>592</v>
      </c>
      <c r="I1422" s="1">
        <v>310754.59999999998</v>
      </c>
      <c r="J1422" s="1">
        <v>128361.4</v>
      </c>
      <c r="K1422" s="1">
        <v>182393.2</v>
      </c>
      <c r="L1422" s="1">
        <v>240</v>
      </c>
      <c r="M1422" s="1">
        <v>600.98</v>
      </c>
      <c r="N1422" s="1">
        <v>93904.5</v>
      </c>
      <c r="O1422" s="1">
        <v>131690.6</v>
      </c>
      <c r="P1422" s="1">
        <v>225595.1</v>
      </c>
      <c r="Q1422" s="1">
        <v>3281.2</v>
      </c>
      <c r="R1422" s="1">
        <v>1099.5999999999999</v>
      </c>
      <c r="S1422" s="1">
        <v>4380.8</v>
      </c>
      <c r="T1422" s="1">
        <v>25.99</v>
      </c>
      <c r="U1422" s="1">
        <v>0.02</v>
      </c>
      <c r="V1422" s="1">
        <v>1099.5999999999999</v>
      </c>
      <c r="W1422" s="1">
        <v>4380.8</v>
      </c>
      <c r="X1422" s="1">
        <v>601</v>
      </c>
      <c r="Y1422" s="1">
        <v>240</v>
      </c>
      <c r="Z1422" s="1">
        <v>229975.9</v>
      </c>
      <c r="AA1422" s="1">
        <v>25.99</v>
      </c>
      <c r="AB1422" s="1">
        <v>800</v>
      </c>
    </row>
    <row r="1423" spans="1:28" x14ac:dyDescent="0.4">
      <c r="A1423" s="1" t="s">
        <v>223</v>
      </c>
      <c r="B1423" s="1">
        <v>800</v>
      </c>
      <c r="C1423" s="1">
        <v>0.3</v>
      </c>
      <c r="D1423" s="1">
        <v>0.5</v>
      </c>
      <c r="E1423" s="1">
        <v>2000</v>
      </c>
      <c r="F1423" s="1">
        <v>3</v>
      </c>
      <c r="G1423" s="1">
        <v>2</v>
      </c>
      <c r="H1423" s="1" t="s">
        <v>592</v>
      </c>
      <c r="I1423" s="1">
        <v>313880.8</v>
      </c>
      <c r="J1423" s="1">
        <v>128693.3</v>
      </c>
      <c r="K1423" s="1">
        <v>185187.5</v>
      </c>
      <c r="L1423" s="1">
        <v>240</v>
      </c>
      <c r="M1423" s="1">
        <v>600.34</v>
      </c>
      <c r="N1423" s="1">
        <v>95087.6</v>
      </c>
      <c r="O1423" s="1">
        <v>132676.4</v>
      </c>
      <c r="P1423" s="1">
        <v>227764</v>
      </c>
      <c r="Q1423" s="1">
        <v>3318.2</v>
      </c>
      <c r="R1423" s="1">
        <v>1307.5</v>
      </c>
      <c r="S1423" s="1">
        <v>4625.7</v>
      </c>
      <c r="T1423" s="1">
        <v>25.96</v>
      </c>
      <c r="U1423" s="1">
        <v>0.04</v>
      </c>
      <c r="V1423" s="1">
        <v>1307.5</v>
      </c>
      <c r="W1423" s="1">
        <v>4625.7</v>
      </c>
      <c r="X1423" s="1">
        <v>600.38</v>
      </c>
      <c r="Y1423" s="1">
        <v>240</v>
      </c>
      <c r="Z1423" s="1">
        <v>232389.7</v>
      </c>
      <c r="AA1423" s="1">
        <v>25.96</v>
      </c>
      <c r="AB1423" s="1">
        <v>800</v>
      </c>
    </row>
    <row r="1424" spans="1:28" x14ac:dyDescent="0.4">
      <c r="A1424" s="1" t="s">
        <v>224</v>
      </c>
      <c r="B1424" s="1">
        <v>800</v>
      </c>
      <c r="C1424" s="1">
        <v>0.3</v>
      </c>
      <c r="D1424" s="1">
        <v>0.5</v>
      </c>
      <c r="E1424" s="1">
        <v>2000</v>
      </c>
      <c r="F1424" s="1">
        <v>3</v>
      </c>
      <c r="G1424" s="1">
        <v>3</v>
      </c>
      <c r="H1424" s="1" t="s">
        <v>592</v>
      </c>
      <c r="I1424" s="1">
        <v>309386.8</v>
      </c>
      <c r="J1424" s="1">
        <v>122023.6</v>
      </c>
      <c r="K1424" s="1">
        <v>187363.20000000001</v>
      </c>
      <c r="L1424" s="1">
        <v>240</v>
      </c>
      <c r="M1424" s="1">
        <v>600.12</v>
      </c>
      <c r="N1424" s="1">
        <v>88942.5</v>
      </c>
      <c r="O1424" s="1">
        <v>134728.4</v>
      </c>
      <c r="P1424" s="1">
        <v>223670.9</v>
      </c>
      <c r="Q1424" s="1">
        <v>3293</v>
      </c>
      <c r="R1424" s="1">
        <v>1405.2</v>
      </c>
      <c r="S1424" s="1">
        <v>4698.2</v>
      </c>
      <c r="T1424" s="1">
        <v>26.19</v>
      </c>
      <c r="U1424" s="1">
        <v>0.05</v>
      </c>
      <c r="V1424" s="1">
        <v>1403.9</v>
      </c>
      <c r="W1424" s="1">
        <v>4696.8999999999996</v>
      </c>
      <c r="X1424" s="1">
        <v>600.16999999999996</v>
      </c>
      <c r="Y1424" s="1">
        <v>240</v>
      </c>
      <c r="Z1424" s="1">
        <v>228367.8</v>
      </c>
      <c r="AA1424" s="1">
        <v>26.19</v>
      </c>
      <c r="AB1424" s="1">
        <v>800</v>
      </c>
    </row>
    <row r="1425" spans="1:28" x14ac:dyDescent="0.4">
      <c r="A1425" s="1" t="s">
        <v>225</v>
      </c>
      <c r="B1425" s="1">
        <v>800</v>
      </c>
      <c r="C1425" s="1">
        <v>0.3</v>
      </c>
      <c r="D1425" s="1">
        <v>0.5</v>
      </c>
      <c r="E1425" s="1">
        <v>2000</v>
      </c>
      <c r="F1425" s="1">
        <v>3</v>
      </c>
      <c r="G1425" s="1">
        <v>4</v>
      </c>
      <c r="H1425" s="1" t="s">
        <v>592</v>
      </c>
      <c r="I1425" s="1">
        <v>310158.2</v>
      </c>
      <c r="J1425" s="1">
        <v>127750.1</v>
      </c>
      <c r="K1425" s="1">
        <v>182408.1</v>
      </c>
      <c r="L1425" s="1">
        <v>240</v>
      </c>
      <c r="M1425" s="1">
        <v>600.16999999999996</v>
      </c>
      <c r="N1425" s="1">
        <v>90945.4</v>
      </c>
      <c r="O1425" s="1">
        <v>129825.1</v>
      </c>
      <c r="P1425" s="1">
        <v>220770.5</v>
      </c>
      <c r="Q1425" s="1">
        <v>3227.6</v>
      </c>
      <c r="R1425" s="1">
        <v>1153.8</v>
      </c>
      <c r="S1425" s="1">
        <v>4381.3999999999996</v>
      </c>
      <c r="T1425" s="1">
        <v>27.41</v>
      </c>
      <c r="U1425" s="1">
        <v>0.03</v>
      </c>
      <c r="V1425" s="1">
        <v>1153.8</v>
      </c>
      <c r="W1425" s="1">
        <v>4381.3999999999996</v>
      </c>
      <c r="X1425" s="1">
        <v>600.20000000000005</v>
      </c>
      <c r="Y1425" s="1">
        <v>240</v>
      </c>
      <c r="Z1425" s="1">
        <v>225151.9</v>
      </c>
      <c r="AA1425" s="1">
        <v>27.41</v>
      </c>
      <c r="AB1425" s="1">
        <v>800</v>
      </c>
    </row>
    <row r="1426" spans="1:28" x14ac:dyDescent="0.4">
      <c r="A1426" s="1" t="s">
        <v>226</v>
      </c>
      <c r="B1426" s="1">
        <v>800</v>
      </c>
      <c r="C1426" s="1">
        <v>0.3</v>
      </c>
      <c r="D1426" s="1">
        <v>0.5</v>
      </c>
      <c r="E1426" s="1">
        <v>2000</v>
      </c>
      <c r="F1426" s="1">
        <v>3</v>
      </c>
      <c r="G1426" s="1">
        <v>5</v>
      </c>
      <c r="H1426" s="1" t="s">
        <v>592</v>
      </c>
      <c r="I1426" s="1">
        <v>314621.59999999998</v>
      </c>
      <c r="J1426" s="1">
        <v>129787.3</v>
      </c>
      <c r="K1426" s="1">
        <v>184834.3</v>
      </c>
      <c r="L1426" s="1">
        <v>240</v>
      </c>
      <c r="M1426" s="1">
        <v>600.77</v>
      </c>
      <c r="N1426" s="1">
        <v>92710.6</v>
      </c>
      <c r="O1426" s="1">
        <v>131858.79999999999</v>
      </c>
      <c r="P1426" s="1">
        <v>224569.4</v>
      </c>
      <c r="Q1426" s="1">
        <v>3245.8</v>
      </c>
      <c r="R1426" s="1">
        <v>1332.2</v>
      </c>
      <c r="S1426" s="1">
        <v>4578</v>
      </c>
      <c r="T1426" s="1">
        <v>27.17</v>
      </c>
      <c r="U1426" s="1">
        <v>0.04</v>
      </c>
      <c r="V1426" s="1">
        <v>1332.2</v>
      </c>
      <c r="W1426" s="1">
        <v>4578</v>
      </c>
      <c r="X1426" s="1">
        <v>600.82000000000005</v>
      </c>
      <c r="Y1426" s="1">
        <v>240</v>
      </c>
      <c r="Z1426" s="1">
        <v>229147.4</v>
      </c>
      <c r="AA1426" s="1">
        <v>27.17</v>
      </c>
      <c r="AB1426" s="1">
        <v>800</v>
      </c>
    </row>
    <row r="1427" spans="1:28" x14ac:dyDescent="0.4">
      <c r="A1427" s="1" t="s">
        <v>227</v>
      </c>
      <c r="B1427" s="1">
        <v>800</v>
      </c>
      <c r="C1427" s="1">
        <v>0.3</v>
      </c>
      <c r="D1427" s="1">
        <v>0.5</v>
      </c>
      <c r="E1427" s="1">
        <v>500</v>
      </c>
      <c r="F1427" s="1">
        <v>1</v>
      </c>
      <c r="G1427" s="1">
        <v>1</v>
      </c>
      <c r="H1427" s="1" t="s">
        <v>592</v>
      </c>
      <c r="I1427" s="1">
        <v>42104.1</v>
      </c>
      <c r="J1427" s="1">
        <v>17539.8</v>
      </c>
      <c r="K1427" s="1">
        <v>24564.3</v>
      </c>
      <c r="L1427" s="1">
        <v>240</v>
      </c>
      <c r="M1427" s="1">
        <v>600.12</v>
      </c>
      <c r="N1427" s="1">
        <v>11713.6</v>
      </c>
      <c r="O1427" s="1">
        <v>16635.599999999999</v>
      </c>
      <c r="P1427" s="1">
        <v>28349.200000000001</v>
      </c>
      <c r="Q1427" s="1">
        <v>3001.3</v>
      </c>
      <c r="R1427" s="1">
        <v>1063.0999999999999</v>
      </c>
      <c r="S1427" s="1">
        <v>4064.4</v>
      </c>
      <c r="T1427" s="1">
        <v>23.02</v>
      </c>
      <c r="U1427" s="1">
        <v>0.02</v>
      </c>
      <c r="V1427" s="1">
        <v>1047.8</v>
      </c>
      <c r="W1427" s="1">
        <v>4049.1</v>
      </c>
      <c r="X1427" s="1">
        <v>600.14</v>
      </c>
      <c r="Y1427" s="1">
        <v>240</v>
      </c>
      <c r="Z1427" s="1">
        <v>32398.3</v>
      </c>
      <c r="AA1427" s="1">
        <v>23.05</v>
      </c>
      <c r="AB1427" s="1">
        <v>800</v>
      </c>
    </row>
    <row r="1428" spans="1:28" x14ac:dyDescent="0.4">
      <c r="A1428" s="1" t="s">
        <v>228</v>
      </c>
      <c r="B1428" s="1">
        <v>800</v>
      </c>
      <c r="C1428" s="1">
        <v>0.3</v>
      </c>
      <c r="D1428" s="1">
        <v>0.5</v>
      </c>
      <c r="E1428" s="1">
        <v>500</v>
      </c>
      <c r="F1428" s="1">
        <v>1</v>
      </c>
      <c r="G1428" s="1">
        <v>2</v>
      </c>
      <c r="H1428" s="1" t="s">
        <v>592</v>
      </c>
      <c r="I1428" s="1">
        <v>41779.599999999999</v>
      </c>
      <c r="J1428" s="1">
        <v>17994.900000000001</v>
      </c>
      <c r="K1428" s="1">
        <v>23784.7</v>
      </c>
      <c r="L1428" s="1">
        <v>240</v>
      </c>
      <c r="M1428" s="1">
        <v>600.70000000000005</v>
      </c>
      <c r="N1428" s="1">
        <v>12610.1</v>
      </c>
      <c r="O1428" s="1">
        <v>16283.6</v>
      </c>
      <c r="P1428" s="1">
        <v>28893.7</v>
      </c>
      <c r="Q1428" s="1">
        <v>2991.7</v>
      </c>
      <c r="R1428" s="1">
        <v>973.4</v>
      </c>
      <c r="S1428" s="1">
        <v>3965.1</v>
      </c>
      <c r="T1428" s="1">
        <v>21.35</v>
      </c>
      <c r="U1428" s="1">
        <v>0.03</v>
      </c>
      <c r="V1428" s="1">
        <v>973.4</v>
      </c>
      <c r="W1428" s="1">
        <v>3965.1</v>
      </c>
      <c r="X1428" s="1">
        <v>600.73</v>
      </c>
      <c r="Y1428" s="1">
        <v>240</v>
      </c>
      <c r="Z1428" s="1">
        <v>32858.800000000003</v>
      </c>
      <c r="AA1428" s="1">
        <v>21.35</v>
      </c>
      <c r="AB1428" s="1">
        <v>800</v>
      </c>
    </row>
    <row r="1429" spans="1:28" x14ac:dyDescent="0.4">
      <c r="A1429" s="1" t="s">
        <v>229</v>
      </c>
      <c r="B1429" s="1">
        <v>800</v>
      </c>
      <c r="C1429" s="1">
        <v>0.3</v>
      </c>
      <c r="D1429" s="1">
        <v>0.5</v>
      </c>
      <c r="E1429" s="1">
        <v>500</v>
      </c>
      <c r="F1429" s="1">
        <v>1</v>
      </c>
      <c r="G1429" s="1">
        <v>3</v>
      </c>
      <c r="H1429" s="1" t="s">
        <v>592</v>
      </c>
      <c r="I1429" s="1">
        <v>40950.1</v>
      </c>
      <c r="J1429" s="1">
        <v>17179.099999999999</v>
      </c>
      <c r="K1429" s="1">
        <v>23771</v>
      </c>
      <c r="L1429" s="1">
        <v>240</v>
      </c>
      <c r="M1429" s="1">
        <v>600.29</v>
      </c>
      <c r="N1429" s="1">
        <v>11228</v>
      </c>
      <c r="O1429" s="1">
        <v>16468.400000000001</v>
      </c>
      <c r="P1429" s="1">
        <v>27696.400000000001</v>
      </c>
      <c r="Q1429" s="1">
        <v>2834.8</v>
      </c>
      <c r="R1429" s="1">
        <v>1039.2</v>
      </c>
      <c r="S1429" s="1">
        <v>3874</v>
      </c>
      <c r="T1429" s="1">
        <v>22.91</v>
      </c>
      <c r="U1429" s="1">
        <v>0.02</v>
      </c>
      <c r="V1429" s="1">
        <v>1026.4000000000001</v>
      </c>
      <c r="W1429" s="1">
        <v>3861.2</v>
      </c>
      <c r="X1429" s="1">
        <v>600.30999999999995</v>
      </c>
      <c r="Y1429" s="1">
        <v>240</v>
      </c>
      <c r="Z1429" s="1">
        <v>31557.599999999999</v>
      </c>
      <c r="AA1429" s="1">
        <v>22.94</v>
      </c>
      <c r="AB1429" s="1">
        <v>800</v>
      </c>
    </row>
    <row r="1430" spans="1:28" x14ac:dyDescent="0.4">
      <c r="A1430" s="1" t="s">
        <v>230</v>
      </c>
      <c r="B1430" s="1">
        <v>800</v>
      </c>
      <c r="C1430" s="1">
        <v>0.3</v>
      </c>
      <c r="D1430" s="1">
        <v>0.5</v>
      </c>
      <c r="E1430" s="1">
        <v>500</v>
      </c>
      <c r="F1430" s="1">
        <v>1</v>
      </c>
      <c r="G1430" s="1">
        <v>4</v>
      </c>
      <c r="H1430" s="1" t="s">
        <v>592</v>
      </c>
      <c r="I1430" s="1">
        <v>41546.400000000001</v>
      </c>
      <c r="J1430" s="1">
        <v>16396.099999999999</v>
      </c>
      <c r="K1430" s="1">
        <v>25150.3</v>
      </c>
      <c r="L1430" s="1">
        <v>240</v>
      </c>
      <c r="M1430" s="1">
        <v>600.6</v>
      </c>
      <c r="N1430" s="1">
        <v>10872.2</v>
      </c>
      <c r="O1430" s="1">
        <v>16905.599999999999</v>
      </c>
      <c r="P1430" s="1">
        <v>27777.8</v>
      </c>
      <c r="Q1430" s="1">
        <v>2805</v>
      </c>
      <c r="R1430" s="1">
        <v>1026.8</v>
      </c>
      <c r="S1430" s="1">
        <v>3831.8</v>
      </c>
      <c r="T1430" s="1">
        <v>23.92</v>
      </c>
      <c r="U1430" s="1">
        <v>0.02</v>
      </c>
      <c r="V1430" s="1">
        <v>1021.3</v>
      </c>
      <c r="W1430" s="1">
        <v>3826.3</v>
      </c>
      <c r="X1430" s="1">
        <v>600.62</v>
      </c>
      <c r="Y1430" s="1">
        <v>240</v>
      </c>
      <c r="Z1430" s="1">
        <v>31604.1</v>
      </c>
      <c r="AA1430" s="1">
        <v>23.93</v>
      </c>
      <c r="AB1430" s="1">
        <v>800</v>
      </c>
    </row>
    <row r="1431" spans="1:28" x14ac:dyDescent="0.4">
      <c r="A1431" s="1" t="s">
        <v>231</v>
      </c>
      <c r="B1431" s="1">
        <v>800</v>
      </c>
      <c r="C1431" s="1">
        <v>0.3</v>
      </c>
      <c r="D1431" s="1">
        <v>0.5</v>
      </c>
      <c r="E1431" s="1">
        <v>500</v>
      </c>
      <c r="F1431" s="1">
        <v>1</v>
      </c>
      <c r="G1431" s="1">
        <v>5</v>
      </c>
      <c r="H1431" s="1" t="s">
        <v>592</v>
      </c>
      <c r="I1431" s="1">
        <v>42722</v>
      </c>
      <c r="J1431" s="1">
        <v>18044.599999999999</v>
      </c>
      <c r="K1431" s="1">
        <v>24677.4</v>
      </c>
      <c r="L1431" s="1">
        <v>240</v>
      </c>
      <c r="M1431" s="1">
        <v>600.14</v>
      </c>
      <c r="N1431" s="1">
        <v>12248.9</v>
      </c>
      <c r="O1431" s="1">
        <v>16608.400000000001</v>
      </c>
      <c r="P1431" s="1">
        <v>28857.3</v>
      </c>
      <c r="Q1431" s="1">
        <v>2985.2</v>
      </c>
      <c r="R1431" s="1">
        <v>1034</v>
      </c>
      <c r="S1431" s="1">
        <v>4019.2</v>
      </c>
      <c r="T1431" s="1">
        <v>23.05</v>
      </c>
      <c r="U1431" s="1">
        <v>0.02</v>
      </c>
      <c r="V1431" s="1">
        <v>1011.9</v>
      </c>
      <c r="W1431" s="1">
        <v>3997.1</v>
      </c>
      <c r="X1431" s="1">
        <v>600.16</v>
      </c>
      <c r="Y1431" s="1">
        <v>240</v>
      </c>
      <c r="Z1431" s="1">
        <v>32854.400000000001</v>
      </c>
      <c r="AA1431" s="1">
        <v>23.1</v>
      </c>
      <c r="AB1431" s="1">
        <v>800</v>
      </c>
    </row>
    <row r="1432" spans="1:28" x14ac:dyDescent="0.4">
      <c r="A1432" s="1" t="s">
        <v>232</v>
      </c>
      <c r="B1432" s="1">
        <v>800</v>
      </c>
      <c r="C1432" s="1">
        <v>0.3</v>
      </c>
      <c r="D1432" s="1">
        <v>0.5</v>
      </c>
      <c r="E1432" s="1">
        <v>500</v>
      </c>
      <c r="F1432" s="1">
        <v>2</v>
      </c>
      <c r="G1432" s="1">
        <v>1</v>
      </c>
      <c r="H1432" s="1" t="s">
        <v>592</v>
      </c>
      <c r="I1432" s="1">
        <v>60998.8</v>
      </c>
      <c r="J1432" s="1">
        <v>24909.4</v>
      </c>
      <c r="K1432" s="1">
        <v>36089.4</v>
      </c>
      <c r="L1432" s="1">
        <v>240</v>
      </c>
      <c r="M1432" s="1">
        <v>600.6</v>
      </c>
      <c r="N1432" s="1">
        <v>17100.7</v>
      </c>
      <c r="O1432" s="1">
        <v>24912.2</v>
      </c>
      <c r="P1432" s="1">
        <v>42012.9</v>
      </c>
      <c r="Q1432" s="1">
        <v>2853.1</v>
      </c>
      <c r="R1432" s="1">
        <v>1062.3</v>
      </c>
      <c r="S1432" s="1">
        <v>3915.4</v>
      </c>
      <c r="T1432" s="1">
        <v>24.71</v>
      </c>
      <c r="U1432" s="1">
        <v>0.03</v>
      </c>
      <c r="V1432" s="1">
        <v>1060.9000000000001</v>
      </c>
      <c r="W1432" s="1">
        <v>3914</v>
      </c>
      <c r="X1432" s="1">
        <v>600.63</v>
      </c>
      <c r="Y1432" s="1">
        <v>240</v>
      </c>
      <c r="Z1432" s="1">
        <v>45926.9</v>
      </c>
      <c r="AA1432" s="1">
        <v>24.71</v>
      </c>
      <c r="AB1432" s="1">
        <v>800</v>
      </c>
    </row>
    <row r="1433" spans="1:28" x14ac:dyDescent="0.4">
      <c r="A1433" s="1" t="s">
        <v>233</v>
      </c>
      <c r="B1433" s="1">
        <v>800</v>
      </c>
      <c r="C1433" s="1">
        <v>0.3</v>
      </c>
      <c r="D1433" s="1">
        <v>0.5</v>
      </c>
      <c r="E1433" s="1">
        <v>500</v>
      </c>
      <c r="F1433" s="1">
        <v>2</v>
      </c>
      <c r="G1433" s="1">
        <v>2</v>
      </c>
      <c r="H1433" s="1" t="s">
        <v>592</v>
      </c>
      <c r="I1433" s="1">
        <v>64804.6</v>
      </c>
      <c r="J1433" s="1">
        <v>25518.2</v>
      </c>
      <c r="K1433" s="1">
        <v>39286.400000000001</v>
      </c>
      <c r="L1433" s="1">
        <v>240</v>
      </c>
      <c r="M1433" s="1">
        <v>600.04</v>
      </c>
      <c r="N1433" s="1">
        <v>17393.5</v>
      </c>
      <c r="O1433" s="1">
        <v>26310.1</v>
      </c>
      <c r="P1433" s="1">
        <v>43703.6</v>
      </c>
      <c r="Q1433" s="1">
        <v>2992.8</v>
      </c>
      <c r="R1433" s="1">
        <v>1035.5999999999999</v>
      </c>
      <c r="S1433" s="1">
        <v>4028.4</v>
      </c>
      <c r="T1433" s="1">
        <v>26.34</v>
      </c>
      <c r="U1433" s="1">
        <v>0.03</v>
      </c>
      <c r="V1433" s="1">
        <v>1030.5999999999999</v>
      </c>
      <c r="W1433" s="1">
        <v>4023.4</v>
      </c>
      <c r="X1433" s="1">
        <v>600.07000000000005</v>
      </c>
      <c r="Y1433" s="1">
        <v>240</v>
      </c>
      <c r="Z1433" s="1">
        <v>47727</v>
      </c>
      <c r="AA1433" s="1">
        <v>26.35</v>
      </c>
      <c r="AB1433" s="1">
        <v>800</v>
      </c>
    </row>
    <row r="1434" spans="1:28" x14ac:dyDescent="0.4">
      <c r="A1434" s="1" t="s">
        <v>234</v>
      </c>
      <c r="B1434" s="1">
        <v>800</v>
      </c>
      <c r="C1434" s="1">
        <v>0.3</v>
      </c>
      <c r="D1434" s="1">
        <v>0.5</v>
      </c>
      <c r="E1434" s="1">
        <v>500</v>
      </c>
      <c r="F1434" s="1">
        <v>2</v>
      </c>
      <c r="G1434" s="1">
        <v>3</v>
      </c>
      <c r="H1434" s="1" t="s">
        <v>592</v>
      </c>
      <c r="I1434" s="1">
        <v>63051.4</v>
      </c>
      <c r="J1434" s="1">
        <v>26785.9</v>
      </c>
      <c r="K1434" s="1">
        <v>36265.5</v>
      </c>
      <c r="L1434" s="1">
        <v>240</v>
      </c>
      <c r="M1434" s="1">
        <v>600.53</v>
      </c>
      <c r="N1434" s="1">
        <v>18281.900000000001</v>
      </c>
      <c r="O1434" s="1">
        <v>24962.799999999999</v>
      </c>
      <c r="P1434" s="1">
        <v>43244.7</v>
      </c>
      <c r="Q1434" s="1">
        <v>2795.4</v>
      </c>
      <c r="R1434" s="1">
        <v>1015.1</v>
      </c>
      <c r="S1434" s="1">
        <v>3810.5</v>
      </c>
      <c r="T1434" s="1">
        <v>25.37</v>
      </c>
      <c r="U1434" s="1">
        <v>0.03</v>
      </c>
      <c r="V1434" s="1">
        <v>1015.1</v>
      </c>
      <c r="W1434" s="1">
        <v>3810.5</v>
      </c>
      <c r="X1434" s="1">
        <v>600.55999999999995</v>
      </c>
      <c r="Y1434" s="1">
        <v>240</v>
      </c>
      <c r="Z1434" s="1">
        <v>47055.199999999997</v>
      </c>
      <c r="AA1434" s="1">
        <v>25.37</v>
      </c>
      <c r="AB1434" s="1">
        <v>800</v>
      </c>
    </row>
    <row r="1435" spans="1:28" x14ac:dyDescent="0.4">
      <c r="A1435" s="1" t="s">
        <v>235</v>
      </c>
      <c r="B1435" s="1">
        <v>800</v>
      </c>
      <c r="C1435" s="1">
        <v>0.3</v>
      </c>
      <c r="D1435" s="1">
        <v>0.5</v>
      </c>
      <c r="E1435" s="1">
        <v>500</v>
      </c>
      <c r="F1435" s="1">
        <v>2</v>
      </c>
      <c r="G1435" s="1">
        <v>4</v>
      </c>
      <c r="H1435" s="1" t="s">
        <v>592</v>
      </c>
      <c r="I1435" s="1">
        <v>62455.6</v>
      </c>
      <c r="J1435" s="1">
        <v>24925.4</v>
      </c>
      <c r="K1435" s="1">
        <v>37530.199999999997</v>
      </c>
      <c r="L1435" s="1">
        <v>240</v>
      </c>
      <c r="M1435" s="1">
        <v>600.91999999999996</v>
      </c>
      <c r="N1435" s="1">
        <v>17077.900000000001</v>
      </c>
      <c r="O1435" s="1">
        <v>25806.2</v>
      </c>
      <c r="P1435" s="1">
        <v>42884.1</v>
      </c>
      <c r="Q1435" s="1">
        <v>2749.6</v>
      </c>
      <c r="R1435" s="1">
        <v>1100.4000000000001</v>
      </c>
      <c r="S1435" s="1">
        <v>3850</v>
      </c>
      <c r="T1435" s="1">
        <v>25.17</v>
      </c>
      <c r="U1435" s="1">
        <v>0.03</v>
      </c>
      <c r="V1435" s="1">
        <v>1100.4000000000001</v>
      </c>
      <c r="W1435" s="1">
        <v>3850</v>
      </c>
      <c r="X1435" s="1">
        <v>600.95000000000005</v>
      </c>
      <c r="Y1435" s="1">
        <v>240</v>
      </c>
      <c r="Z1435" s="1">
        <v>46734.1</v>
      </c>
      <c r="AA1435" s="1">
        <v>25.17</v>
      </c>
      <c r="AB1435" s="1">
        <v>800</v>
      </c>
    </row>
    <row r="1436" spans="1:28" x14ac:dyDescent="0.4">
      <c r="A1436" s="1" t="s">
        <v>236</v>
      </c>
      <c r="B1436" s="1">
        <v>800</v>
      </c>
      <c r="C1436" s="1">
        <v>0.3</v>
      </c>
      <c r="D1436" s="1">
        <v>0.5</v>
      </c>
      <c r="E1436" s="1">
        <v>500</v>
      </c>
      <c r="F1436" s="1">
        <v>2</v>
      </c>
      <c r="G1436" s="1">
        <v>5</v>
      </c>
      <c r="H1436" s="1" t="s">
        <v>592</v>
      </c>
      <c r="I1436" s="1">
        <v>63319.6</v>
      </c>
      <c r="J1436" s="1">
        <v>28112.7</v>
      </c>
      <c r="K1436" s="1">
        <v>35206.9</v>
      </c>
      <c r="L1436" s="1">
        <v>240</v>
      </c>
      <c r="M1436" s="1">
        <v>600.79</v>
      </c>
      <c r="N1436" s="1">
        <v>19015.900000000001</v>
      </c>
      <c r="O1436" s="1">
        <v>23910.3</v>
      </c>
      <c r="P1436" s="1">
        <v>42926.2</v>
      </c>
      <c r="Q1436" s="1">
        <v>2755.1</v>
      </c>
      <c r="R1436" s="1">
        <v>1024.8</v>
      </c>
      <c r="S1436" s="1">
        <v>3779.9</v>
      </c>
      <c r="T1436" s="1">
        <v>26.24</v>
      </c>
      <c r="U1436" s="1">
        <v>0.03</v>
      </c>
      <c r="V1436" s="1">
        <v>1008.8</v>
      </c>
      <c r="W1436" s="1">
        <v>3763.9</v>
      </c>
      <c r="X1436" s="1">
        <v>600.82000000000005</v>
      </c>
      <c r="Y1436" s="1">
        <v>240</v>
      </c>
      <c r="Z1436" s="1">
        <v>46690.1</v>
      </c>
      <c r="AA1436" s="1">
        <v>26.26</v>
      </c>
      <c r="AB1436" s="1">
        <v>800</v>
      </c>
    </row>
    <row r="1437" spans="1:28" x14ac:dyDescent="0.4">
      <c r="A1437" s="1" t="s">
        <v>237</v>
      </c>
      <c r="B1437" s="1">
        <v>800</v>
      </c>
      <c r="C1437" s="1">
        <v>0.3</v>
      </c>
      <c r="D1437" s="1">
        <v>0.5</v>
      </c>
      <c r="E1437" s="1">
        <v>500</v>
      </c>
      <c r="F1437" s="1">
        <v>3</v>
      </c>
      <c r="G1437" s="1">
        <v>1</v>
      </c>
      <c r="H1437" s="1" t="s">
        <v>592</v>
      </c>
      <c r="I1437" s="1">
        <v>76825.100000000006</v>
      </c>
      <c r="J1437" s="1">
        <v>32308.5</v>
      </c>
      <c r="K1437" s="1">
        <v>44516.6</v>
      </c>
      <c r="L1437" s="1">
        <v>240</v>
      </c>
      <c r="M1437" s="1">
        <v>600.57000000000005</v>
      </c>
      <c r="N1437" s="1">
        <v>22375.5</v>
      </c>
      <c r="O1437" s="1">
        <v>30980.7</v>
      </c>
      <c r="P1437" s="1">
        <v>53356.2</v>
      </c>
      <c r="Q1437" s="1">
        <v>2936</v>
      </c>
      <c r="R1437" s="1">
        <v>959.4</v>
      </c>
      <c r="S1437" s="1">
        <v>3895.4</v>
      </c>
      <c r="T1437" s="1">
        <v>25.48</v>
      </c>
      <c r="U1437" s="1">
        <v>0.04</v>
      </c>
      <c r="V1437" s="1">
        <v>959.4</v>
      </c>
      <c r="W1437" s="1">
        <v>3895.4</v>
      </c>
      <c r="X1437" s="1">
        <v>600.61</v>
      </c>
      <c r="Y1437" s="1">
        <v>240</v>
      </c>
      <c r="Z1437" s="1">
        <v>57251.6</v>
      </c>
      <c r="AA1437" s="1">
        <v>25.48</v>
      </c>
      <c r="AB1437" s="1">
        <v>800</v>
      </c>
    </row>
    <row r="1438" spans="1:28" x14ac:dyDescent="0.4">
      <c r="A1438" s="1" t="s">
        <v>238</v>
      </c>
      <c r="B1438" s="1">
        <v>800</v>
      </c>
      <c r="C1438" s="1">
        <v>0.3</v>
      </c>
      <c r="D1438" s="1">
        <v>0.5</v>
      </c>
      <c r="E1438" s="1">
        <v>500</v>
      </c>
      <c r="F1438" s="1">
        <v>3</v>
      </c>
      <c r="G1438" s="1">
        <v>2</v>
      </c>
      <c r="H1438" s="1" t="s">
        <v>592</v>
      </c>
      <c r="I1438" s="1">
        <v>79939</v>
      </c>
      <c r="J1438" s="1">
        <v>31659.1</v>
      </c>
      <c r="K1438" s="1">
        <v>48279.9</v>
      </c>
      <c r="L1438" s="1">
        <v>240</v>
      </c>
      <c r="M1438" s="1">
        <v>600.41999999999996</v>
      </c>
      <c r="N1438" s="1">
        <v>21837.4</v>
      </c>
      <c r="O1438" s="1">
        <v>33422.6</v>
      </c>
      <c r="P1438" s="1">
        <v>55260</v>
      </c>
      <c r="Q1438" s="1">
        <v>2892.1</v>
      </c>
      <c r="R1438" s="1">
        <v>1084.2</v>
      </c>
      <c r="S1438" s="1">
        <v>3976.3</v>
      </c>
      <c r="T1438" s="1">
        <v>25.9</v>
      </c>
      <c r="U1438" s="1">
        <v>0.05</v>
      </c>
      <c r="V1438" s="1">
        <v>1084.2</v>
      </c>
      <c r="W1438" s="1">
        <v>3976.3</v>
      </c>
      <c r="X1438" s="1">
        <v>600.47</v>
      </c>
      <c r="Y1438" s="1">
        <v>240</v>
      </c>
      <c r="Z1438" s="1">
        <v>59236.3</v>
      </c>
      <c r="AA1438" s="1">
        <v>25.9</v>
      </c>
      <c r="AB1438" s="1">
        <v>800</v>
      </c>
    </row>
    <row r="1439" spans="1:28" x14ac:dyDescent="0.4">
      <c r="A1439" s="1" t="s">
        <v>239</v>
      </c>
      <c r="B1439" s="1">
        <v>800</v>
      </c>
      <c r="C1439" s="1">
        <v>0.3</v>
      </c>
      <c r="D1439" s="1">
        <v>0.5</v>
      </c>
      <c r="E1439" s="1">
        <v>500</v>
      </c>
      <c r="F1439" s="1">
        <v>3</v>
      </c>
      <c r="G1439" s="1">
        <v>3</v>
      </c>
      <c r="H1439" s="1" t="s">
        <v>592</v>
      </c>
      <c r="I1439" s="1">
        <v>79677.899999999994</v>
      </c>
      <c r="J1439" s="1">
        <v>32024.3</v>
      </c>
      <c r="K1439" s="1">
        <v>47653.599999999999</v>
      </c>
      <c r="L1439" s="1">
        <v>240</v>
      </c>
      <c r="M1439" s="1">
        <v>600.11</v>
      </c>
      <c r="N1439" s="1">
        <v>21733</v>
      </c>
      <c r="O1439" s="1">
        <v>32317</v>
      </c>
      <c r="P1439" s="1">
        <v>54050</v>
      </c>
      <c r="Q1439" s="1">
        <v>2872.8</v>
      </c>
      <c r="R1439" s="1">
        <v>997.8</v>
      </c>
      <c r="S1439" s="1">
        <v>3870.6</v>
      </c>
      <c r="T1439" s="1">
        <v>27.31</v>
      </c>
      <c r="U1439" s="1">
        <v>0.03</v>
      </c>
      <c r="V1439" s="1">
        <v>997.8</v>
      </c>
      <c r="W1439" s="1">
        <v>3870.6</v>
      </c>
      <c r="X1439" s="1">
        <v>600.14</v>
      </c>
      <c r="Y1439" s="1">
        <v>240</v>
      </c>
      <c r="Z1439" s="1">
        <v>57920.6</v>
      </c>
      <c r="AA1439" s="1">
        <v>27.31</v>
      </c>
      <c r="AB1439" s="1">
        <v>800</v>
      </c>
    </row>
    <row r="1440" spans="1:28" x14ac:dyDescent="0.4">
      <c r="A1440" s="1" t="s">
        <v>240</v>
      </c>
      <c r="B1440" s="1">
        <v>800</v>
      </c>
      <c r="C1440" s="1">
        <v>0.3</v>
      </c>
      <c r="D1440" s="1">
        <v>0.5</v>
      </c>
      <c r="E1440" s="1">
        <v>500</v>
      </c>
      <c r="F1440" s="1">
        <v>3</v>
      </c>
      <c r="G1440" s="1">
        <v>4</v>
      </c>
      <c r="H1440" s="1" t="s">
        <v>592</v>
      </c>
      <c r="I1440" s="1">
        <v>78989.600000000006</v>
      </c>
      <c r="J1440" s="1">
        <v>31902.7</v>
      </c>
      <c r="K1440" s="1">
        <v>47086.9</v>
      </c>
      <c r="L1440" s="1">
        <v>240</v>
      </c>
      <c r="M1440" s="1">
        <v>600.25</v>
      </c>
      <c r="N1440" s="1">
        <v>22203.3</v>
      </c>
      <c r="O1440" s="1">
        <v>32466.799999999999</v>
      </c>
      <c r="P1440" s="1">
        <v>54670.1</v>
      </c>
      <c r="Q1440" s="1">
        <v>2929</v>
      </c>
      <c r="R1440" s="1">
        <v>1066.0999999999999</v>
      </c>
      <c r="S1440" s="1">
        <v>3995.1</v>
      </c>
      <c r="T1440" s="1">
        <v>25.73</v>
      </c>
      <c r="U1440" s="1">
        <v>0.04</v>
      </c>
      <c r="V1440" s="1">
        <v>1066.0999999999999</v>
      </c>
      <c r="W1440" s="1">
        <v>3995.1</v>
      </c>
      <c r="X1440" s="1">
        <v>600.29</v>
      </c>
      <c r="Y1440" s="1">
        <v>240</v>
      </c>
      <c r="Z1440" s="1">
        <v>58665.2</v>
      </c>
      <c r="AA1440" s="1">
        <v>25.73</v>
      </c>
      <c r="AB1440" s="1">
        <v>800</v>
      </c>
    </row>
    <row r="1441" spans="1:28" x14ac:dyDescent="0.4">
      <c r="A1441" s="1" t="s">
        <v>241</v>
      </c>
      <c r="B1441" s="1">
        <v>800</v>
      </c>
      <c r="C1441" s="1">
        <v>0.3</v>
      </c>
      <c r="D1441" s="1">
        <v>0.5</v>
      </c>
      <c r="E1441" s="1">
        <v>500</v>
      </c>
      <c r="F1441" s="1">
        <v>3</v>
      </c>
      <c r="G1441" s="1">
        <v>5</v>
      </c>
      <c r="H1441" s="1" t="s">
        <v>592</v>
      </c>
      <c r="I1441" s="1">
        <v>80569.2</v>
      </c>
      <c r="J1441" s="1">
        <v>33784.800000000003</v>
      </c>
      <c r="K1441" s="1">
        <v>46784.4</v>
      </c>
      <c r="L1441" s="1">
        <v>240</v>
      </c>
      <c r="M1441" s="1">
        <v>600.01</v>
      </c>
      <c r="N1441" s="1">
        <v>23386.9</v>
      </c>
      <c r="O1441" s="1">
        <v>32490.9</v>
      </c>
      <c r="P1441" s="1">
        <v>55877.8</v>
      </c>
      <c r="Q1441" s="1">
        <v>2901</v>
      </c>
      <c r="R1441" s="1">
        <v>1302.4000000000001</v>
      </c>
      <c r="S1441" s="1">
        <v>4203.3999999999996</v>
      </c>
      <c r="T1441" s="1">
        <v>25.43</v>
      </c>
      <c r="U1441" s="1">
        <v>0.03</v>
      </c>
      <c r="V1441" s="1">
        <v>1302.4000000000001</v>
      </c>
      <c r="W1441" s="1">
        <v>4203.3999999999996</v>
      </c>
      <c r="X1441" s="1">
        <v>600.04</v>
      </c>
      <c r="Y1441" s="1">
        <v>240</v>
      </c>
      <c r="Z1441" s="1">
        <v>60081.2</v>
      </c>
      <c r="AA1441" s="1">
        <v>25.43</v>
      </c>
      <c r="AB1441" s="1">
        <v>800</v>
      </c>
    </row>
    <row r="1442" spans="1:28" x14ac:dyDescent="0.4">
      <c r="A1442" s="1" t="s">
        <v>242</v>
      </c>
      <c r="B1442" s="1">
        <v>800</v>
      </c>
      <c r="C1442" s="1">
        <v>0.4</v>
      </c>
      <c r="D1442" s="1">
        <v>0.5</v>
      </c>
      <c r="E1442" s="1">
        <v>1000</v>
      </c>
      <c r="F1442" s="1">
        <v>1</v>
      </c>
      <c r="G1442" s="1">
        <v>1</v>
      </c>
      <c r="H1442" s="1" t="s">
        <v>592</v>
      </c>
      <c r="I1442" s="1">
        <v>86875.5</v>
      </c>
      <c r="J1442" s="1">
        <v>35462.5</v>
      </c>
      <c r="K1442" s="1">
        <v>51413</v>
      </c>
      <c r="L1442" s="1">
        <v>240</v>
      </c>
      <c r="M1442" s="1">
        <v>600.53</v>
      </c>
      <c r="N1442" s="1">
        <v>23732.400000000001</v>
      </c>
      <c r="O1442" s="1">
        <v>35105.800000000003</v>
      </c>
      <c r="P1442" s="1">
        <v>58838.2</v>
      </c>
      <c r="Q1442" s="1">
        <v>3179.5</v>
      </c>
      <c r="R1442" s="1">
        <v>1412.9</v>
      </c>
      <c r="S1442" s="1">
        <v>4592.3999999999996</v>
      </c>
      <c r="T1442" s="1">
        <v>26.99</v>
      </c>
      <c r="U1442" s="1">
        <v>0.05</v>
      </c>
      <c r="V1442" s="1">
        <v>1412.9</v>
      </c>
      <c r="W1442" s="1">
        <v>4592.3999999999996</v>
      </c>
      <c r="X1442" s="1">
        <v>600.58000000000004</v>
      </c>
      <c r="Y1442" s="1">
        <v>240</v>
      </c>
      <c r="Z1442" s="1">
        <v>63430.6</v>
      </c>
      <c r="AA1442" s="1">
        <v>26.99</v>
      </c>
      <c r="AB1442" s="1">
        <v>800</v>
      </c>
    </row>
    <row r="1443" spans="1:28" x14ac:dyDescent="0.4">
      <c r="A1443" s="1" t="s">
        <v>243</v>
      </c>
      <c r="B1443" s="1">
        <v>800</v>
      </c>
      <c r="C1443" s="1">
        <v>0.4</v>
      </c>
      <c r="D1443" s="1">
        <v>0.5</v>
      </c>
      <c r="E1443" s="1">
        <v>1000</v>
      </c>
      <c r="F1443" s="1">
        <v>1</v>
      </c>
      <c r="G1443" s="1">
        <v>2</v>
      </c>
      <c r="H1443" s="1" t="s">
        <v>592</v>
      </c>
      <c r="I1443" s="1">
        <v>87343.7</v>
      </c>
      <c r="J1443" s="1">
        <v>35450.300000000003</v>
      </c>
      <c r="K1443" s="1">
        <v>51893.4</v>
      </c>
      <c r="L1443" s="1">
        <v>240</v>
      </c>
      <c r="M1443" s="1">
        <v>600.54</v>
      </c>
      <c r="N1443" s="1">
        <v>22793.9</v>
      </c>
      <c r="O1443" s="1">
        <v>34394.1</v>
      </c>
      <c r="P1443" s="1">
        <v>57188</v>
      </c>
      <c r="Q1443" s="1">
        <v>3276.3</v>
      </c>
      <c r="R1443" s="1">
        <v>1343.3</v>
      </c>
      <c r="S1443" s="1">
        <v>4619.6000000000004</v>
      </c>
      <c r="T1443" s="1">
        <v>29.24</v>
      </c>
      <c r="U1443" s="1">
        <v>0.03</v>
      </c>
      <c r="V1443" s="1">
        <v>1343.3</v>
      </c>
      <c r="W1443" s="1">
        <v>4619.6000000000004</v>
      </c>
      <c r="X1443" s="1">
        <v>600.57000000000005</v>
      </c>
      <c r="Y1443" s="1">
        <v>240</v>
      </c>
      <c r="Z1443" s="1">
        <v>61807.6</v>
      </c>
      <c r="AA1443" s="1">
        <v>29.24</v>
      </c>
      <c r="AB1443" s="1">
        <v>800</v>
      </c>
    </row>
    <row r="1444" spans="1:28" x14ac:dyDescent="0.4">
      <c r="A1444" s="1" t="s">
        <v>244</v>
      </c>
      <c r="B1444" s="1">
        <v>800</v>
      </c>
      <c r="C1444" s="1">
        <v>0.4</v>
      </c>
      <c r="D1444" s="1">
        <v>0.5</v>
      </c>
      <c r="E1444" s="1">
        <v>1000</v>
      </c>
      <c r="F1444" s="1">
        <v>1</v>
      </c>
      <c r="G1444" s="1">
        <v>3</v>
      </c>
      <c r="H1444" s="1" t="s">
        <v>592</v>
      </c>
      <c r="I1444" s="1">
        <v>86584.4</v>
      </c>
      <c r="J1444" s="1">
        <v>35892.6</v>
      </c>
      <c r="K1444" s="1">
        <v>50691.8</v>
      </c>
      <c r="L1444" s="1">
        <v>240</v>
      </c>
      <c r="M1444" s="1">
        <v>600.36</v>
      </c>
      <c r="N1444" s="1">
        <v>23278.7</v>
      </c>
      <c r="O1444" s="1">
        <v>34072.9</v>
      </c>
      <c r="P1444" s="1">
        <v>57351.6</v>
      </c>
      <c r="Q1444" s="1">
        <v>3152</v>
      </c>
      <c r="R1444" s="1">
        <v>1443</v>
      </c>
      <c r="S1444" s="1">
        <v>4595</v>
      </c>
      <c r="T1444" s="1">
        <v>28.46</v>
      </c>
      <c r="U1444" s="1">
        <v>0.05</v>
      </c>
      <c r="V1444" s="1">
        <v>1441.6</v>
      </c>
      <c r="W1444" s="1">
        <v>4593.6000000000004</v>
      </c>
      <c r="X1444" s="1">
        <v>600.41</v>
      </c>
      <c r="Y1444" s="1">
        <v>240</v>
      </c>
      <c r="Z1444" s="1">
        <v>61945.2</v>
      </c>
      <c r="AA1444" s="1">
        <v>28.46</v>
      </c>
      <c r="AB1444" s="1">
        <v>800</v>
      </c>
    </row>
    <row r="1445" spans="1:28" x14ac:dyDescent="0.4">
      <c r="A1445" s="1" t="s">
        <v>245</v>
      </c>
      <c r="B1445" s="1">
        <v>800</v>
      </c>
      <c r="C1445" s="1">
        <v>0.4</v>
      </c>
      <c r="D1445" s="1">
        <v>0.5</v>
      </c>
      <c r="E1445" s="1">
        <v>1000</v>
      </c>
      <c r="F1445" s="1">
        <v>1</v>
      </c>
      <c r="G1445" s="1">
        <v>4</v>
      </c>
      <c r="H1445" s="1" t="s">
        <v>592</v>
      </c>
      <c r="I1445" s="1">
        <v>84463.6</v>
      </c>
      <c r="J1445" s="1">
        <v>34051.300000000003</v>
      </c>
      <c r="K1445" s="1">
        <v>50412.3</v>
      </c>
      <c r="L1445" s="1">
        <v>240</v>
      </c>
      <c r="M1445" s="1">
        <v>600.37</v>
      </c>
      <c r="N1445" s="1">
        <v>22326.1</v>
      </c>
      <c r="O1445" s="1">
        <v>33664.199999999997</v>
      </c>
      <c r="P1445" s="1">
        <v>55990.3</v>
      </c>
      <c r="Q1445" s="1">
        <v>3188.4</v>
      </c>
      <c r="R1445" s="1">
        <v>1508.4</v>
      </c>
      <c r="S1445" s="1">
        <v>4696.8</v>
      </c>
      <c r="T1445" s="1">
        <v>28.15</v>
      </c>
      <c r="U1445" s="1">
        <v>0.05</v>
      </c>
      <c r="V1445" s="1">
        <v>1508.4</v>
      </c>
      <c r="W1445" s="1">
        <v>4696.8</v>
      </c>
      <c r="X1445" s="1">
        <v>600.41</v>
      </c>
      <c r="Y1445" s="1">
        <v>240</v>
      </c>
      <c r="Z1445" s="1">
        <v>60687.1</v>
      </c>
      <c r="AA1445" s="1">
        <v>28.15</v>
      </c>
      <c r="AB1445" s="1">
        <v>800</v>
      </c>
    </row>
    <row r="1446" spans="1:28" x14ac:dyDescent="0.4">
      <c r="A1446" s="1" t="s">
        <v>246</v>
      </c>
      <c r="B1446" s="1">
        <v>800</v>
      </c>
      <c r="C1446" s="1">
        <v>0.4</v>
      </c>
      <c r="D1446" s="1">
        <v>0.5</v>
      </c>
      <c r="E1446" s="1">
        <v>1000</v>
      </c>
      <c r="F1446" s="1">
        <v>1</v>
      </c>
      <c r="G1446" s="1">
        <v>5</v>
      </c>
      <c r="H1446" s="1" t="s">
        <v>592</v>
      </c>
      <c r="I1446" s="1">
        <v>85389.5</v>
      </c>
      <c r="J1446" s="1">
        <v>35210.300000000003</v>
      </c>
      <c r="K1446" s="1">
        <v>50179.199999999997</v>
      </c>
      <c r="L1446" s="1">
        <v>240</v>
      </c>
      <c r="M1446" s="1">
        <v>600.71</v>
      </c>
      <c r="N1446" s="1">
        <v>23579.7</v>
      </c>
      <c r="O1446" s="1">
        <v>33602.800000000003</v>
      </c>
      <c r="P1446" s="1">
        <v>57182.5</v>
      </c>
      <c r="Q1446" s="1">
        <v>3285.2</v>
      </c>
      <c r="R1446" s="1">
        <v>1445</v>
      </c>
      <c r="S1446" s="1">
        <v>4730.2</v>
      </c>
      <c r="T1446" s="1">
        <v>27.49</v>
      </c>
      <c r="U1446" s="1">
        <v>0.05</v>
      </c>
      <c r="V1446" s="1">
        <v>1445</v>
      </c>
      <c r="W1446" s="1">
        <v>4730.2</v>
      </c>
      <c r="X1446" s="1">
        <v>600.76</v>
      </c>
      <c r="Y1446" s="1">
        <v>240</v>
      </c>
      <c r="Z1446" s="1">
        <v>61912.7</v>
      </c>
      <c r="AA1446" s="1">
        <v>27.49</v>
      </c>
      <c r="AB1446" s="1">
        <v>800</v>
      </c>
    </row>
    <row r="1447" spans="1:28" x14ac:dyDescent="0.4">
      <c r="A1447" s="1" t="s">
        <v>247</v>
      </c>
      <c r="B1447" s="1">
        <v>800</v>
      </c>
      <c r="C1447" s="1">
        <v>0.4</v>
      </c>
      <c r="D1447" s="1">
        <v>0.5</v>
      </c>
      <c r="E1447" s="1">
        <v>1000</v>
      </c>
      <c r="F1447" s="1">
        <v>2</v>
      </c>
      <c r="G1447" s="1">
        <v>1</v>
      </c>
      <c r="H1447" s="1" t="s">
        <v>592</v>
      </c>
      <c r="I1447" s="1">
        <v>120010.4</v>
      </c>
      <c r="J1447" s="1">
        <v>50108.7</v>
      </c>
      <c r="K1447" s="1">
        <v>69901.7</v>
      </c>
      <c r="L1447" s="1">
        <v>240</v>
      </c>
      <c r="M1447" s="1">
        <v>600.83000000000004</v>
      </c>
      <c r="N1447" s="1">
        <v>34136.400000000001</v>
      </c>
      <c r="O1447" s="1">
        <v>47249</v>
      </c>
      <c r="P1447" s="1">
        <v>81385.399999999994</v>
      </c>
      <c r="Q1447" s="1">
        <v>3003.5</v>
      </c>
      <c r="R1447" s="1">
        <v>1248.7</v>
      </c>
      <c r="S1447" s="1">
        <v>4252.2</v>
      </c>
      <c r="T1447" s="1">
        <v>28.64</v>
      </c>
      <c r="U1447" s="1">
        <v>0.04</v>
      </c>
      <c r="V1447" s="1">
        <v>1247.3</v>
      </c>
      <c r="W1447" s="1">
        <v>4250.8</v>
      </c>
      <c r="X1447" s="1">
        <v>600.87</v>
      </c>
      <c r="Y1447" s="1">
        <v>240</v>
      </c>
      <c r="Z1447" s="1">
        <v>85636.2</v>
      </c>
      <c r="AA1447" s="1">
        <v>28.64</v>
      </c>
      <c r="AB1447" s="1">
        <v>800</v>
      </c>
    </row>
    <row r="1448" spans="1:28" x14ac:dyDescent="0.4">
      <c r="A1448" s="1" t="s">
        <v>248</v>
      </c>
      <c r="B1448" s="1">
        <v>800</v>
      </c>
      <c r="C1448" s="1">
        <v>0.4</v>
      </c>
      <c r="D1448" s="1">
        <v>0.5</v>
      </c>
      <c r="E1448" s="1">
        <v>1000</v>
      </c>
      <c r="F1448" s="1">
        <v>2</v>
      </c>
      <c r="G1448" s="1">
        <v>2</v>
      </c>
      <c r="H1448" s="1" t="s">
        <v>592</v>
      </c>
      <c r="I1448" s="1">
        <v>122422.7</v>
      </c>
      <c r="J1448" s="1">
        <v>49651.199999999997</v>
      </c>
      <c r="K1448" s="1">
        <v>72771.5</v>
      </c>
      <c r="L1448" s="1">
        <v>240</v>
      </c>
      <c r="M1448" s="1">
        <v>600.54999999999995</v>
      </c>
      <c r="N1448" s="1">
        <v>34722.199999999997</v>
      </c>
      <c r="O1448" s="1">
        <v>49275.4</v>
      </c>
      <c r="P1448" s="1">
        <v>83997.6</v>
      </c>
      <c r="Q1448" s="1">
        <v>2849.1</v>
      </c>
      <c r="R1448" s="1">
        <v>1278.7</v>
      </c>
      <c r="S1448" s="1">
        <v>4127.8</v>
      </c>
      <c r="T1448" s="1">
        <v>28.02</v>
      </c>
      <c r="U1448" s="1">
        <v>0.06</v>
      </c>
      <c r="V1448" s="1">
        <v>1278.7</v>
      </c>
      <c r="W1448" s="1">
        <v>4127.8</v>
      </c>
      <c r="X1448" s="1">
        <v>600.61</v>
      </c>
      <c r="Y1448" s="1">
        <v>240</v>
      </c>
      <c r="Z1448" s="1">
        <v>88125.4</v>
      </c>
      <c r="AA1448" s="1">
        <v>28.02</v>
      </c>
      <c r="AB1448" s="1">
        <v>800</v>
      </c>
    </row>
    <row r="1449" spans="1:28" x14ac:dyDescent="0.4">
      <c r="A1449" s="1" t="s">
        <v>249</v>
      </c>
      <c r="B1449" s="1">
        <v>800</v>
      </c>
      <c r="C1449" s="1">
        <v>0.4</v>
      </c>
      <c r="D1449" s="1">
        <v>0.5</v>
      </c>
      <c r="E1449" s="1">
        <v>1000</v>
      </c>
      <c r="F1449" s="1">
        <v>2</v>
      </c>
      <c r="G1449" s="1">
        <v>3</v>
      </c>
      <c r="H1449" s="1" t="s">
        <v>592</v>
      </c>
      <c r="I1449" s="1">
        <v>121057.1</v>
      </c>
      <c r="J1449" s="1">
        <v>49231.7</v>
      </c>
      <c r="K1449" s="1">
        <v>71825.399999999994</v>
      </c>
      <c r="L1449" s="1">
        <v>240</v>
      </c>
      <c r="M1449" s="1">
        <v>600.78</v>
      </c>
      <c r="N1449" s="1">
        <v>33423.199999999997</v>
      </c>
      <c r="O1449" s="1">
        <v>48423.3</v>
      </c>
      <c r="P1449" s="1">
        <v>81846.5</v>
      </c>
      <c r="Q1449" s="1">
        <v>3065.3</v>
      </c>
      <c r="R1449" s="1">
        <v>1327.2</v>
      </c>
      <c r="S1449" s="1">
        <v>4392.5</v>
      </c>
      <c r="T1449" s="1">
        <v>28.76</v>
      </c>
      <c r="U1449" s="1">
        <v>0.04</v>
      </c>
      <c r="V1449" s="1">
        <v>1318</v>
      </c>
      <c r="W1449" s="1">
        <v>4383.3</v>
      </c>
      <c r="X1449" s="1">
        <v>600.82000000000005</v>
      </c>
      <c r="Y1449" s="1">
        <v>240</v>
      </c>
      <c r="Z1449" s="1">
        <v>86229.8</v>
      </c>
      <c r="AA1449" s="1">
        <v>28.77</v>
      </c>
      <c r="AB1449" s="1">
        <v>800</v>
      </c>
    </row>
    <row r="1450" spans="1:28" x14ac:dyDescent="0.4">
      <c r="A1450" s="1" t="s">
        <v>250</v>
      </c>
      <c r="B1450" s="1">
        <v>800</v>
      </c>
      <c r="C1450" s="1">
        <v>0.4</v>
      </c>
      <c r="D1450" s="1">
        <v>0.5</v>
      </c>
      <c r="E1450" s="1">
        <v>1000</v>
      </c>
      <c r="F1450" s="1">
        <v>2</v>
      </c>
      <c r="G1450" s="1">
        <v>4</v>
      </c>
      <c r="H1450" s="1" t="s">
        <v>592</v>
      </c>
      <c r="I1450" s="1">
        <v>123447.4</v>
      </c>
      <c r="J1450" s="1">
        <v>51496.6</v>
      </c>
      <c r="K1450" s="1">
        <v>71950.8</v>
      </c>
      <c r="L1450" s="1">
        <v>240</v>
      </c>
      <c r="M1450" s="1">
        <v>600.66</v>
      </c>
      <c r="N1450" s="1">
        <v>34927.300000000003</v>
      </c>
      <c r="O1450" s="1">
        <v>48351.7</v>
      </c>
      <c r="P1450" s="1">
        <v>83279</v>
      </c>
      <c r="Q1450" s="1">
        <v>3034.7</v>
      </c>
      <c r="R1450" s="1">
        <v>1328.6</v>
      </c>
      <c r="S1450" s="1">
        <v>4363.3</v>
      </c>
      <c r="T1450" s="1">
        <v>29</v>
      </c>
      <c r="U1450" s="1">
        <v>0.05</v>
      </c>
      <c r="V1450" s="1">
        <v>1328.6</v>
      </c>
      <c r="W1450" s="1">
        <v>4363.3</v>
      </c>
      <c r="X1450" s="1">
        <v>600.70000000000005</v>
      </c>
      <c r="Y1450" s="1">
        <v>240</v>
      </c>
      <c r="Z1450" s="1">
        <v>87642.3</v>
      </c>
      <c r="AA1450" s="1">
        <v>29</v>
      </c>
      <c r="AB1450" s="1">
        <v>800</v>
      </c>
    </row>
    <row r="1451" spans="1:28" x14ac:dyDescent="0.4">
      <c r="A1451" s="1" t="s">
        <v>251</v>
      </c>
      <c r="B1451" s="1">
        <v>800</v>
      </c>
      <c r="C1451" s="1">
        <v>0.4</v>
      </c>
      <c r="D1451" s="1">
        <v>0.5</v>
      </c>
      <c r="E1451" s="1">
        <v>1000</v>
      </c>
      <c r="F1451" s="1">
        <v>2</v>
      </c>
      <c r="G1451" s="1">
        <v>5</v>
      </c>
      <c r="H1451" s="1" t="s">
        <v>592</v>
      </c>
      <c r="I1451" s="1">
        <v>120041.2</v>
      </c>
      <c r="J1451" s="1">
        <v>49650.400000000001</v>
      </c>
      <c r="K1451" s="1">
        <v>70390.8</v>
      </c>
      <c r="L1451" s="1">
        <v>240</v>
      </c>
      <c r="M1451" s="1">
        <v>600.32000000000005</v>
      </c>
      <c r="N1451" s="1">
        <v>33240.800000000003</v>
      </c>
      <c r="O1451" s="1">
        <v>46530.5</v>
      </c>
      <c r="P1451" s="1">
        <v>79771.3</v>
      </c>
      <c r="Q1451" s="1">
        <v>3019.9</v>
      </c>
      <c r="R1451" s="1">
        <v>1301.7</v>
      </c>
      <c r="S1451" s="1">
        <v>4321.6000000000004</v>
      </c>
      <c r="T1451" s="1">
        <v>29.95</v>
      </c>
      <c r="U1451" s="1">
        <v>0.04</v>
      </c>
      <c r="V1451" s="1">
        <v>1301.7</v>
      </c>
      <c r="W1451" s="1">
        <v>4321.6000000000004</v>
      </c>
      <c r="X1451" s="1">
        <v>600.36</v>
      </c>
      <c r="Y1451" s="1">
        <v>240</v>
      </c>
      <c r="Z1451" s="1">
        <v>84092.9</v>
      </c>
      <c r="AA1451" s="1">
        <v>29.95</v>
      </c>
      <c r="AB1451" s="1">
        <v>800</v>
      </c>
    </row>
    <row r="1452" spans="1:28" x14ac:dyDescent="0.4">
      <c r="A1452" s="1" t="s">
        <v>252</v>
      </c>
      <c r="B1452" s="1">
        <v>800</v>
      </c>
      <c r="C1452" s="1">
        <v>0.4</v>
      </c>
      <c r="D1452" s="1">
        <v>0.5</v>
      </c>
      <c r="E1452" s="1">
        <v>1000</v>
      </c>
      <c r="F1452" s="1">
        <v>3</v>
      </c>
      <c r="G1452" s="1">
        <v>1</v>
      </c>
      <c r="H1452" s="1" t="s">
        <v>592</v>
      </c>
      <c r="I1452" s="1">
        <v>146868</v>
      </c>
      <c r="J1452" s="1">
        <v>60175.9</v>
      </c>
      <c r="K1452" s="1">
        <v>86692.1</v>
      </c>
      <c r="L1452" s="1">
        <v>240</v>
      </c>
      <c r="M1452" s="1">
        <v>600.02</v>
      </c>
      <c r="N1452" s="1">
        <v>41511.1</v>
      </c>
      <c r="O1452" s="1">
        <v>57549.9</v>
      </c>
      <c r="P1452" s="1">
        <v>99061</v>
      </c>
      <c r="Q1452" s="1">
        <v>3197.7</v>
      </c>
      <c r="R1452" s="1">
        <v>1277.5</v>
      </c>
      <c r="S1452" s="1">
        <v>4475.2</v>
      </c>
      <c r="T1452" s="1">
        <v>29.5</v>
      </c>
      <c r="U1452" s="1">
        <v>0.05</v>
      </c>
      <c r="V1452" s="1">
        <v>1277.5</v>
      </c>
      <c r="W1452" s="1">
        <v>4475.2</v>
      </c>
      <c r="X1452" s="1">
        <v>600.07000000000005</v>
      </c>
      <c r="Y1452" s="1">
        <v>240</v>
      </c>
      <c r="Z1452" s="1">
        <v>103536.2</v>
      </c>
      <c r="AA1452" s="1">
        <v>29.5</v>
      </c>
      <c r="AB1452" s="1">
        <v>800</v>
      </c>
    </row>
    <row r="1453" spans="1:28" x14ac:dyDescent="0.4">
      <c r="A1453" s="1" t="s">
        <v>253</v>
      </c>
      <c r="B1453" s="1">
        <v>800</v>
      </c>
      <c r="C1453" s="1">
        <v>0.4</v>
      </c>
      <c r="D1453" s="1">
        <v>0.5</v>
      </c>
      <c r="E1453" s="1">
        <v>1000</v>
      </c>
      <c r="F1453" s="1">
        <v>3</v>
      </c>
      <c r="G1453" s="1">
        <v>2</v>
      </c>
      <c r="H1453" s="1" t="s">
        <v>592</v>
      </c>
      <c r="I1453" s="1">
        <v>152324.6</v>
      </c>
      <c r="J1453" s="1">
        <v>62718.5</v>
      </c>
      <c r="K1453" s="1">
        <v>89606.1</v>
      </c>
      <c r="L1453" s="1">
        <v>240</v>
      </c>
      <c r="M1453" s="1">
        <v>600.87</v>
      </c>
      <c r="N1453" s="1">
        <v>42285.9</v>
      </c>
      <c r="O1453" s="1">
        <v>57790.9</v>
      </c>
      <c r="P1453" s="1">
        <v>100076.8</v>
      </c>
      <c r="Q1453" s="1">
        <v>3245.1</v>
      </c>
      <c r="R1453" s="1">
        <v>1357.3</v>
      </c>
      <c r="S1453" s="1">
        <v>4602.3999999999996</v>
      </c>
      <c r="T1453" s="1">
        <v>31.28</v>
      </c>
      <c r="U1453" s="1">
        <v>7.0000000000000007E-2</v>
      </c>
      <c r="V1453" s="1">
        <v>1357.3</v>
      </c>
      <c r="W1453" s="1">
        <v>4602.3999999999996</v>
      </c>
      <c r="X1453" s="1">
        <v>600.94000000000005</v>
      </c>
      <c r="Y1453" s="1">
        <v>240</v>
      </c>
      <c r="Z1453" s="1">
        <v>104679.2</v>
      </c>
      <c r="AA1453" s="1">
        <v>31.28</v>
      </c>
      <c r="AB1453" s="1">
        <v>800</v>
      </c>
    </row>
    <row r="1454" spans="1:28" x14ac:dyDescent="0.4">
      <c r="A1454" s="1" t="s">
        <v>254</v>
      </c>
      <c r="B1454" s="1">
        <v>800</v>
      </c>
      <c r="C1454" s="1">
        <v>0.4</v>
      </c>
      <c r="D1454" s="1">
        <v>0.5</v>
      </c>
      <c r="E1454" s="1">
        <v>1000</v>
      </c>
      <c r="F1454" s="1">
        <v>3</v>
      </c>
      <c r="G1454" s="1">
        <v>3</v>
      </c>
      <c r="H1454" s="1" t="s">
        <v>592</v>
      </c>
      <c r="I1454" s="1">
        <v>157468.70000000001</v>
      </c>
      <c r="J1454" s="1">
        <v>63259.3</v>
      </c>
      <c r="K1454" s="1">
        <v>94209.4</v>
      </c>
      <c r="L1454" s="1">
        <v>240</v>
      </c>
      <c r="M1454" s="1">
        <v>600.02</v>
      </c>
      <c r="N1454" s="1">
        <v>44041.5</v>
      </c>
      <c r="O1454" s="1">
        <v>62202.9</v>
      </c>
      <c r="P1454" s="1">
        <v>106244.4</v>
      </c>
      <c r="Q1454" s="1">
        <v>3012.2</v>
      </c>
      <c r="R1454" s="1">
        <v>1393.8</v>
      </c>
      <c r="S1454" s="1">
        <v>4406</v>
      </c>
      <c r="T1454" s="1">
        <v>29.73</v>
      </c>
      <c r="U1454" s="1">
        <v>0.06</v>
      </c>
      <c r="V1454" s="1">
        <v>1393.8</v>
      </c>
      <c r="W1454" s="1">
        <v>4406</v>
      </c>
      <c r="X1454" s="1">
        <v>600.08000000000004</v>
      </c>
      <c r="Y1454" s="1">
        <v>240</v>
      </c>
      <c r="Z1454" s="1">
        <v>110650.4</v>
      </c>
      <c r="AA1454" s="1">
        <v>29.73</v>
      </c>
      <c r="AB1454" s="1">
        <v>800</v>
      </c>
    </row>
    <row r="1455" spans="1:28" x14ac:dyDescent="0.4">
      <c r="A1455" s="1" t="s">
        <v>255</v>
      </c>
      <c r="B1455" s="1">
        <v>800</v>
      </c>
      <c r="C1455" s="1">
        <v>0.4</v>
      </c>
      <c r="D1455" s="1">
        <v>0.5</v>
      </c>
      <c r="E1455" s="1">
        <v>1000</v>
      </c>
      <c r="F1455" s="1">
        <v>3</v>
      </c>
      <c r="G1455" s="1">
        <v>4</v>
      </c>
      <c r="H1455" s="1" t="s">
        <v>592</v>
      </c>
      <c r="I1455" s="1">
        <v>153712.1</v>
      </c>
      <c r="J1455" s="1">
        <v>61756.6</v>
      </c>
      <c r="K1455" s="1">
        <v>91955.5</v>
      </c>
      <c r="L1455" s="1">
        <v>240</v>
      </c>
      <c r="M1455" s="1">
        <v>600.89</v>
      </c>
      <c r="N1455" s="1">
        <v>42675.5</v>
      </c>
      <c r="O1455" s="1">
        <v>62845.7</v>
      </c>
      <c r="P1455" s="1">
        <v>105521.2</v>
      </c>
      <c r="Q1455" s="1">
        <v>3188.6</v>
      </c>
      <c r="R1455" s="1">
        <v>1169.9000000000001</v>
      </c>
      <c r="S1455" s="1">
        <v>4358.5</v>
      </c>
      <c r="T1455" s="1">
        <v>28.52</v>
      </c>
      <c r="U1455" s="1">
        <v>0.05</v>
      </c>
      <c r="V1455" s="1">
        <v>1169.9000000000001</v>
      </c>
      <c r="W1455" s="1">
        <v>4358.5</v>
      </c>
      <c r="X1455" s="1">
        <v>600.94000000000005</v>
      </c>
      <c r="Y1455" s="1">
        <v>240</v>
      </c>
      <c r="Z1455" s="1">
        <v>109879.7</v>
      </c>
      <c r="AA1455" s="1">
        <v>28.52</v>
      </c>
      <c r="AB1455" s="1">
        <v>800</v>
      </c>
    </row>
    <row r="1456" spans="1:28" x14ac:dyDescent="0.4">
      <c r="A1456" s="1" t="s">
        <v>256</v>
      </c>
      <c r="B1456" s="1">
        <v>800</v>
      </c>
      <c r="C1456" s="1">
        <v>0.4</v>
      </c>
      <c r="D1456" s="1">
        <v>0.5</v>
      </c>
      <c r="E1456" s="1">
        <v>1000</v>
      </c>
      <c r="F1456" s="1">
        <v>3</v>
      </c>
      <c r="G1456" s="1">
        <v>5</v>
      </c>
      <c r="H1456" s="1" t="s">
        <v>592</v>
      </c>
      <c r="I1456" s="1">
        <v>154868.70000000001</v>
      </c>
      <c r="J1456" s="1">
        <v>62106</v>
      </c>
      <c r="K1456" s="1">
        <v>92762.7</v>
      </c>
      <c r="L1456" s="1">
        <v>240</v>
      </c>
      <c r="M1456" s="1">
        <v>600.64</v>
      </c>
      <c r="N1456" s="1">
        <v>42392.2</v>
      </c>
      <c r="O1456" s="1">
        <v>60356.6</v>
      </c>
      <c r="P1456" s="1">
        <v>102748.8</v>
      </c>
      <c r="Q1456" s="1">
        <v>3026.8</v>
      </c>
      <c r="R1456" s="1">
        <v>1245.9000000000001</v>
      </c>
      <c r="S1456" s="1">
        <v>4272.7</v>
      </c>
      <c r="T1456" s="1">
        <v>30.9</v>
      </c>
      <c r="U1456" s="1">
        <v>0.05</v>
      </c>
      <c r="V1456" s="1">
        <v>1245.9000000000001</v>
      </c>
      <c r="W1456" s="1">
        <v>4272.7</v>
      </c>
      <c r="X1456" s="1">
        <v>600.69000000000005</v>
      </c>
      <c r="Y1456" s="1">
        <v>240</v>
      </c>
      <c r="Z1456" s="1">
        <v>107021.5</v>
      </c>
      <c r="AA1456" s="1">
        <v>30.9</v>
      </c>
      <c r="AB1456" s="1">
        <v>800</v>
      </c>
    </row>
    <row r="1457" spans="1:28" x14ac:dyDescent="0.4">
      <c r="A1457" s="1" t="s">
        <v>257</v>
      </c>
      <c r="B1457" s="1">
        <v>800</v>
      </c>
      <c r="C1457" s="1">
        <v>0.4</v>
      </c>
      <c r="D1457" s="1">
        <v>0.5</v>
      </c>
      <c r="E1457" s="1">
        <v>2000</v>
      </c>
      <c r="F1457" s="1">
        <v>1</v>
      </c>
      <c r="G1457" s="1">
        <v>1</v>
      </c>
      <c r="H1457" s="1" t="s">
        <v>592</v>
      </c>
      <c r="I1457" s="1">
        <v>170213.4</v>
      </c>
      <c r="J1457" s="1">
        <v>69005.2</v>
      </c>
      <c r="K1457" s="1">
        <v>101208.2</v>
      </c>
      <c r="L1457" s="1">
        <v>240</v>
      </c>
      <c r="M1457" s="1">
        <v>600.37</v>
      </c>
      <c r="N1457" s="1">
        <v>47161.7</v>
      </c>
      <c r="O1457" s="1">
        <v>69513.600000000006</v>
      </c>
      <c r="P1457" s="1">
        <v>116675.3</v>
      </c>
      <c r="Q1457" s="1">
        <v>3448.2</v>
      </c>
      <c r="R1457" s="1">
        <v>1545.1</v>
      </c>
      <c r="S1457" s="1">
        <v>4993.3</v>
      </c>
      <c r="T1457" s="1">
        <v>28.52</v>
      </c>
      <c r="U1457" s="1">
        <v>0.04</v>
      </c>
      <c r="V1457" s="1">
        <v>1545.1</v>
      </c>
      <c r="W1457" s="1">
        <v>4993.3</v>
      </c>
      <c r="X1457" s="1">
        <v>600.41</v>
      </c>
      <c r="Y1457" s="1">
        <v>240</v>
      </c>
      <c r="Z1457" s="1">
        <v>121668.6</v>
      </c>
      <c r="AA1457" s="1">
        <v>28.52</v>
      </c>
      <c r="AB1457" s="1">
        <v>800</v>
      </c>
    </row>
    <row r="1458" spans="1:28" x14ac:dyDescent="0.4">
      <c r="A1458" s="1" t="s">
        <v>258</v>
      </c>
      <c r="B1458" s="1">
        <v>800</v>
      </c>
      <c r="C1458" s="1">
        <v>0.4</v>
      </c>
      <c r="D1458" s="1">
        <v>0.5</v>
      </c>
      <c r="E1458" s="1">
        <v>2000</v>
      </c>
      <c r="F1458" s="1">
        <v>1</v>
      </c>
      <c r="G1458" s="1">
        <v>2</v>
      </c>
      <c r="H1458" s="1" t="s">
        <v>592</v>
      </c>
      <c r="I1458" s="1">
        <v>169988.2</v>
      </c>
      <c r="J1458" s="1">
        <v>70466.899999999994</v>
      </c>
      <c r="K1458" s="1">
        <v>99521.3</v>
      </c>
      <c r="L1458" s="1">
        <v>240</v>
      </c>
      <c r="M1458" s="1">
        <v>600.04999999999995</v>
      </c>
      <c r="N1458" s="1">
        <v>48413.1</v>
      </c>
      <c r="O1458" s="1">
        <v>69611.199999999997</v>
      </c>
      <c r="P1458" s="1">
        <v>118024.3</v>
      </c>
      <c r="Q1458" s="1">
        <v>3283.1</v>
      </c>
      <c r="R1458" s="1">
        <v>1583.3</v>
      </c>
      <c r="S1458" s="1">
        <v>4866.3999999999996</v>
      </c>
      <c r="T1458" s="1">
        <v>27.71</v>
      </c>
      <c r="U1458" s="1">
        <v>0.03</v>
      </c>
      <c r="V1458" s="1">
        <v>1583.3</v>
      </c>
      <c r="W1458" s="1">
        <v>4866.3999999999996</v>
      </c>
      <c r="X1458" s="1">
        <v>600.08000000000004</v>
      </c>
      <c r="Y1458" s="1">
        <v>240</v>
      </c>
      <c r="Z1458" s="1">
        <v>122890.7</v>
      </c>
      <c r="AA1458" s="1">
        <v>27.71</v>
      </c>
      <c r="AB1458" s="1">
        <v>800</v>
      </c>
    </row>
    <row r="1459" spans="1:28" x14ac:dyDescent="0.4">
      <c r="A1459" s="1" t="s">
        <v>259</v>
      </c>
      <c r="B1459" s="1">
        <v>800</v>
      </c>
      <c r="C1459" s="1">
        <v>0.4</v>
      </c>
      <c r="D1459" s="1">
        <v>0.5</v>
      </c>
      <c r="E1459" s="1">
        <v>2000</v>
      </c>
      <c r="F1459" s="1">
        <v>1</v>
      </c>
      <c r="G1459" s="1">
        <v>3</v>
      </c>
      <c r="H1459" s="1" t="s">
        <v>592</v>
      </c>
      <c r="I1459" s="1">
        <v>169951.6</v>
      </c>
      <c r="J1459" s="1">
        <v>69481.600000000006</v>
      </c>
      <c r="K1459" s="1">
        <v>100470</v>
      </c>
      <c r="L1459" s="1">
        <v>240</v>
      </c>
      <c r="M1459" s="1">
        <v>600.99</v>
      </c>
      <c r="N1459" s="1">
        <v>47557.7</v>
      </c>
      <c r="O1459" s="1">
        <v>69919.8</v>
      </c>
      <c r="P1459" s="1">
        <v>117477.5</v>
      </c>
      <c r="Q1459" s="1">
        <v>3432.1</v>
      </c>
      <c r="R1459" s="1">
        <v>1584.1</v>
      </c>
      <c r="S1459" s="1">
        <v>5016.2</v>
      </c>
      <c r="T1459" s="1">
        <v>27.92</v>
      </c>
      <c r="U1459" s="1">
        <v>0.04</v>
      </c>
      <c r="V1459" s="1">
        <v>1584.1</v>
      </c>
      <c r="W1459" s="1">
        <v>5016.2</v>
      </c>
      <c r="X1459" s="1">
        <v>601.03</v>
      </c>
      <c r="Y1459" s="1">
        <v>240</v>
      </c>
      <c r="Z1459" s="1">
        <v>122493.7</v>
      </c>
      <c r="AA1459" s="1">
        <v>27.92</v>
      </c>
      <c r="AB1459" s="1">
        <v>800</v>
      </c>
    </row>
    <row r="1460" spans="1:28" x14ac:dyDescent="0.4">
      <c r="A1460" s="1" t="s">
        <v>260</v>
      </c>
      <c r="B1460" s="1">
        <v>800</v>
      </c>
      <c r="C1460" s="1">
        <v>0.4</v>
      </c>
      <c r="D1460" s="1">
        <v>0.5</v>
      </c>
      <c r="E1460" s="1">
        <v>2000</v>
      </c>
      <c r="F1460" s="1">
        <v>1</v>
      </c>
      <c r="G1460" s="1">
        <v>4</v>
      </c>
      <c r="H1460" s="1" t="s">
        <v>592</v>
      </c>
      <c r="I1460" s="1">
        <v>165701.20000000001</v>
      </c>
      <c r="J1460" s="1">
        <v>67770.8</v>
      </c>
      <c r="K1460" s="1">
        <v>97930.4</v>
      </c>
      <c r="L1460" s="1">
        <v>240</v>
      </c>
      <c r="M1460" s="1">
        <v>600.95000000000005</v>
      </c>
      <c r="N1460" s="1">
        <v>46653.3</v>
      </c>
      <c r="O1460" s="1">
        <v>68302.899999999994</v>
      </c>
      <c r="P1460" s="1">
        <v>114956.2</v>
      </c>
      <c r="Q1460" s="1">
        <v>3222.8</v>
      </c>
      <c r="R1460" s="1">
        <v>1434.9</v>
      </c>
      <c r="S1460" s="1">
        <v>4657.7</v>
      </c>
      <c r="T1460" s="1">
        <v>27.81</v>
      </c>
      <c r="U1460" s="1">
        <v>0.04</v>
      </c>
      <c r="V1460" s="1">
        <v>1434.9</v>
      </c>
      <c r="W1460" s="1">
        <v>4657.7</v>
      </c>
      <c r="X1460" s="1">
        <v>600.99</v>
      </c>
      <c r="Y1460" s="1">
        <v>240</v>
      </c>
      <c r="Z1460" s="1">
        <v>119613.9</v>
      </c>
      <c r="AA1460" s="1">
        <v>27.81</v>
      </c>
      <c r="AB1460" s="1">
        <v>800</v>
      </c>
    </row>
    <row r="1461" spans="1:28" x14ac:dyDescent="0.4">
      <c r="A1461" s="1" t="s">
        <v>261</v>
      </c>
      <c r="B1461" s="1">
        <v>800</v>
      </c>
      <c r="C1461" s="1">
        <v>0.4</v>
      </c>
      <c r="D1461" s="1">
        <v>0.5</v>
      </c>
      <c r="E1461" s="1">
        <v>2000</v>
      </c>
      <c r="F1461" s="1">
        <v>1</v>
      </c>
      <c r="G1461" s="1">
        <v>5</v>
      </c>
      <c r="H1461" s="1" t="s">
        <v>592</v>
      </c>
      <c r="I1461" s="1">
        <v>168020</v>
      </c>
      <c r="J1461" s="1">
        <v>71133</v>
      </c>
      <c r="K1461" s="1">
        <v>96887</v>
      </c>
      <c r="L1461" s="1">
        <v>240</v>
      </c>
      <c r="M1461" s="1">
        <v>600.97</v>
      </c>
      <c r="N1461" s="1">
        <v>47077.1</v>
      </c>
      <c r="O1461" s="1">
        <v>66437.100000000006</v>
      </c>
      <c r="P1461" s="1">
        <v>113514.2</v>
      </c>
      <c r="Q1461" s="1">
        <v>3313.6</v>
      </c>
      <c r="R1461" s="1">
        <v>1442.3</v>
      </c>
      <c r="S1461" s="1">
        <v>4755.8999999999996</v>
      </c>
      <c r="T1461" s="1">
        <v>29.61</v>
      </c>
      <c r="U1461" s="1">
        <v>0.04</v>
      </c>
      <c r="V1461" s="1">
        <v>1442.3</v>
      </c>
      <c r="W1461" s="1">
        <v>4755.8999999999996</v>
      </c>
      <c r="X1461" s="1">
        <v>601</v>
      </c>
      <c r="Y1461" s="1">
        <v>240</v>
      </c>
      <c r="Z1461" s="1">
        <v>118270.1</v>
      </c>
      <c r="AA1461" s="1">
        <v>29.61</v>
      </c>
      <c r="AB1461" s="1">
        <v>800</v>
      </c>
    </row>
    <row r="1462" spans="1:28" x14ac:dyDescent="0.4">
      <c r="A1462" s="1" t="s">
        <v>262</v>
      </c>
      <c r="B1462" s="1">
        <v>800</v>
      </c>
      <c r="C1462" s="1">
        <v>0.4</v>
      </c>
      <c r="D1462" s="1">
        <v>0.5</v>
      </c>
      <c r="E1462" s="1">
        <v>2000</v>
      </c>
      <c r="F1462" s="1">
        <v>2</v>
      </c>
      <c r="G1462" s="1">
        <v>1</v>
      </c>
      <c r="H1462" s="1" t="s">
        <v>592</v>
      </c>
      <c r="I1462" s="1">
        <v>250362.9</v>
      </c>
      <c r="J1462" s="1">
        <v>98155.4</v>
      </c>
      <c r="K1462" s="1">
        <v>152207.5</v>
      </c>
      <c r="L1462" s="1">
        <v>240</v>
      </c>
      <c r="M1462" s="1">
        <v>600.44000000000005</v>
      </c>
      <c r="N1462" s="1">
        <v>67454.7</v>
      </c>
      <c r="O1462" s="1">
        <v>104354.2</v>
      </c>
      <c r="P1462" s="1">
        <v>171808.9</v>
      </c>
      <c r="Q1462" s="1">
        <v>3243.8</v>
      </c>
      <c r="R1462" s="1">
        <v>1435.1</v>
      </c>
      <c r="S1462" s="1">
        <v>4678.8999999999996</v>
      </c>
      <c r="T1462" s="1">
        <v>29.51</v>
      </c>
      <c r="U1462" s="1">
        <v>7.0000000000000007E-2</v>
      </c>
      <c r="V1462" s="1">
        <v>1435.1</v>
      </c>
      <c r="W1462" s="1">
        <v>4678.8999999999996</v>
      </c>
      <c r="X1462" s="1">
        <v>600.51</v>
      </c>
      <c r="Y1462" s="1">
        <v>240</v>
      </c>
      <c r="Z1462" s="1">
        <v>176487.8</v>
      </c>
      <c r="AA1462" s="1">
        <v>29.51</v>
      </c>
      <c r="AB1462" s="1">
        <v>800</v>
      </c>
    </row>
    <row r="1463" spans="1:28" x14ac:dyDescent="0.4">
      <c r="A1463" s="1" t="s">
        <v>263</v>
      </c>
      <c r="B1463" s="1">
        <v>800</v>
      </c>
      <c r="C1463" s="1">
        <v>0.4</v>
      </c>
      <c r="D1463" s="1">
        <v>0.5</v>
      </c>
      <c r="E1463" s="1">
        <v>2000</v>
      </c>
      <c r="F1463" s="1">
        <v>2</v>
      </c>
      <c r="G1463" s="1">
        <v>2</v>
      </c>
      <c r="H1463" s="1" t="s">
        <v>592</v>
      </c>
      <c r="I1463" s="1">
        <v>250230.39999999999</v>
      </c>
      <c r="J1463" s="1">
        <v>100944</v>
      </c>
      <c r="K1463" s="1">
        <v>149286.39999999999</v>
      </c>
      <c r="L1463" s="1">
        <v>240</v>
      </c>
      <c r="M1463" s="1">
        <v>600.91</v>
      </c>
      <c r="N1463" s="1">
        <v>70429.3</v>
      </c>
      <c r="O1463" s="1">
        <v>100164.8</v>
      </c>
      <c r="P1463" s="1">
        <v>170594.1</v>
      </c>
      <c r="Q1463" s="1">
        <v>3177.1</v>
      </c>
      <c r="R1463" s="1">
        <v>1399.8</v>
      </c>
      <c r="S1463" s="1">
        <v>4576.8999999999996</v>
      </c>
      <c r="T1463" s="1">
        <v>30</v>
      </c>
      <c r="U1463" s="1">
        <v>0.06</v>
      </c>
      <c r="V1463" s="1">
        <v>1399.8</v>
      </c>
      <c r="W1463" s="1">
        <v>4576.8999999999996</v>
      </c>
      <c r="X1463" s="1">
        <v>600.97</v>
      </c>
      <c r="Y1463" s="1">
        <v>240</v>
      </c>
      <c r="Z1463" s="1">
        <v>175171</v>
      </c>
      <c r="AA1463" s="1">
        <v>30</v>
      </c>
      <c r="AB1463" s="1">
        <v>800</v>
      </c>
    </row>
    <row r="1464" spans="1:28" x14ac:dyDescent="0.4">
      <c r="A1464" s="1" t="s">
        <v>264</v>
      </c>
      <c r="B1464" s="1">
        <v>800</v>
      </c>
      <c r="C1464" s="1">
        <v>0.4</v>
      </c>
      <c r="D1464" s="1">
        <v>0.5</v>
      </c>
      <c r="E1464" s="1">
        <v>2000</v>
      </c>
      <c r="F1464" s="1">
        <v>2</v>
      </c>
      <c r="G1464" s="1">
        <v>3</v>
      </c>
      <c r="H1464" s="1" t="s">
        <v>592</v>
      </c>
      <c r="I1464" s="1">
        <v>247828</v>
      </c>
      <c r="J1464" s="1">
        <v>100347.6</v>
      </c>
      <c r="K1464" s="1">
        <v>147480.4</v>
      </c>
      <c r="L1464" s="1">
        <v>240</v>
      </c>
      <c r="M1464" s="1">
        <v>600.01</v>
      </c>
      <c r="N1464" s="1">
        <v>69850.5</v>
      </c>
      <c r="O1464" s="1">
        <v>99078.8</v>
      </c>
      <c r="P1464" s="1">
        <v>168929.3</v>
      </c>
      <c r="Q1464" s="1">
        <v>3227.7</v>
      </c>
      <c r="R1464" s="1">
        <v>1351.9</v>
      </c>
      <c r="S1464" s="1">
        <v>4579.6000000000004</v>
      </c>
      <c r="T1464" s="1">
        <v>29.99</v>
      </c>
      <c r="U1464" s="1">
        <v>0.06</v>
      </c>
      <c r="V1464" s="1">
        <v>1351.9</v>
      </c>
      <c r="W1464" s="1">
        <v>4579.6000000000004</v>
      </c>
      <c r="X1464" s="1">
        <v>600.05999999999995</v>
      </c>
      <c r="Y1464" s="1">
        <v>240</v>
      </c>
      <c r="Z1464" s="1">
        <v>173508.9</v>
      </c>
      <c r="AA1464" s="1">
        <v>29.99</v>
      </c>
      <c r="AB1464" s="1">
        <v>800</v>
      </c>
    </row>
    <row r="1465" spans="1:28" x14ac:dyDescent="0.4">
      <c r="A1465" s="1" t="s">
        <v>265</v>
      </c>
      <c r="B1465" s="1">
        <v>800</v>
      </c>
      <c r="C1465" s="1">
        <v>0.4</v>
      </c>
      <c r="D1465" s="1">
        <v>0.5</v>
      </c>
      <c r="E1465" s="1">
        <v>2000</v>
      </c>
      <c r="F1465" s="1">
        <v>2</v>
      </c>
      <c r="G1465" s="1">
        <v>4</v>
      </c>
      <c r="H1465" s="1" t="s">
        <v>592</v>
      </c>
      <c r="I1465" s="1">
        <v>251946.4</v>
      </c>
      <c r="J1465" s="1">
        <v>102935.6</v>
      </c>
      <c r="K1465" s="1">
        <v>149010.79999999999</v>
      </c>
      <c r="L1465" s="1">
        <v>240</v>
      </c>
      <c r="M1465" s="1">
        <v>600.13</v>
      </c>
      <c r="N1465" s="1">
        <v>68974.8</v>
      </c>
      <c r="O1465" s="1">
        <v>99989.2</v>
      </c>
      <c r="P1465" s="1">
        <v>168964</v>
      </c>
      <c r="Q1465" s="1">
        <v>3239.7</v>
      </c>
      <c r="R1465" s="1">
        <v>1447.7</v>
      </c>
      <c r="S1465" s="1">
        <v>4687.3999999999996</v>
      </c>
      <c r="T1465" s="1">
        <v>31.08</v>
      </c>
      <c r="U1465" s="1">
        <v>0.03</v>
      </c>
      <c r="V1465" s="1">
        <v>1447.7</v>
      </c>
      <c r="W1465" s="1">
        <v>4687.3999999999996</v>
      </c>
      <c r="X1465" s="1">
        <v>600.16</v>
      </c>
      <c r="Y1465" s="1">
        <v>240</v>
      </c>
      <c r="Z1465" s="1">
        <v>173651.4</v>
      </c>
      <c r="AA1465" s="1">
        <v>31.08</v>
      </c>
      <c r="AB1465" s="1">
        <v>800</v>
      </c>
    </row>
    <row r="1466" spans="1:28" x14ac:dyDescent="0.4">
      <c r="A1466" s="1" t="s">
        <v>266</v>
      </c>
      <c r="B1466" s="1">
        <v>800</v>
      </c>
      <c r="C1466" s="1">
        <v>0.4</v>
      </c>
      <c r="D1466" s="1">
        <v>0.5</v>
      </c>
      <c r="E1466" s="1">
        <v>2000</v>
      </c>
      <c r="F1466" s="1">
        <v>2</v>
      </c>
      <c r="G1466" s="1">
        <v>5</v>
      </c>
      <c r="H1466" s="1" t="s">
        <v>592</v>
      </c>
      <c r="I1466" s="1">
        <v>245726.4</v>
      </c>
      <c r="J1466" s="1">
        <v>101268.2</v>
      </c>
      <c r="K1466" s="1">
        <v>144458.20000000001</v>
      </c>
      <c r="L1466" s="1">
        <v>240</v>
      </c>
      <c r="M1466" s="1">
        <v>600.45000000000005</v>
      </c>
      <c r="N1466" s="1">
        <v>70124.399999999994</v>
      </c>
      <c r="O1466" s="1">
        <v>98938.4</v>
      </c>
      <c r="P1466" s="1">
        <v>169062.8</v>
      </c>
      <c r="Q1466" s="1">
        <v>3267.9</v>
      </c>
      <c r="R1466" s="1">
        <v>1343.1</v>
      </c>
      <c r="S1466" s="1">
        <v>4611</v>
      </c>
      <c r="T1466" s="1">
        <v>29.32</v>
      </c>
      <c r="U1466" s="1">
        <v>0.05</v>
      </c>
      <c r="V1466" s="1">
        <v>1343.1</v>
      </c>
      <c r="W1466" s="1">
        <v>4611</v>
      </c>
      <c r="X1466" s="1">
        <v>600.5</v>
      </c>
      <c r="Y1466" s="1">
        <v>240</v>
      </c>
      <c r="Z1466" s="1">
        <v>173673.8</v>
      </c>
      <c r="AA1466" s="1">
        <v>29.32</v>
      </c>
      <c r="AB1466" s="1">
        <v>800</v>
      </c>
    </row>
    <row r="1467" spans="1:28" x14ac:dyDescent="0.4">
      <c r="A1467" s="1" t="s">
        <v>267</v>
      </c>
      <c r="B1467" s="1">
        <v>800</v>
      </c>
      <c r="C1467" s="1">
        <v>0.4</v>
      </c>
      <c r="D1467" s="1">
        <v>0.5</v>
      </c>
      <c r="E1467" s="1">
        <v>2000</v>
      </c>
      <c r="F1467" s="1">
        <v>3</v>
      </c>
      <c r="G1467" s="1">
        <v>1</v>
      </c>
      <c r="H1467" s="1" t="s">
        <v>592</v>
      </c>
      <c r="I1467" s="1">
        <v>311641.90000000002</v>
      </c>
      <c r="J1467" s="1">
        <v>130002.5</v>
      </c>
      <c r="K1467" s="1">
        <v>181639.4</v>
      </c>
      <c r="L1467" s="1">
        <v>240</v>
      </c>
      <c r="M1467" s="1">
        <v>600.87</v>
      </c>
      <c r="N1467" s="1">
        <v>89440.9</v>
      </c>
      <c r="O1467" s="1">
        <v>120270.3</v>
      </c>
      <c r="P1467" s="1">
        <v>209711.2</v>
      </c>
      <c r="Q1467" s="1">
        <v>3305.2</v>
      </c>
      <c r="R1467" s="1">
        <v>1474.5</v>
      </c>
      <c r="S1467" s="1">
        <v>4779.7</v>
      </c>
      <c r="T1467" s="1">
        <v>31.17</v>
      </c>
      <c r="U1467" s="1">
        <v>0.06</v>
      </c>
      <c r="V1467" s="1">
        <v>1474.5</v>
      </c>
      <c r="W1467" s="1">
        <v>4779.7</v>
      </c>
      <c r="X1467" s="1">
        <v>600.92999999999995</v>
      </c>
      <c r="Y1467" s="1">
        <v>240</v>
      </c>
      <c r="Z1467" s="1">
        <v>214490.9</v>
      </c>
      <c r="AA1467" s="1">
        <v>31.17</v>
      </c>
      <c r="AB1467" s="1">
        <v>800</v>
      </c>
    </row>
    <row r="1468" spans="1:28" x14ac:dyDescent="0.4">
      <c r="A1468" s="1" t="s">
        <v>268</v>
      </c>
      <c r="B1468" s="1">
        <v>800</v>
      </c>
      <c r="C1468" s="1">
        <v>0.4</v>
      </c>
      <c r="D1468" s="1">
        <v>0.5</v>
      </c>
      <c r="E1468" s="1">
        <v>2000</v>
      </c>
      <c r="F1468" s="1">
        <v>3</v>
      </c>
      <c r="G1468" s="1">
        <v>2</v>
      </c>
      <c r="H1468" s="1" t="s">
        <v>592</v>
      </c>
      <c r="I1468" s="1">
        <v>305552.90000000002</v>
      </c>
      <c r="J1468" s="1">
        <v>126112.6</v>
      </c>
      <c r="K1468" s="1">
        <v>179440.3</v>
      </c>
      <c r="L1468" s="1">
        <v>240</v>
      </c>
      <c r="M1468" s="1">
        <v>600</v>
      </c>
      <c r="N1468" s="1">
        <v>84608.6</v>
      </c>
      <c r="O1468" s="1">
        <v>118594.9</v>
      </c>
      <c r="P1468" s="1">
        <v>203203.5</v>
      </c>
      <c r="Q1468" s="1">
        <v>3263.5</v>
      </c>
      <c r="R1468" s="1">
        <v>1214.8</v>
      </c>
      <c r="S1468" s="1">
        <v>4478.3</v>
      </c>
      <c r="T1468" s="1">
        <v>32.03</v>
      </c>
      <c r="U1468" s="1">
        <v>0.05</v>
      </c>
      <c r="V1468" s="1">
        <v>1214.8</v>
      </c>
      <c r="W1468" s="1">
        <v>4478.3</v>
      </c>
      <c r="X1468" s="1">
        <v>600.04999999999995</v>
      </c>
      <c r="Y1468" s="1">
        <v>240</v>
      </c>
      <c r="Z1468" s="1">
        <v>207681.8</v>
      </c>
      <c r="AA1468" s="1">
        <v>32.03</v>
      </c>
      <c r="AB1468" s="1">
        <v>800</v>
      </c>
    </row>
    <row r="1469" spans="1:28" x14ac:dyDescent="0.4">
      <c r="A1469" s="1" t="s">
        <v>269</v>
      </c>
      <c r="B1469" s="1">
        <v>800</v>
      </c>
      <c r="C1469" s="1">
        <v>0.4</v>
      </c>
      <c r="D1469" s="1">
        <v>0.5</v>
      </c>
      <c r="E1469" s="1">
        <v>2000</v>
      </c>
      <c r="F1469" s="1">
        <v>3</v>
      </c>
      <c r="G1469" s="1">
        <v>3</v>
      </c>
      <c r="H1469" s="1" t="s">
        <v>592</v>
      </c>
      <c r="I1469" s="1">
        <v>303425.09999999998</v>
      </c>
      <c r="J1469" s="1">
        <v>122185.60000000001</v>
      </c>
      <c r="K1469" s="1">
        <v>181239.5</v>
      </c>
      <c r="L1469" s="1">
        <v>240</v>
      </c>
      <c r="M1469" s="1">
        <v>600.19000000000005</v>
      </c>
      <c r="N1469" s="1">
        <v>85714</v>
      </c>
      <c r="O1469" s="1">
        <v>122432.4</v>
      </c>
      <c r="P1469" s="1">
        <v>208146.4</v>
      </c>
      <c r="Q1469" s="1">
        <v>3114.7</v>
      </c>
      <c r="R1469" s="1">
        <v>1181.4000000000001</v>
      </c>
      <c r="S1469" s="1">
        <v>4296.1000000000004</v>
      </c>
      <c r="T1469" s="1">
        <v>29.99</v>
      </c>
      <c r="U1469" s="1">
        <v>0.05</v>
      </c>
      <c r="V1469" s="1">
        <v>1181.4000000000001</v>
      </c>
      <c r="W1469" s="1">
        <v>4296.1000000000004</v>
      </c>
      <c r="X1469" s="1">
        <v>600.24</v>
      </c>
      <c r="Y1469" s="1">
        <v>240</v>
      </c>
      <c r="Z1469" s="1">
        <v>212442.5</v>
      </c>
      <c r="AA1469" s="1">
        <v>29.99</v>
      </c>
      <c r="AB1469" s="1">
        <v>800</v>
      </c>
    </row>
    <row r="1470" spans="1:28" x14ac:dyDescent="0.4">
      <c r="A1470" s="1" t="s">
        <v>270</v>
      </c>
      <c r="B1470" s="1">
        <v>800</v>
      </c>
      <c r="C1470" s="1">
        <v>0.4</v>
      </c>
      <c r="D1470" s="1">
        <v>0.5</v>
      </c>
      <c r="E1470" s="1">
        <v>2000</v>
      </c>
      <c r="F1470" s="1">
        <v>3</v>
      </c>
      <c r="G1470" s="1">
        <v>4</v>
      </c>
      <c r="H1470" s="1" t="s">
        <v>592</v>
      </c>
      <c r="I1470" s="1">
        <v>313216.59999999998</v>
      </c>
      <c r="J1470" s="1">
        <v>131697</v>
      </c>
      <c r="K1470" s="1">
        <v>181519.6</v>
      </c>
      <c r="L1470" s="1">
        <v>240</v>
      </c>
      <c r="M1470" s="1">
        <v>600.03</v>
      </c>
      <c r="N1470" s="1">
        <v>92691.9</v>
      </c>
      <c r="O1470" s="1">
        <v>121755.9</v>
      </c>
      <c r="P1470" s="1">
        <v>214447.8</v>
      </c>
      <c r="Q1470" s="1">
        <v>3356.1</v>
      </c>
      <c r="R1470" s="1">
        <v>1422.3</v>
      </c>
      <c r="S1470" s="1">
        <v>4778.3999999999996</v>
      </c>
      <c r="T1470" s="1">
        <v>30.01</v>
      </c>
      <c r="U1470" s="1">
        <v>0.03</v>
      </c>
      <c r="V1470" s="1">
        <v>1422.3</v>
      </c>
      <c r="W1470" s="1">
        <v>4778.3999999999996</v>
      </c>
      <c r="X1470" s="1">
        <v>600.07000000000005</v>
      </c>
      <c r="Y1470" s="1">
        <v>240</v>
      </c>
      <c r="Z1470" s="1">
        <v>219226.2</v>
      </c>
      <c r="AA1470" s="1">
        <v>30.01</v>
      </c>
      <c r="AB1470" s="1">
        <v>800</v>
      </c>
    </row>
    <row r="1471" spans="1:28" x14ac:dyDescent="0.4">
      <c r="A1471" s="1" t="s">
        <v>271</v>
      </c>
      <c r="B1471" s="1">
        <v>800</v>
      </c>
      <c r="C1471" s="1">
        <v>0.4</v>
      </c>
      <c r="D1471" s="1">
        <v>0.5</v>
      </c>
      <c r="E1471" s="1">
        <v>2000</v>
      </c>
      <c r="F1471" s="1">
        <v>3</v>
      </c>
      <c r="G1471" s="1">
        <v>5</v>
      </c>
      <c r="H1471" s="1" t="s">
        <v>592</v>
      </c>
      <c r="I1471" s="1">
        <v>303871.5</v>
      </c>
      <c r="J1471" s="1">
        <v>126862.1</v>
      </c>
      <c r="K1471" s="1">
        <v>177009.4</v>
      </c>
      <c r="L1471" s="1">
        <v>240</v>
      </c>
      <c r="M1471" s="1">
        <v>600.91</v>
      </c>
      <c r="N1471" s="1">
        <v>87739.7</v>
      </c>
      <c r="O1471" s="1">
        <v>117545.1</v>
      </c>
      <c r="P1471" s="1">
        <v>205284.8</v>
      </c>
      <c r="Q1471" s="1">
        <v>3411.7</v>
      </c>
      <c r="R1471" s="1">
        <v>1392.8</v>
      </c>
      <c r="S1471" s="1">
        <v>4804.5</v>
      </c>
      <c r="T1471" s="1">
        <v>30.86</v>
      </c>
      <c r="U1471" s="1">
        <v>0.05</v>
      </c>
      <c r="V1471" s="1">
        <v>1392.8</v>
      </c>
      <c r="W1471" s="1">
        <v>4804.5</v>
      </c>
      <c r="X1471" s="1">
        <v>600.96</v>
      </c>
      <c r="Y1471" s="1">
        <v>240</v>
      </c>
      <c r="Z1471" s="1">
        <v>210089.3</v>
      </c>
      <c r="AA1471" s="1">
        <v>30.86</v>
      </c>
      <c r="AB1471" s="1">
        <v>800</v>
      </c>
    </row>
    <row r="1472" spans="1:28" x14ac:dyDescent="0.4">
      <c r="A1472" s="1" t="s">
        <v>272</v>
      </c>
      <c r="B1472" s="1">
        <v>800</v>
      </c>
      <c r="C1472" s="1">
        <v>0.4</v>
      </c>
      <c r="D1472" s="1">
        <v>0.5</v>
      </c>
      <c r="E1472" s="1">
        <v>500</v>
      </c>
      <c r="F1472" s="1">
        <v>1</v>
      </c>
      <c r="G1472" s="1">
        <v>1</v>
      </c>
      <c r="H1472" s="1" t="s">
        <v>592</v>
      </c>
      <c r="I1472" s="1">
        <v>40837.5</v>
      </c>
      <c r="J1472" s="1">
        <v>17869.3</v>
      </c>
      <c r="K1472" s="1">
        <v>22968.2</v>
      </c>
      <c r="L1472" s="1">
        <v>240</v>
      </c>
      <c r="M1472" s="1">
        <v>600.44000000000005</v>
      </c>
      <c r="N1472" s="1">
        <v>11109.7</v>
      </c>
      <c r="O1472" s="1">
        <v>14722.8</v>
      </c>
      <c r="P1472" s="1">
        <v>25832.5</v>
      </c>
      <c r="Q1472" s="1">
        <v>3023.8</v>
      </c>
      <c r="R1472" s="1">
        <v>1364.9</v>
      </c>
      <c r="S1472" s="1">
        <v>4388.7</v>
      </c>
      <c r="T1472" s="1">
        <v>26</v>
      </c>
      <c r="U1472" s="1">
        <v>0.04</v>
      </c>
      <c r="V1472" s="1">
        <v>1352.1</v>
      </c>
      <c r="W1472" s="1">
        <v>4375.8999999999996</v>
      </c>
      <c r="X1472" s="1">
        <v>600.48</v>
      </c>
      <c r="Y1472" s="1">
        <v>240</v>
      </c>
      <c r="Z1472" s="1">
        <v>30208.400000000001</v>
      </c>
      <c r="AA1472" s="1">
        <v>26.03</v>
      </c>
      <c r="AB1472" s="1">
        <v>800</v>
      </c>
    </row>
    <row r="1473" spans="1:28" x14ac:dyDescent="0.4">
      <c r="A1473" s="1" t="s">
        <v>273</v>
      </c>
      <c r="B1473" s="1">
        <v>800</v>
      </c>
      <c r="C1473" s="1">
        <v>0.4</v>
      </c>
      <c r="D1473" s="1">
        <v>0.5</v>
      </c>
      <c r="E1473" s="1">
        <v>500</v>
      </c>
      <c r="F1473" s="1">
        <v>1</v>
      </c>
      <c r="G1473" s="1">
        <v>2</v>
      </c>
      <c r="H1473" s="1" t="s">
        <v>592</v>
      </c>
      <c r="I1473" s="1">
        <v>42627.6</v>
      </c>
      <c r="J1473" s="1">
        <v>17237.8</v>
      </c>
      <c r="K1473" s="1">
        <v>25389.8</v>
      </c>
      <c r="L1473" s="1">
        <v>240</v>
      </c>
      <c r="M1473" s="1">
        <v>600.13</v>
      </c>
      <c r="N1473" s="1">
        <v>10624.7</v>
      </c>
      <c r="O1473" s="1">
        <v>16109.4</v>
      </c>
      <c r="P1473" s="1">
        <v>26734.1</v>
      </c>
      <c r="Q1473" s="1">
        <v>2729.1</v>
      </c>
      <c r="R1473" s="1">
        <v>1273.9000000000001</v>
      </c>
      <c r="S1473" s="1">
        <v>4003</v>
      </c>
      <c r="T1473" s="1">
        <v>27.89</v>
      </c>
      <c r="U1473" s="1">
        <v>0.03</v>
      </c>
      <c r="V1473" s="1">
        <v>1273.9000000000001</v>
      </c>
      <c r="W1473" s="1">
        <v>4003</v>
      </c>
      <c r="X1473" s="1">
        <v>600.16</v>
      </c>
      <c r="Y1473" s="1">
        <v>240</v>
      </c>
      <c r="Z1473" s="1">
        <v>30737.1</v>
      </c>
      <c r="AA1473" s="1">
        <v>27.89</v>
      </c>
      <c r="AB1473" s="1">
        <v>800</v>
      </c>
    </row>
    <row r="1474" spans="1:28" x14ac:dyDescent="0.4">
      <c r="A1474" s="1" t="s">
        <v>274</v>
      </c>
      <c r="B1474" s="1">
        <v>800</v>
      </c>
      <c r="C1474" s="1">
        <v>0.4</v>
      </c>
      <c r="D1474" s="1">
        <v>0.5</v>
      </c>
      <c r="E1474" s="1">
        <v>500</v>
      </c>
      <c r="F1474" s="1">
        <v>1</v>
      </c>
      <c r="G1474" s="1">
        <v>3</v>
      </c>
      <c r="H1474" s="1" t="s">
        <v>592</v>
      </c>
      <c r="I1474" s="1">
        <v>43861.8</v>
      </c>
      <c r="J1474" s="1">
        <v>17522.599999999999</v>
      </c>
      <c r="K1474" s="1">
        <v>26339.200000000001</v>
      </c>
      <c r="L1474" s="1">
        <v>240</v>
      </c>
      <c r="M1474" s="1">
        <v>600.19000000000005</v>
      </c>
      <c r="N1474" s="1">
        <v>11026.4</v>
      </c>
      <c r="O1474" s="1">
        <v>16377.6</v>
      </c>
      <c r="P1474" s="1">
        <v>27404</v>
      </c>
      <c r="Q1474" s="1">
        <v>2828.4</v>
      </c>
      <c r="R1474" s="1">
        <v>1262.4000000000001</v>
      </c>
      <c r="S1474" s="1">
        <v>4090.8</v>
      </c>
      <c r="T1474" s="1">
        <v>28.2</v>
      </c>
      <c r="U1474" s="1">
        <v>0.04</v>
      </c>
      <c r="V1474" s="1">
        <v>1262.4000000000001</v>
      </c>
      <c r="W1474" s="1">
        <v>4090.8</v>
      </c>
      <c r="X1474" s="1">
        <v>600.23</v>
      </c>
      <c r="Y1474" s="1">
        <v>239</v>
      </c>
      <c r="Z1474" s="1">
        <v>31494.799999999999</v>
      </c>
      <c r="AA1474" s="1">
        <v>28.2</v>
      </c>
      <c r="AB1474" s="1">
        <v>800</v>
      </c>
    </row>
    <row r="1475" spans="1:28" x14ac:dyDescent="0.4">
      <c r="A1475" s="1" t="s">
        <v>275</v>
      </c>
      <c r="B1475" s="1">
        <v>800</v>
      </c>
      <c r="C1475" s="1">
        <v>0.4</v>
      </c>
      <c r="D1475" s="1">
        <v>0.5</v>
      </c>
      <c r="E1475" s="1">
        <v>500</v>
      </c>
      <c r="F1475" s="1">
        <v>1</v>
      </c>
      <c r="G1475" s="1">
        <v>4</v>
      </c>
      <c r="H1475" s="1" t="s">
        <v>592</v>
      </c>
      <c r="I1475" s="1">
        <v>41801.800000000003</v>
      </c>
      <c r="J1475" s="1">
        <v>16903</v>
      </c>
      <c r="K1475" s="1">
        <v>24898.799999999999</v>
      </c>
      <c r="L1475" s="1">
        <v>240</v>
      </c>
      <c r="M1475" s="1">
        <v>600.83000000000004</v>
      </c>
      <c r="N1475" s="1">
        <v>10561.8</v>
      </c>
      <c r="O1475" s="1">
        <v>15883.8</v>
      </c>
      <c r="P1475" s="1">
        <v>26445.599999999999</v>
      </c>
      <c r="Q1475" s="1">
        <v>2980.7</v>
      </c>
      <c r="R1475" s="1">
        <v>1316.1</v>
      </c>
      <c r="S1475" s="1">
        <v>4296.8</v>
      </c>
      <c r="T1475" s="1">
        <v>26.46</v>
      </c>
      <c r="U1475" s="1">
        <v>0.03</v>
      </c>
      <c r="V1475" s="1">
        <v>1316.1</v>
      </c>
      <c r="W1475" s="1">
        <v>4296.8</v>
      </c>
      <c r="X1475" s="1">
        <v>600.86</v>
      </c>
      <c r="Y1475" s="1">
        <v>240</v>
      </c>
      <c r="Z1475" s="1">
        <v>30742.400000000001</v>
      </c>
      <c r="AA1475" s="1">
        <v>26.46</v>
      </c>
      <c r="AB1475" s="1">
        <v>800</v>
      </c>
    </row>
    <row r="1476" spans="1:28" x14ac:dyDescent="0.4">
      <c r="A1476" s="1" t="s">
        <v>276</v>
      </c>
      <c r="B1476" s="1">
        <v>800</v>
      </c>
      <c r="C1476" s="1">
        <v>0.4</v>
      </c>
      <c r="D1476" s="1">
        <v>0.5</v>
      </c>
      <c r="E1476" s="1">
        <v>500</v>
      </c>
      <c r="F1476" s="1">
        <v>1</v>
      </c>
      <c r="G1476" s="1">
        <v>5</v>
      </c>
      <c r="H1476" s="1" t="s">
        <v>592</v>
      </c>
      <c r="I1476" s="1">
        <v>42102.1</v>
      </c>
      <c r="J1476" s="1">
        <v>17936.900000000001</v>
      </c>
      <c r="K1476" s="1">
        <v>24165.200000000001</v>
      </c>
      <c r="L1476" s="1">
        <v>240</v>
      </c>
      <c r="M1476" s="1">
        <v>600.64</v>
      </c>
      <c r="N1476" s="1">
        <v>11011</v>
      </c>
      <c r="O1476" s="1">
        <v>15474.2</v>
      </c>
      <c r="P1476" s="1">
        <v>26485.200000000001</v>
      </c>
      <c r="Q1476" s="1">
        <v>3007.5</v>
      </c>
      <c r="R1476" s="1">
        <v>1157.8</v>
      </c>
      <c r="S1476" s="1">
        <v>4165.3</v>
      </c>
      <c r="T1476" s="1">
        <v>27.2</v>
      </c>
      <c r="U1476" s="1">
        <v>0.03</v>
      </c>
      <c r="V1476" s="1">
        <v>1157.8</v>
      </c>
      <c r="W1476" s="1">
        <v>4165.3</v>
      </c>
      <c r="X1476" s="1">
        <v>600.66999999999996</v>
      </c>
      <c r="Y1476" s="1">
        <v>240</v>
      </c>
      <c r="Z1476" s="1">
        <v>30650.5</v>
      </c>
      <c r="AA1476" s="1">
        <v>27.2</v>
      </c>
      <c r="AB1476" s="1">
        <v>800</v>
      </c>
    </row>
    <row r="1477" spans="1:28" x14ac:dyDescent="0.4">
      <c r="A1477" s="1" t="s">
        <v>277</v>
      </c>
      <c r="B1477" s="1">
        <v>800</v>
      </c>
      <c r="C1477" s="1">
        <v>0.4</v>
      </c>
      <c r="D1477" s="1">
        <v>0.5</v>
      </c>
      <c r="E1477" s="1">
        <v>500</v>
      </c>
      <c r="F1477" s="1">
        <v>2</v>
      </c>
      <c r="G1477" s="1">
        <v>1</v>
      </c>
      <c r="H1477" s="1" t="s">
        <v>592</v>
      </c>
      <c r="I1477" s="1">
        <v>62386</v>
      </c>
      <c r="J1477" s="1">
        <v>25311.5</v>
      </c>
      <c r="K1477" s="1">
        <v>37074.5</v>
      </c>
      <c r="L1477" s="1">
        <v>240</v>
      </c>
      <c r="M1477" s="1">
        <v>600.08000000000004</v>
      </c>
      <c r="N1477" s="1">
        <v>16627.5</v>
      </c>
      <c r="O1477" s="1">
        <v>24253.4</v>
      </c>
      <c r="P1477" s="1">
        <v>40880.9</v>
      </c>
      <c r="Q1477" s="1">
        <v>2825.7</v>
      </c>
      <c r="R1477" s="1">
        <v>1156.7</v>
      </c>
      <c r="S1477" s="1">
        <v>3982.4</v>
      </c>
      <c r="T1477" s="1">
        <v>28.09</v>
      </c>
      <c r="U1477" s="1">
        <v>0.06</v>
      </c>
      <c r="V1477" s="1">
        <v>1155.3</v>
      </c>
      <c r="W1477" s="1">
        <v>3981</v>
      </c>
      <c r="X1477" s="1">
        <v>600.14</v>
      </c>
      <c r="Y1477" s="1">
        <v>240</v>
      </c>
      <c r="Z1477" s="1">
        <v>44861.9</v>
      </c>
      <c r="AA1477" s="1">
        <v>28.09</v>
      </c>
      <c r="AB1477" s="1">
        <v>800</v>
      </c>
    </row>
    <row r="1478" spans="1:28" x14ac:dyDescent="0.4">
      <c r="A1478" s="1" t="s">
        <v>278</v>
      </c>
      <c r="B1478" s="1">
        <v>800</v>
      </c>
      <c r="C1478" s="1">
        <v>0.4</v>
      </c>
      <c r="D1478" s="1">
        <v>0.5</v>
      </c>
      <c r="E1478" s="1">
        <v>500</v>
      </c>
      <c r="F1478" s="1">
        <v>2</v>
      </c>
      <c r="G1478" s="1">
        <v>2</v>
      </c>
      <c r="H1478" s="1" t="s">
        <v>592</v>
      </c>
      <c r="I1478" s="1">
        <v>62963.7</v>
      </c>
      <c r="J1478" s="1">
        <v>25003.3</v>
      </c>
      <c r="K1478" s="1">
        <v>37960.400000000001</v>
      </c>
      <c r="L1478" s="1">
        <v>240</v>
      </c>
      <c r="M1478" s="1">
        <v>600.64</v>
      </c>
      <c r="N1478" s="1">
        <v>16479.5</v>
      </c>
      <c r="O1478" s="1">
        <v>24709.599999999999</v>
      </c>
      <c r="P1478" s="1">
        <v>41189.1</v>
      </c>
      <c r="Q1478" s="1">
        <v>2931.3</v>
      </c>
      <c r="R1478" s="1">
        <v>1166</v>
      </c>
      <c r="S1478" s="1">
        <v>4097.3</v>
      </c>
      <c r="T1478" s="1">
        <v>28.08</v>
      </c>
      <c r="U1478" s="1">
        <v>0.05</v>
      </c>
      <c r="V1478" s="1">
        <v>1166</v>
      </c>
      <c r="W1478" s="1">
        <v>4097.3</v>
      </c>
      <c r="X1478" s="1">
        <v>600.69000000000005</v>
      </c>
      <c r="Y1478" s="1">
        <v>240</v>
      </c>
      <c r="Z1478" s="1">
        <v>45286.400000000001</v>
      </c>
      <c r="AA1478" s="1">
        <v>28.08</v>
      </c>
      <c r="AB1478" s="1">
        <v>800</v>
      </c>
    </row>
    <row r="1479" spans="1:28" x14ac:dyDescent="0.4">
      <c r="A1479" s="1" t="s">
        <v>279</v>
      </c>
      <c r="B1479" s="1">
        <v>800</v>
      </c>
      <c r="C1479" s="1">
        <v>0.4</v>
      </c>
      <c r="D1479" s="1">
        <v>0.5</v>
      </c>
      <c r="E1479" s="1">
        <v>500</v>
      </c>
      <c r="F1479" s="1">
        <v>2</v>
      </c>
      <c r="G1479" s="1">
        <v>3</v>
      </c>
      <c r="H1479" s="1" t="s">
        <v>592</v>
      </c>
      <c r="I1479" s="1">
        <v>63392.6</v>
      </c>
      <c r="J1479" s="1">
        <v>24930.6</v>
      </c>
      <c r="K1479" s="1">
        <v>38462</v>
      </c>
      <c r="L1479" s="1">
        <v>240</v>
      </c>
      <c r="M1479" s="1">
        <v>600</v>
      </c>
      <c r="N1479" s="1">
        <v>16894.599999999999</v>
      </c>
      <c r="O1479" s="1">
        <v>25600.7</v>
      </c>
      <c r="P1479" s="1">
        <v>42495.3</v>
      </c>
      <c r="Q1479" s="1">
        <v>2728.4</v>
      </c>
      <c r="R1479" s="1">
        <v>1062.4000000000001</v>
      </c>
      <c r="S1479" s="1">
        <v>3790.8</v>
      </c>
      <c r="T1479" s="1">
        <v>26.99</v>
      </c>
      <c r="U1479" s="1">
        <v>0.04</v>
      </c>
      <c r="V1479" s="1">
        <v>1062.4000000000001</v>
      </c>
      <c r="W1479" s="1">
        <v>3790.8</v>
      </c>
      <c r="X1479" s="1">
        <v>600.04</v>
      </c>
      <c r="Y1479" s="1">
        <v>240</v>
      </c>
      <c r="Z1479" s="1">
        <v>46286.1</v>
      </c>
      <c r="AA1479" s="1">
        <v>26.99</v>
      </c>
      <c r="AB1479" s="1">
        <v>800</v>
      </c>
    </row>
    <row r="1480" spans="1:28" x14ac:dyDescent="0.4">
      <c r="A1480" s="1" t="s">
        <v>280</v>
      </c>
      <c r="B1480" s="1">
        <v>800</v>
      </c>
      <c r="C1480" s="1">
        <v>0.4</v>
      </c>
      <c r="D1480" s="1">
        <v>0.5</v>
      </c>
      <c r="E1480" s="1">
        <v>500</v>
      </c>
      <c r="F1480" s="1">
        <v>2</v>
      </c>
      <c r="G1480" s="1">
        <v>4</v>
      </c>
      <c r="H1480" s="1" t="s">
        <v>592</v>
      </c>
      <c r="I1480" s="1">
        <v>62566.6</v>
      </c>
      <c r="J1480" s="1">
        <v>25917.8</v>
      </c>
      <c r="K1480" s="1">
        <v>36648.800000000003</v>
      </c>
      <c r="L1480" s="1">
        <v>240</v>
      </c>
      <c r="M1480" s="1">
        <v>600.42999999999995</v>
      </c>
      <c r="N1480" s="1">
        <v>17249.599999999999</v>
      </c>
      <c r="O1480" s="1">
        <v>23668.5</v>
      </c>
      <c r="P1480" s="1">
        <v>40918.1</v>
      </c>
      <c r="Q1480" s="1">
        <v>2883.5</v>
      </c>
      <c r="R1480" s="1">
        <v>1107.5</v>
      </c>
      <c r="S1480" s="1">
        <v>3991</v>
      </c>
      <c r="T1480" s="1">
        <v>28.22</v>
      </c>
      <c r="U1480" s="1">
        <v>0.04</v>
      </c>
      <c r="V1480" s="1">
        <v>1107.5</v>
      </c>
      <c r="W1480" s="1">
        <v>3991</v>
      </c>
      <c r="X1480" s="1">
        <v>600.47</v>
      </c>
      <c r="Y1480" s="1">
        <v>240</v>
      </c>
      <c r="Z1480" s="1">
        <v>44909.1</v>
      </c>
      <c r="AA1480" s="1">
        <v>28.22</v>
      </c>
      <c r="AB1480" s="1">
        <v>800</v>
      </c>
    </row>
    <row r="1481" spans="1:28" x14ac:dyDescent="0.4">
      <c r="A1481" s="1" t="s">
        <v>281</v>
      </c>
      <c r="B1481" s="1">
        <v>800</v>
      </c>
      <c r="C1481" s="1">
        <v>0.4</v>
      </c>
      <c r="D1481" s="1">
        <v>0.5</v>
      </c>
      <c r="E1481" s="1">
        <v>500</v>
      </c>
      <c r="F1481" s="1">
        <v>2</v>
      </c>
      <c r="G1481" s="1">
        <v>5</v>
      </c>
      <c r="H1481" s="1" t="s">
        <v>592</v>
      </c>
      <c r="I1481" s="1">
        <v>60912.1</v>
      </c>
      <c r="J1481" s="1">
        <v>25149.8</v>
      </c>
      <c r="K1481" s="1">
        <v>35762.300000000003</v>
      </c>
      <c r="L1481" s="1">
        <v>240</v>
      </c>
      <c r="M1481" s="1">
        <v>600.41999999999996</v>
      </c>
      <c r="N1481" s="1">
        <v>16870.5</v>
      </c>
      <c r="O1481" s="1">
        <v>22747.5</v>
      </c>
      <c r="P1481" s="1">
        <v>39618</v>
      </c>
      <c r="Q1481" s="1">
        <v>2773.4</v>
      </c>
      <c r="R1481" s="1">
        <v>1227.2</v>
      </c>
      <c r="S1481" s="1">
        <v>4000.6</v>
      </c>
      <c r="T1481" s="1">
        <v>28.39</v>
      </c>
      <c r="U1481" s="1">
        <v>0.05</v>
      </c>
      <c r="V1481" s="1">
        <v>1227.2</v>
      </c>
      <c r="W1481" s="1">
        <v>4000.6</v>
      </c>
      <c r="X1481" s="1">
        <v>600.47</v>
      </c>
      <c r="Y1481" s="1">
        <v>240</v>
      </c>
      <c r="Z1481" s="1">
        <v>43618.6</v>
      </c>
      <c r="AA1481" s="1">
        <v>28.39</v>
      </c>
      <c r="AB1481" s="1">
        <v>800</v>
      </c>
    </row>
    <row r="1482" spans="1:28" x14ac:dyDescent="0.4">
      <c r="A1482" s="1" t="s">
        <v>282</v>
      </c>
      <c r="B1482" s="1">
        <v>800</v>
      </c>
      <c r="C1482" s="1">
        <v>0.4</v>
      </c>
      <c r="D1482" s="1">
        <v>0.5</v>
      </c>
      <c r="E1482" s="1">
        <v>500</v>
      </c>
      <c r="F1482" s="1">
        <v>3</v>
      </c>
      <c r="G1482" s="1">
        <v>1</v>
      </c>
      <c r="H1482" s="1" t="s">
        <v>592</v>
      </c>
      <c r="I1482" s="1">
        <v>78190.600000000006</v>
      </c>
      <c r="J1482" s="1">
        <v>31020.5</v>
      </c>
      <c r="K1482" s="1">
        <v>47170.1</v>
      </c>
      <c r="L1482" s="1">
        <v>240</v>
      </c>
      <c r="M1482" s="1">
        <v>600.08000000000004</v>
      </c>
      <c r="N1482" s="1">
        <v>20870.8</v>
      </c>
      <c r="O1482" s="1">
        <v>30713.5</v>
      </c>
      <c r="P1482" s="1">
        <v>51584.3</v>
      </c>
      <c r="Q1482" s="1">
        <v>2784.3</v>
      </c>
      <c r="R1482" s="1">
        <v>1230.8</v>
      </c>
      <c r="S1482" s="1">
        <v>4015.1</v>
      </c>
      <c r="T1482" s="1">
        <v>28.89</v>
      </c>
      <c r="U1482" s="1">
        <v>0.05</v>
      </c>
      <c r="V1482" s="1">
        <v>1230.8</v>
      </c>
      <c r="W1482" s="1">
        <v>4015.1</v>
      </c>
      <c r="X1482" s="1">
        <v>600.14</v>
      </c>
      <c r="Y1482" s="1">
        <v>240</v>
      </c>
      <c r="Z1482" s="1">
        <v>55599.4</v>
      </c>
      <c r="AA1482" s="1">
        <v>28.89</v>
      </c>
      <c r="AB1482" s="1">
        <v>800</v>
      </c>
    </row>
    <row r="1483" spans="1:28" x14ac:dyDescent="0.4">
      <c r="A1483" s="1" t="s">
        <v>283</v>
      </c>
      <c r="B1483" s="1">
        <v>800</v>
      </c>
      <c r="C1483" s="1">
        <v>0.4</v>
      </c>
      <c r="D1483" s="1">
        <v>0.5</v>
      </c>
      <c r="E1483" s="1">
        <v>500</v>
      </c>
      <c r="F1483" s="1">
        <v>3</v>
      </c>
      <c r="G1483" s="1">
        <v>2</v>
      </c>
      <c r="H1483" s="1" t="s">
        <v>592</v>
      </c>
      <c r="I1483" s="1">
        <v>78179.5</v>
      </c>
      <c r="J1483" s="1">
        <v>31302.5</v>
      </c>
      <c r="K1483" s="1">
        <v>46877</v>
      </c>
      <c r="L1483" s="1">
        <v>240</v>
      </c>
      <c r="M1483" s="1">
        <v>600.76</v>
      </c>
      <c r="N1483" s="1">
        <v>20978.2</v>
      </c>
      <c r="O1483" s="1">
        <v>31013.200000000001</v>
      </c>
      <c r="P1483" s="1">
        <v>51991.4</v>
      </c>
      <c r="Q1483" s="1">
        <v>2811</v>
      </c>
      <c r="R1483" s="1">
        <v>937.4</v>
      </c>
      <c r="S1483" s="1">
        <v>3748.4</v>
      </c>
      <c r="T1483" s="1">
        <v>28.7</v>
      </c>
      <c r="U1483" s="1">
        <v>0.03</v>
      </c>
      <c r="V1483" s="1">
        <v>937.4</v>
      </c>
      <c r="W1483" s="1">
        <v>3748.4</v>
      </c>
      <c r="X1483" s="1">
        <v>600.78</v>
      </c>
      <c r="Y1483" s="1">
        <v>240</v>
      </c>
      <c r="Z1483" s="1">
        <v>55739.8</v>
      </c>
      <c r="AA1483" s="1">
        <v>28.7</v>
      </c>
      <c r="AB1483" s="1">
        <v>800</v>
      </c>
    </row>
    <row r="1484" spans="1:28" x14ac:dyDescent="0.4">
      <c r="A1484" s="1" t="s">
        <v>284</v>
      </c>
      <c r="B1484" s="1">
        <v>800</v>
      </c>
      <c r="C1484" s="1">
        <v>0.4</v>
      </c>
      <c r="D1484" s="1">
        <v>0.5</v>
      </c>
      <c r="E1484" s="1">
        <v>500</v>
      </c>
      <c r="F1484" s="1">
        <v>3</v>
      </c>
      <c r="G1484" s="1">
        <v>3</v>
      </c>
      <c r="H1484" s="1" t="s">
        <v>592</v>
      </c>
      <c r="I1484" s="1">
        <v>78884.100000000006</v>
      </c>
      <c r="J1484" s="1">
        <v>31125.200000000001</v>
      </c>
      <c r="K1484" s="1">
        <v>47758.9</v>
      </c>
      <c r="L1484" s="1">
        <v>240</v>
      </c>
      <c r="M1484" s="1">
        <v>600.42999999999995</v>
      </c>
      <c r="N1484" s="1">
        <v>20777.2</v>
      </c>
      <c r="O1484" s="1">
        <v>30676.1</v>
      </c>
      <c r="P1484" s="1">
        <v>51453.3</v>
      </c>
      <c r="Q1484" s="1">
        <v>2768.9</v>
      </c>
      <c r="R1484" s="1">
        <v>1195.3</v>
      </c>
      <c r="S1484" s="1">
        <v>3964.2</v>
      </c>
      <c r="T1484" s="1">
        <v>29.75</v>
      </c>
      <c r="U1484" s="1">
        <v>0.05</v>
      </c>
      <c r="V1484" s="1">
        <v>1195.3</v>
      </c>
      <c r="W1484" s="1">
        <v>3964.2</v>
      </c>
      <c r="X1484" s="1">
        <v>600.47</v>
      </c>
      <c r="Y1484" s="1">
        <v>240</v>
      </c>
      <c r="Z1484" s="1">
        <v>55417.5</v>
      </c>
      <c r="AA1484" s="1">
        <v>29.75</v>
      </c>
      <c r="AB1484" s="1">
        <v>800</v>
      </c>
    </row>
    <row r="1485" spans="1:28" x14ac:dyDescent="0.4">
      <c r="A1485" s="1" t="s">
        <v>285</v>
      </c>
      <c r="B1485" s="1">
        <v>800</v>
      </c>
      <c r="C1485" s="1">
        <v>0.4</v>
      </c>
      <c r="D1485" s="1">
        <v>0.5</v>
      </c>
      <c r="E1485" s="1">
        <v>500</v>
      </c>
      <c r="F1485" s="1">
        <v>3</v>
      </c>
      <c r="G1485" s="1">
        <v>4</v>
      </c>
      <c r="H1485" s="1" t="s">
        <v>592</v>
      </c>
      <c r="I1485" s="1">
        <v>79111</v>
      </c>
      <c r="J1485" s="1">
        <v>30679.1</v>
      </c>
      <c r="K1485" s="1">
        <v>48431.9</v>
      </c>
      <c r="L1485" s="1">
        <v>240</v>
      </c>
      <c r="M1485" s="1">
        <v>600.73</v>
      </c>
      <c r="N1485" s="1">
        <v>20602.7</v>
      </c>
      <c r="O1485" s="1">
        <v>31740.6</v>
      </c>
      <c r="P1485" s="1">
        <v>52343.3</v>
      </c>
      <c r="Q1485" s="1">
        <v>2661.3</v>
      </c>
      <c r="R1485" s="1">
        <v>938.8</v>
      </c>
      <c r="S1485" s="1">
        <v>3600.1</v>
      </c>
      <c r="T1485" s="1">
        <v>29.28</v>
      </c>
      <c r="U1485" s="1">
        <v>0.05</v>
      </c>
      <c r="V1485" s="1">
        <v>937.4</v>
      </c>
      <c r="W1485" s="1">
        <v>3598.7</v>
      </c>
      <c r="X1485" s="1">
        <v>600.78</v>
      </c>
      <c r="Y1485" s="1">
        <v>240</v>
      </c>
      <c r="Z1485" s="1">
        <v>55942</v>
      </c>
      <c r="AA1485" s="1">
        <v>29.29</v>
      </c>
      <c r="AB1485" s="1">
        <v>800</v>
      </c>
    </row>
    <row r="1486" spans="1:28" x14ac:dyDescent="0.4">
      <c r="A1486" s="1" t="s">
        <v>286</v>
      </c>
      <c r="B1486" s="1">
        <v>800</v>
      </c>
      <c r="C1486" s="1">
        <v>0.4</v>
      </c>
      <c r="D1486" s="1">
        <v>0.5</v>
      </c>
      <c r="E1486" s="1">
        <v>500</v>
      </c>
      <c r="F1486" s="1">
        <v>3</v>
      </c>
      <c r="G1486" s="1">
        <v>5</v>
      </c>
      <c r="H1486" s="1" t="s">
        <v>592</v>
      </c>
      <c r="I1486" s="1">
        <v>75341</v>
      </c>
      <c r="J1486" s="1">
        <v>31353.200000000001</v>
      </c>
      <c r="K1486" s="1">
        <v>43987.8</v>
      </c>
      <c r="L1486" s="1">
        <v>240</v>
      </c>
      <c r="M1486" s="1">
        <v>600.92999999999995</v>
      </c>
      <c r="N1486" s="1">
        <v>20381.8</v>
      </c>
      <c r="O1486" s="1">
        <v>28517.200000000001</v>
      </c>
      <c r="P1486" s="1">
        <v>48899</v>
      </c>
      <c r="Q1486" s="1">
        <v>2924.8</v>
      </c>
      <c r="R1486" s="1">
        <v>1167.8</v>
      </c>
      <c r="S1486" s="1">
        <v>4092.6</v>
      </c>
      <c r="T1486" s="1">
        <v>29.66</v>
      </c>
      <c r="U1486" s="1">
        <v>0.03</v>
      </c>
      <c r="V1486" s="1">
        <v>1167.8</v>
      </c>
      <c r="W1486" s="1">
        <v>4092.6</v>
      </c>
      <c r="X1486" s="1">
        <v>600.96</v>
      </c>
      <c r="Y1486" s="1">
        <v>240</v>
      </c>
      <c r="Z1486" s="1">
        <v>52991.6</v>
      </c>
      <c r="AA1486" s="1">
        <v>29.66</v>
      </c>
      <c r="AB1486" s="1">
        <v>800</v>
      </c>
    </row>
    <row r="1487" spans="1:28" x14ac:dyDescent="0.4">
      <c r="A1487" s="1" t="s">
        <v>105</v>
      </c>
      <c r="B1487" s="1">
        <v>8000</v>
      </c>
      <c r="C1487" s="1">
        <v>0.2</v>
      </c>
      <c r="D1487" s="1">
        <v>0.5</v>
      </c>
      <c r="E1487" s="1">
        <v>1000</v>
      </c>
      <c r="F1487" s="1">
        <v>1</v>
      </c>
      <c r="G1487" s="1">
        <v>1</v>
      </c>
      <c r="H1487" s="1" t="s">
        <v>592</v>
      </c>
      <c r="I1487" s="1">
        <v>284028.3</v>
      </c>
      <c r="J1487" s="1">
        <v>113604.7</v>
      </c>
      <c r="K1487" s="1">
        <v>170423.6</v>
      </c>
      <c r="L1487" s="1">
        <v>2400</v>
      </c>
      <c r="M1487" s="1">
        <v>602.96</v>
      </c>
      <c r="N1487" s="1">
        <v>65877.5</v>
      </c>
      <c r="O1487" s="1">
        <v>91435.1</v>
      </c>
      <c r="P1487" s="1">
        <v>157312.6</v>
      </c>
      <c r="Q1487" s="1">
        <v>42849.8</v>
      </c>
      <c r="R1487" s="1">
        <v>7197.7</v>
      </c>
      <c r="S1487" s="1">
        <v>50047.5</v>
      </c>
      <c r="T1487" s="1">
        <v>26.99</v>
      </c>
      <c r="U1487" s="1">
        <v>1.21</v>
      </c>
      <c r="V1487" s="1">
        <v>7090.5</v>
      </c>
      <c r="W1487" s="1">
        <v>49940.3</v>
      </c>
      <c r="X1487" s="1">
        <v>604.16999999999996</v>
      </c>
      <c r="Y1487" s="1">
        <v>2351</v>
      </c>
      <c r="Z1487" s="1">
        <v>207252.9</v>
      </c>
      <c r="AA1487" s="1">
        <v>27.03</v>
      </c>
      <c r="AB1487" s="1">
        <v>8000</v>
      </c>
    </row>
    <row r="1488" spans="1:28" x14ac:dyDescent="0.4">
      <c r="A1488" s="1" t="s">
        <v>106</v>
      </c>
      <c r="B1488" s="1">
        <v>8000</v>
      </c>
      <c r="C1488" s="1">
        <v>0.2</v>
      </c>
      <c r="D1488" s="1">
        <v>0.5</v>
      </c>
      <c r="E1488" s="1">
        <v>1000</v>
      </c>
      <c r="F1488" s="1">
        <v>1</v>
      </c>
      <c r="G1488" s="1">
        <v>2</v>
      </c>
      <c r="H1488" s="1" t="s">
        <v>592</v>
      </c>
      <c r="I1488" s="1">
        <v>287896</v>
      </c>
      <c r="J1488" s="1">
        <v>114328.4</v>
      </c>
      <c r="K1488" s="1">
        <v>173567.6</v>
      </c>
      <c r="L1488" s="1">
        <v>2400</v>
      </c>
      <c r="M1488" s="1">
        <v>602.74</v>
      </c>
      <c r="N1488" s="1">
        <v>66569.2</v>
      </c>
      <c r="O1488" s="1">
        <v>94185.7</v>
      </c>
      <c r="P1488" s="1">
        <v>160754.9</v>
      </c>
      <c r="Q1488" s="1">
        <v>42248.2</v>
      </c>
      <c r="R1488" s="1">
        <v>7409.1</v>
      </c>
      <c r="S1488" s="1">
        <v>49657.3</v>
      </c>
      <c r="T1488" s="1">
        <v>26.91</v>
      </c>
      <c r="U1488" s="1">
        <v>1.67</v>
      </c>
      <c r="V1488" s="1">
        <v>7344</v>
      </c>
      <c r="W1488" s="1">
        <v>49592.2</v>
      </c>
      <c r="X1488" s="1">
        <v>604.4</v>
      </c>
      <c r="Y1488" s="1">
        <v>2399</v>
      </c>
      <c r="Z1488" s="1">
        <v>210347.1</v>
      </c>
      <c r="AA1488" s="1">
        <v>26.94</v>
      </c>
      <c r="AB1488" s="1">
        <v>8000</v>
      </c>
    </row>
    <row r="1489" spans="1:28" x14ac:dyDescent="0.4">
      <c r="A1489" s="1" t="s">
        <v>107</v>
      </c>
      <c r="B1489" s="1">
        <v>8000</v>
      </c>
      <c r="C1489" s="1">
        <v>0.2</v>
      </c>
      <c r="D1489" s="1">
        <v>0.5</v>
      </c>
      <c r="E1489" s="1">
        <v>1000</v>
      </c>
      <c r="F1489" s="1">
        <v>1</v>
      </c>
      <c r="G1489" s="1">
        <v>3</v>
      </c>
      <c r="H1489" s="1" t="s">
        <v>592</v>
      </c>
      <c r="I1489" s="1">
        <v>300995</v>
      </c>
      <c r="J1489" s="1">
        <v>115406.7</v>
      </c>
      <c r="K1489" s="1">
        <v>185588.3</v>
      </c>
      <c r="L1489" s="1">
        <v>2400</v>
      </c>
      <c r="M1489" s="1">
        <v>600.02</v>
      </c>
      <c r="N1489" s="1">
        <v>66460</v>
      </c>
      <c r="O1489" s="1">
        <v>100706.6</v>
      </c>
      <c r="P1489" s="1">
        <v>167166.6</v>
      </c>
      <c r="Q1489" s="1">
        <v>41729.800000000003</v>
      </c>
      <c r="R1489" s="1">
        <v>7242.1</v>
      </c>
      <c r="S1489" s="1">
        <v>48971.9</v>
      </c>
      <c r="T1489" s="1">
        <v>28.19</v>
      </c>
      <c r="U1489" s="1">
        <v>1.23</v>
      </c>
      <c r="V1489" s="1">
        <v>7201.2</v>
      </c>
      <c r="W1489" s="1">
        <v>48931</v>
      </c>
      <c r="X1489" s="1">
        <v>601.24</v>
      </c>
      <c r="Y1489" s="1">
        <v>2400</v>
      </c>
      <c r="Z1489" s="1">
        <v>216097.6</v>
      </c>
      <c r="AA1489" s="1">
        <v>28.21</v>
      </c>
      <c r="AB1489" s="1">
        <v>8000</v>
      </c>
    </row>
    <row r="1490" spans="1:28" x14ac:dyDescent="0.4">
      <c r="A1490" s="1" t="s">
        <v>108</v>
      </c>
      <c r="B1490" s="1">
        <v>8000</v>
      </c>
      <c r="C1490" s="1">
        <v>0.2</v>
      </c>
      <c r="D1490" s="1">
        <v>0.5</v>
      </c>
      <c r="E1490" s="1">
        <v>1000</v>
      </c>
      <c r="F1490" s="1">
        <v>1</v>
      </c>
      <c r="G1490" s="1">
        <v>4</v>
      </c>
      <c r="H1490" s="1" t="s">
        <v>592</v>
      </c>
      <c r="I1490" s="1">
        <v>281856.2</v>
      </c>
      <c r="J1490" s="1">
        <v>115121.2</v>
      </c>
      <c r="K1490" s="1">
        <v>166735</v>
      </c>
      <c r="L1490" s="1">
        <v>2400</v>
      </c>
      <c r="M1490" s="1">
        <v>600.02</v>
      </c>
      <c r="N1490" s="1">
        <v>66500.899999999994</v>
      </c>
      <c r="O1490" s="1">
        <v>91429.7</v>
      </c>
      <c r="P1490" s="1">
        <v>157930.6</v>
      </c>
      <c r="Q1490" s="1">
        <v>42448.1</v>
      </c>
      <c r="R1490" s="1">
        <v>7723.9</v>
      </c>
      <c r="S1490" s="1">
        <v>50172</v>
      </c>
      <c r="T1490" s="1">
        <v>26.17</v>
      </c>
      <c r="U1490" s="1">
        <v>1.93</v>
      </c>
      <c r="V1490" s="1">
        <v>7629.7</v>
      </c>
      <c r="W1490" s="1">
        <v>50077.8</v>
      </c>
      <c r="X1490" s="1">
        <v>601.96</v>
      </c>
      <c r="Y1490" s="1">
        <v>2400</v>
      </c>
      <c r="Z1490" s="1">
        <v>208008.4</v>
      </c>
      <c r="AA1490" s="1">
        <v>26.2</v>
      </c>
      <c r="AB1490" s="1">
        <v>8000</v>
      </c>
    </row>
    <row r="1491" spans="1:28" x14ac:dyDescent="0.4">
      <c r="A1491" s="1" t="s">
        <v>109</v>
      </c>
      <c r="B1491" s="1">
        <v>8000</v>
      </c>
      <c r="C1491" s="1">
        <v>0.2</v>
      </c>
      <c r="D1491" s="1">
        <v>0.5</v>
      </c>
      <c r="E1491" s="1">
        <v>1000</v>
      </c>
      <c r="F1491" s="1">
        <v>1</v>
      </c>
      <c r="G1491" s="1">
        <v>5</v>
      </c>
      <c r="H1491" s="1" t="s">
        <v>592</v>
      </c>
      <c r="I1491" s="1">
        <v>290451.90000000002</v>
      </c>
      <c r="J1491" s="1">
        <v>115475.8</v>
      </c>
      <c r="K1491" s="1">
        <v>174976.1</v>
      </c>
      <c r="L1491" s="1">
        <v>2400</v>
      </c>
      <c r="M1491" s="1">
        <v>601.20000000000005</v>
      </c>
      <c r="N1491" s="1">
        <v>66957.3</v>
      </c>
      <c r="O1491" s="1">
        <v>95030.399999999994</v>
      </c>
      <c r="P1491" s="1">
        <v>161987.70000000001</v>
      </c>
      <c r="Q1491" s="1">
        <v>42100.800000000003</v>
      </c>
      <c r="R1491" s="1">
        <v>7415.7</v>
      </c>
      <c r="S1491" s="1">
        <v>49516.5</v>
      </c>
      <c r="T1491" s="1">
        <v>27.18</v>
      </c>
      <c r="U1491" s="1">
        <v>1.37</v>
      </c>
      <c r="V1491" s="1">
        <v>7354.4</v>
      </c>
      <c r="W1491" s="1">
        <v>49455.199999999997</v>
      </c>
      <c r="X1491" s="1">
        <v>602.57000000000005</v>
      </c>
      <c r="Y1491" s="1">
        <v>2398</v>
      </c>
      <c r="Z1491" s="1">
        <v>211442.9</v>
      </c>
      <c r="AA1491" s="1">
        <v>27.2</v>
      </c>
      <c r="AB1491" s="1">
        <v>8000</v>
      </c>
    </row>
    <row r="1492" spans="1:28" x14ac:dyDescent="0.4">
      <c r="A1492" s="1" t="s">
        <v>110</v>
      </c>
      <c r="B1492" s="1">
        <v>8000</v>
      </c>
      <c r="C1492" s="1">
        <v>0.2</v>
      </c>
      <c r="D1492" s="1">
        <v>0.5</v>
      </c>
      <c r="E1492" s="1">
        <v>1000</v>
      </c>
      <c r="F1492" s="1">
        <v>2</v>
      </c>
      <c r="G1492" s="1">
        <v>1</v>
      </c>
      <c r="H1492" s="1" t="s">
        <v>592</v>
      </c>
      <c r="I1492" s="1">
        <v>451665.2</v>
      </c>
      <c r="J1492" s="1">
        <v>173512.3</v>
      </c>
      <c r="K1492" s="1">
        <v>278152.90000000002</v>
      </c>
      <c r="L1492" s="1">
        <v>2400</v>
      </c>
      <c r="M1492" s="1">
        <v>602.62</v>
      </c>
      <c r="N1492" s="1">
        <v>101699.7</v>
      </c>
      <c r="O1492" s="1">
        <v>149648.9</v>
      </c>
      <c r="P1492" s="1">
        <v>251348.6</v>
      </c>
      <c r="Q1492" s="1">
        <v>45165.9</v>
      </c>
      <c r="R1492" s="1">
        <v>8794.5</v>
      </c>
      <c r="S1492" s="1">
        <v>53960.4</v>
      </c>
      <c r="T1492" s="1">
        <v>32.4</v>
      </c>
      <c r="U1492" s="1">
        <v>0.85</v>
      </c>
      <c r="V1492" s="1">
        <v>8723.2999999999993</v>
      </c>
      <c r="W1492" s="1">
        <v>53889.2</v>
      </c>
      <c r="X1492" s="1">
        <v>603.47</v>
      </c>
      <c r="Y1492" s="1">
        <v>2385</v>
      </c>
      <c r="Z1492" s="1">
        <v>305237.8</v>
      </c>
      <c r="AA1492" s="1">
        <v>32.42</v>
      </c>
      <c r="AB1492" s="1">
        <v>8000</v>
      </c>
    </row>
    <row r="1493" spans="1:28" x14ac:dyDescent="0.4">
      <c r="A1493" s="1" t="s">
        <v>111</v>
      </c>
      <c r="B1493" s="1">
        <v>8000</v>
      </c>
      <c r="C1493" s="1">
        <v>0.2</v>
      </c>
      <c r="D1493" s="1">
        <v>0.5</v>
      </c>
      <c r="E1493" s="1">
        <v>1000</v>
      </c>
      <c r="F1493" s="1">
        <v>2</v>
      </c>
      <c r="G1493" s="1">
        <v>2</v>
      </c>
      <c r="H1493" s="1" t="s">
        <v>592</v>
      </c>
      <c r="I1493" s="1">
        <v>440100.8</v>
      </c>
      <c r="J1493" s="1">
        <v>164654.6</v>
      </c>
      <c r="K1493" s="1">
        <v>275446.2</v>
      </c>
      <c r="L1493" s="1">
        <v>2400</v>
      </c>
      <c r="M1493" s="1">
        <v>603.16999999999996</v>
      </c>
      <c r="N1493" s="1">
        <v>95502.9</v>
      </c>
      <c r="O1493" s="1">
        <v>145260.20000000001</v>
      </c>
      <c r="P1493" s="1">
        <v>240763.1</v>
      </c>
      <c r="Q1493" s="1">
        <v>43989.4</v>
      </c>
      <c r="R1493" s="1">
        <v>8533.7000000000007</v>
      </c>
      <c r="S1493" s="1">
        <v>52523.1</v>
      </c>
      <c r="T1493" s="1">
        <v>33.36</v>
      </c>
      <c r="U1493" s="1">
        <v>0.76</v>
      </c>
      <c r="V1493" s="1">
        <v>8485</v>
      </c>
      <c r="W1493" s="1">
        <v>52474.400000000001</v>
      </c>
      <c r="X1493" s="1">
        <v>603.92999999999995</v>
      </c>
      <c r="Y1493" s="1">
        <v>2395</v>
      </c>
      <c r="Z1493" s="1">
        <v>293237.5</v>
      </c>
      <c r="AA1493" s="1">
        <v>33.369999999999997</v>
      </c>
      <c r="AB1493" s="1">
        <v>8000</v>
      </c>
    </row>
    <row r="1494" spans="1:28" x14ac:dyDescent="0.4">
      <c r="A1494" s="1" t="s">
        <v>112</v>
      </c>
      <c r="B1494" s="1">
        <v>8000</v>
      </c>
      <c r="C1494" s="1">
        <v>0.2</v>
      </c>
      <c r="D1494" s="1">
        <v>0.5</v>
      </c>
      <c r="E1494" s="1">
        <v>1000</v>
      </c>
      <c r="F1494" s="1">
        <v>2</v>
      </c>
      <c r="G1494" s="1">
        <v>3</v>
      </c>
      <c r="H1494" s="1" t="s">
        <v>592</v>
      </c>
      <c r="I1494" s="1">
        <v>437246.5</v>
      </c>
      <c r="J1494" s="1">
        <v>162976.70000000001</v>
      </c>
      <c r="K1494" s="1">
        <v>274269.8</v>
      </c>
      <c r="L1494" s="1">
        <v>2400</v>
      </c>
      <c r="M1494" s="1">
        <v>603.38</v>
      </c>
      <c r="N1494" s="1">
        <v>93085.6</v>
      </c>
      <c r="O1494" s="1">
        <v>148977.5</v>
      </c>
      <c r="P1494" s="1">
        <v>242063.1</v>
      </c>
      <c r="Q1494" s="1">
        <v>44395.5</v>
      </c>
      <c r="R1494" s="1">
        <v>8687.7999999999993</v>
      </c>
      <c r="S1494" s="1">
        <v>53083.3</v>
      </c>
      <c r="T1494" s="1">
        <v>32.5</v>
      </c>
      <c r="U1494" s="1">
        <v>0.95</v>
      </c>
      <c r="V1494" s="1">
        <v>8527.4</v>
      </c>
      <c r="W1494" s="1">
        <v>52922.9</v>
      </c>
      <c r="X1494" s="1">
        <v>604.33000000000004</v>
      </c>
      <c r="Y1494" s="1">
        <v>2395</v>
      </c>
      <c r="Z1494" s="1">
        <v>294986</v>
      </c>
      <c r="AA1494" s="1">
        <v>32.54</v>
      </c>
      <c r="AB1494" s="1">
        <v>8000</v>
      </c>
    </row>
    <row r="1495" spans="1:28" x14ac:dyDescent="0.4">
      <c r="A1495" s="1" t="s">
        <v>113</v>
      </c>
      <c r="B1495" s="1">
        <v>8000</v>
      </c>
      <c r="C1495" s="1">
        <v>0.2</v>
      </c>
      <c r="D1495" s="1">
        <v>0.5</v>
      </c>
      <c r="E1495" s="1">
        <v>1000</v>
      </c>
      <c r="F1495" s="1">
        <v>2</v>
      </c>
      <c r="G1495" s="1">
        <v>4</v>
      </c>
      <c r="H1495" s="1" t="s">
        <v>592</v>
      </c>
      <c r="I1495" s="1">
        <v>456550.1</v>
      </c>
      <c r="J1495" s="1">
        <v>164153.29999999999</v>
      </c>
      <c r="K1495" s="1">
        <v>292396.79999999999</v>
      </c>
      <c r="L1495" s="1">
        <v>2400</v>
      </c>
      <c r="M1495" s="1">
        <v>602.36</v>
      </c>
      <c r="N1495" s="1">
        <v>93225.8</v>
      </c>
      <c r="O1495" s="1">
        <v>155611.5</v>
      </c>
      <c r="P1495" s="1">
        <v>248837.3</v>
      </c>
      <c r="Q1495" s="1">
        <v>47511.9</v>
      </c>
      <c r="R1495" s="1">
        <v>8797.5</v>
      </c>
      <c r="S1495" s="1">
        <v>56309.4</v>
      </c>
      <c r="T1495" s="1">
        <v>33.159999999999997</v>
      </c>
      <c r="U1495" s="1">
        <v>0.99</v>
      </c>
      <c r="V1495" s="1">
        <v>8744.7999999999993</v>
      </c>
      <c r="W1495" s="1">
        <v>56256.7</v>
      </c>
      <c r="X1495" s="1">
        <v>603.35</v>
      </c>
      <c r="Y1495" s="1">
        <v>2397</v>
      </c>
      <c r="Z1495" s="1">
        <v>305094</v>
      </c>
      <c r="AA1495" s="1">
        <v>33.17</v>
      </c>
      <c r="AB1495" s="1">
        <v>8000</v>
      </c>
    </row>
    <row r="1496" spans="1:28" x14ac:dyDescent="0.4">
      <c r="A1496" s="1" t="s">
        <v>114</v>
      </c>
      <c r="B1496" s="1">
        <v>8000</v>
      </c>
      <c r="C1496" s="1">
        <v>0.2</v>
      </c>
      <c r="D1496" s="1">
        <v>0.5</v>
      </c>
      <c r="E1496" s="1">
        <v>1000</v>
      </c>
      <c r="F1496" s="1">
        <v>2</v>
      </c>
      <c r="G1496" s="1">
        <v>5</v>
      </c>
      <c r="H1496" s="1" t="s">
        <v>592</v>
      </c>
      <c r="I1496" s="1">
        <v>457523.20000000001</v>
      </c>
      <c r="J1496" s="1">
        <v>176183.7</v>
      </c>
      <c r="K1496" s="1">
        <v>281339.5</v>
      </c>
      <c r="L1496" s="1">
        <v>2400</v>
      </c>
      <c r="M1496" s="1">
        <v>603.04</v>
      </c>
      <c r="N1496" s="1">
        <v>100967</v>
      </c>
      <c r="O1496" s="1">
        <v>150819.9</v>
      </c>
      <c r="P1496" s="1">
        <v>251786.9</v>
      </c>
      <c r="Q1496" s="1">
        <v>46037.4</v>
      </c>
      <c r="R1496" s="1">
        <v>9030.4</v>
      </c>
      <c r="S1496" s="1">
        <v>55067.8</v>
      </c>
      <c r="T1496" s="1">
        <v>32.93</v>
      </c>
      <c r="U1496" s="1">
        <v>0.95</v>
      </c>
      <c r="V1496" s="1">
        <v>8937.2999999999993</v>
      </c>
      <c r="W1496" s="1">
        <v>54974.7</v>
      </c>
      <c r="X1496" s="1">
        <v>603.98</v>
      </c>
      <c r="Y1496" s="1">
        <v>2392</v>
      </c>
      <c r="Z1496" s="1">
        <v>306761.59999999998</v>
      </c>
      <c r="AA1496" s="1">
        <v>32.950000000000003</v>
      </c>
      <c r="AB1496" s="1">
        <v>8000</v>
      </c>
    </row>
    <row r="1497" spans="1:28" x14ac:dyDescent="0.4">
      <c r="A1497" s="1" t="s">
        <v>115</v>
      </c>
      <c r="B1497" s="1">
        <v>8000</v>
      </c>
      <c r="C1497" s="1">
        <v>0.2</v>
      </c>
      <c r="D1497" s="1">
        <v>0.5</v>
      </c>
      <c r="E1497" s="1">
        <v>1000</v>
      </c>
      <c r="F1497" s="1">
        <v>3</v>
      </c>
      <c r="G1497" s="1">
        <v>1</v>
      </c>
      <c r="H1497" s="1" t="s">
        <v>592</v>
      </c>
      <c r="I1497" s="1">
        <v>593161.5</v>
      </c>
      <c r="J1497" s="1">
        <v>215760</v>
      </c>
      <c r="K1497" s="1">
        <v>377401.5</v>
      </c>
      <c r="L1497" s="1">
        <v>2400</v>
      </c>
      <c r="M1497" s="1">
        <v>602.1</v>
      </c>
      <c r="N1497" s="1">
        <v>122790</v>
      </c>
      <c r="O1497" s="1">
        <v>209174.7</v>
      </c>
      <c r="P1497" s="1">
        <v>331964.7</v>
      </c>
      <c r="Q1497" s="1">
        <v>50762.7</v>
      </c>
      <c r="R1497" s="1">
        <v>11399</v>
      </c>
      <c r="S1497" s="1">
        <v>62161.7</v>
      </c>
      <c r="T1497" s="1">
        <v>33.549999999999997</v>
      </c>
      <c r="U1497" s="1">
        <v>0.82</v>
      </c>
      <c r="V1497" s="1">
        <v>11339.1</v>
      </c>
      <c r="W1497" s="1">
        <v>62101.8</v>
      </c>
      <c r="X1497" s="1">
        <v>602.91999999999996</v>
      </c>
      <c r="Y1497" s="1">
        <v>2399</v>
      </c>
      <c r="Z1497" s="1">
        <v>394066.5</v>
      </c>
      <c r="AA1497" s="1">
        <v>33.57</v>
      </c>
      <c r="AB1497" s="1">
        <v>8000</v>
      </c>
    </row>
    <row r="1498" spans="1:28" x14ac:dyDescent="0.4">
      <c r="A1498" s="1" t="s">
        <v>116</v>
      </c>
      <c r="B1498" s="1">
        <v>8000</v>
      </c>
      <c r="C1498" s="1">
        <v>0.2</v>
      </c>
      <c r="D1498" s="1">
        <v>0.5</v>
      </c>
      <c r="E1498" s="1">
        <v>1000</v>
      </c>
      <c r="F1498" s="1">
        <v>3</v>
      </c>
      <c r="G1498" s="1">
        <v>2</v>
      </c>
      <c r="H1498" s="1" t="s">
        <v>592</v>
      </c>
      <c r="I1498" s="1">
        <v>597665.69999999995</v>
      </c>
      <c r="J1498" s="1">
        <v>223856.5</v>
      </c>
      <c r="K1498" s="1">
        <v>373809.2</v>
      </c>
      <c r="L1498" s="1">
        <v>2400</v>
      </c>
      <c r="M1498" s="1">
        <v>602.74</v>
      </c>
      <c r="N1498" s="1">
        <v>127137.5</v>
      </c>
      <c r="O1498" s="1">
        <v>206657.3</v>
      </c>
      <c r="P1498" s="1">
        <v>333794.8</v>
      </c>
      <c r="Q1498" s="1">
        <v>50361.3</v>
      </c>
      <c r="R1498" s="1">
        <v>11649.1</v>
      </c>
      <c r="S1498" s="1">
        <v>62010.400000000001</v>
      </c>
      <c r="T1498" s="1">
        <v>33.770000000000003</v>
      </c>
      <c r="U1498" s="1">
        <v>0.87</v>
      </c>
      <c r="V1498" s="1">
        <v>11565</v>
      </c>
      <c r="W1498" s="1">
        <v>61926.3</v>
      </c>
      <c r="X1498" s="1">
        <v>603.61</v>
      </c>
      <c r="Y1498" s="1">
        <v>2399</v>
      </c>
      <c r="Z1498" s="1">
        <v>395721.1</v>
      </c>
      <c r="AA1498" s="1">
        <v>33.79</v>
      </c>
      <c r="AB1498" s="1">
        <v>8000</v>
      </c>
    </row>
    <row r="1499" spans="1:28" x14ac:dyDescent="0.4">
      <c r="A1499" s="1" t="s">
        <v>117</v>
      </c>
      <c r="B1499" s="1">
        <v>8000</v>
      </c>
      <c r="C1499" s="1">
        <v>0.2</v>
      </c>
      <c r="D1499" s="1">
        <v>0.5</v>
      </c>
      <c r="E1499" s="1">
        <v>1000</v>
      </c>
      <c r="F1499" s="1">
        <v>3</v>
      </c>
      <c r="G1499" s="1">
        <v>3</v>
      </c>
      <c r="H1499" s="1" t="s">
        <v>592</v>
      </c>
      <c r="I1499" s="1">
        <v>583722.1</v>
      </c>
      <c r="J1499" s="1">
        <v>223799</v>
      </c>
      <c r="K1499" s="1">
        <v>359923.1</v>
      </c>
      <c r="L1499" s="1">
        <v>2400</v>
      </c>
      <c r="M1499" s="1">
        <v>603.24</v>
      </c>
      <c r="N1499" s="1">
        <v>124306.9</v>
      </c>
      <c r="O1499" s="1">
        <v>196509.1</v>
      </c>
      <c r="P1499" s="1">
        <v>320816</v>
      </c>
      <c r="Q1499" s="1">
        <v>50002.9</v>
      </c>
      <c r="R1499" s="1">
        <v>10971.7</v>
      </c>
      <c r="S1499" s="1">
        <v>60974.6</v>
      </c>
      <c r="T1499" s="1">
        <v>34.590000000000003</v>
      </c>
      <c r="U1499" s="1">
        <v>0.83</v>
      </c>
      <c r="V1499" s="1">
        <v>10905.6</v>
      </c>
      <c r="W1499" s="1">
        <v>60908.5</v>
      </c>
      <c r="X1499" s="1">
        <v>604.07000000000005</v>
      </c>
      <c r="Y1499" s="1">
        <v>2399</v>
      </c>
      <c r="Z1499" s="1">
        <v>381724.5</v>
      </c>
      <c r="AA1499" s="1">
        <v>34.61</v>
      </c>
      <c r="AB1499" s="1">
        <v>8000</v>
      </c>
    </row>
    <row r="1500" spans="1:28" x14ac:dyDescent="0.4">
      <c r="A1500" s="1" t="s">
        <v>118</v>
      </c>
      <c r="B1500" s="1">
        <v>8000</v>
      </c>
      <c r="C1500" s="1">
        <v>0.2</v>
      </c>
      <c r="D1500" s="1">
        <v>0.5</v>
      </c>
      <c r="E1500" s="1">
        <v>1000</v>
      </c>
      <c r="F1500" s="1">
        <v>3</v>
      </c>
      <c r="G1500" s="1">
        <v>4</v>
      </c>
      <c r="H1500" s="1" t="s">
        <v>592</v>
      </c>
      <c r="I1500" s="1">
        <v>587036.19999999995</v>
      </c>
      <c r="J1500" s="1">
        <v>229321.60000000001</v>
      </c>
      <c r="K1500" s="1">
        <v>357714.6</v>
      </c>
      <c r="L1500" s="1">
        <v>2400</v>
      </c>
      <c r="M1500" s="1">
        <v>602.79</v>
      </c>
      <c r="N1500" s="1">
        <v>127452.6</v>
      </c>
      <c r="O1500" s="1">
        <v>196001.6</v>
      </c>
      <c r="P1500" s="1">
        <v>323454.2</v>
      </c>
      <c r="Q1500" s="1">
        <v>49562.7</v>
      </c>
      <c r="R1500" s="1">
        <v>11432.7</v>
      </c>
      <c r="S1500" s="1">
        <v>60995.4</v>
      </c>
      <c r="T1500" s="1">
        <v>34.51</v>
      </c>
      <c r="U1500" s="1">
        <v>0.87</v>
      </c>
      <c r="V1500" s="1">
        <v>11318.9</v>
      </c>
      <c r="W1500" s="1">
        <v>60881.599999999999</v>
      </c>
      <c r="X1500" s="1">
        <v>603.66999999999996</v>
      </c>
      <c r="Y1500" s="1">
        <v>2397</v>
      </c>
      <c r="Z1500" s="1">
        <v>384335.8</v>
      </c>
      <c r="AA1500" s="1">
        <v>34.53</v>
      </c>
      <c r="AB1500" s="1">
        <v>8000</v>
      </c>
    </row>
    <row r="1501" spans="1:28" x14ac:dyDescent="0.4">
      <c r="A1501" s="1" t="s">
        <v>119</v>
      </c>
      <c r="B1501" s="1">
        <v>8000</v>
      </c>
      <c r="C1501" s="1">
        <v>0.2</v>
      </c>
      <c r="D1501" s="1">
        <v>0.5</v>
      </c>
      <c r="E1501" s="1">
        <v>1000</v>
      </c>
      <c r="F1501" s="1">
        <v>3</v>
      </c>
      <c r="G1501" s="1">
        <v>5</v>
      </c>
      <c r="H1501" s="1" t="s">
        <v>592</v>
      </c>
      <c r="I1501" s="1">
        <v>592275.9</v>
      </c>
      <c r="J1501" s="1">
        <v>226754.8</v>
      </c>
      <c r="K1501" s="1">
        <v>365521.1</v>
      </c>
      <c r="L1501" s="1">
        <v>2400</v>
      </c>
      <c r="M1501" s="1">
        <v>601.9</v>
      </c>
      <c r="N1501" s="1">
        <v>128383.7</v>
      </c>
      <c r="O1501" s="1">
        <v>201029.9</v>
      </c>
      <c r="P1501" s="1">
        <v>329413.59999999998</v>
      </c>
      <c r="Q1501" s="1">
        <v>50852.3</v>
      </c>
      <c r="R1501" s="1">
        <v>11841.8</v>
      </c>
      <c r="S1501" s="1">
        <v>62694.1</v>
      </c>
      <c r="T1501" s="1">
        <v>33.799999999999997</v>
      </c>
      <c r="U1501" s="1">
        <v>0.81</v>
      </c>
      <c r="V1501" s="1">
        <v>11748.9</v>
      </c>
      <c r="W1501" s="1">
        <v>62601.2</v>
      </c>
      <c r="X1501" s="1">
        <v>602.71</v>
      </c>
      <c r="Y1501" s="1">
        <v>2396</v>
      </c>
      <c r="Z1501" s="1">
        <v>392014.8</v>
      </c>
      <c r="AA1501" s="1">
        <v>33.81</v>
      </c>
      <c r="AB1501" s="1">
        <v>8000</v>
      </c>
    </row>
    <row r="1502" spans="1:28" x14ac:dyDescent="0.4">
      <c r="A1502" s="1" t="s">
        <v>467</v>
      </c>
      <c r="B1502" s="1">
        <v>8000</v>
      </c>
      <c r="C1502" s="1">
        <v>0.2</v>
      </c>
      <c r="D1502" s="1">
        <v>0.5</v>
      </c>
      <c r="E1502" s="1">
        <v>2000</v>
      </c>
      <c r="F1502" s="1">
        <v>1</v>
      </c>
      <c r="G1502" s="1">
        <v>1</v>
      </c>
      <c r="H1502" s="1" t="s">
        <v>592</v>
      </c>
      <c r="I1502" s="1">
        <v>572946.6</v>
      </c>
      <c r="J1502" s="1">
        <v>225821.5</v>
      </c>
      <c r="K1502" s="1">
        <v>347125.1</v>
      </c>
      <c r="L1502" s="1">
        <v>2400</v>
      </c>
      <c r="M1502" s="1">
        <v>602.75</v>
      </c>
      <c r="N1502" s="1">
        <v>130649.7</v>
      </c>
      <c r="O1502" s="1">
        <v>186807.9</v>
      </c>
      <c r="P1502" s="1">
        <v>317457.59999999998</v>
      </c>
      <c r="Q1502" s="1">
        <v>65468.4</v>
      </c>
      <c r="R1502" s="1">
        <v>13934.6</v>
      </c>
      <c r="S1502" s="1">
        <v>79403</v>
      </c>
      <c r="T1502" s="1">
        <v>30.73</v>
      </c>
      <c r="U1502" s="1">
        <v>0.77</v>
      </c>
      <c r="V1502" s="1">
        <v>13733.3</v>
      </c>
      <c r="W1502" s="1">
        <v>79201.7</v>
      </c>
      <c r="X1502" s="1">
        <v>603.52</v>
      </c>
      <c r="Y1502" s="1">
        <v>2398</v>
      </c>
      <c r="Z1502" s="1">
        <v>396659.3</v>
      </c>
      <c r="AA1502" s="1">
        <v>30.77</v>
      </c>
      <c r="AB1502" s="1">
        <v>8000</v>
      </c>
    </row>
    <row r="1503" spans="1:28" x14ac:dyDescent="0.4">
      <c r="A1503" s="1" t="s">
        <v>468</v>
      </c>
      <c r="B1503" s="1">
        <v>8000</v>
      </c>
      <c r="C1503" s="1">
        <v>0.2</v>
      </c>
      <c r="D1503" s="1">
        <v>0.5</v>
      </c>
      <c r="E1503" s="1">
        <v>2000</v>
      </c>
      <c r="F1503" s="1">
        <v>1</v>
      </c>
      <c r="G1503" s="1">
        <v>2</v>
      </c>
      <c r="H1503" s="1" t="s">
        <v>592</v>
      </c>
      <c r="I1503" s="1">
        <v>581428.4</v>
      </c>
      <c r="J1503" s="1">
        <v>226042.1</v>
      </c>
      <c r="K1503" s="1">
        <v>355386.3</v>
      </c>
      <c r="L1503" s="1">
        <v>2400</v>
      </c>
      <c r="M1503" s="1">
        <v>602.84</v>
      </c>
      <c r="N1503" s="1">
        <v>136409.4</v>
      </c>
      <c r="O1503" s="1">
        <v>195626.3</v>
      </c>
      <c r="P1503" s="1">
        <v>332035.7</v>
      </c>
      <c r="Q1503" s="1">
        <v>63645.599999999999</v>
      </c>
      <c r="R1503" s="1">
        <v>12622.5</v>
      </c>
      <c r="S1503" s="1">
        <v>76268.100000000006</v>
      </c>
      <c r="T1503" s="1">
        <v>29.78</v>
      </c>
      <c r="U1503" s="1">
        <v>0.77</v>
      </c>
      <c r="V1503" s="1">
        <v>12357.6</v>
      </c>
      <c r="W1503" s="1">
        <v>76003.199999999997</v>
      </c>
      <c r="X1503" s="1">
        <v>603.62</v>
      </c>
      <c r="Y1503" s="1">
        <v>2378</v>
      </c>
      <c r="Z1503" s="1">
        <v>408038.9</v>
      </c>
      <c r="AA1503" s="1">
        <v>29.82</v>
      </c>
      <c r="AB1503" s="1">
        <v>8000</v>
      </c>
    </row>
    <row r="1504" spans="1:28" x14ac:dyDescent="0.4">
      <c r="A1504" s="1" t="s">
        <v>469</v>
      </c>
      <c r="B1504" s="1">
        <v>8000</v>
      </c>
      <c r="C1504" s="1">
        <v>0.2</v>
      </c>
      <c r="D1504" s="1">
        <v>0.5</v>
      </c>
      <c r="E1504" s="1">
        <v>2000</v>
      </c>
      <c r="F1504" s="1">
        <v>1</v>
      </c>
      <c r="G1504" s="1">
        <v>3</v>
      </c>
      <c r="H1504" s="1" t="s">
        <v>592</v>
      </c>
      <c r="I1504" s="1">
        <v>579172.6</v>
      </c>
      <c r="J1504" s="1">
        <v>229614.6</v>
      </c>
      <c r="K1504" s="1">
        <v>349558</v>
      </c>
      <c r="L1504" s="1">
        <v>2400</v>
      </c>
      <c r="M1504" s="1">
        <v>603.22</v>
      </c>
      <c r="N1504" s="1">
        <v>134433.1</v>
      </c>
      <c r="O1504" s="1">
        <v>191382.2</v>
      </c>
      <c r="P1504" s="1">
        <v>325815.3</v>
      </c>
      <c r="Q1504" s="1">
        <v>64357.3</v>
      </c>
      <c r="R1504" s="1">
        <v>13015.4</v>
      </c>
      <c r="S1504" s="1">
        <v>77372.7</v>
      </c>
      <c r="T1504" s="1">
        <v>30.39</v>
      </c>
      <c r="U1504" s="1">
        <v>0.6</v>
      </c>
      <c r="V1504" s="1">
        <v>12875.4</v>
      </c>
      <c r="W1504" s="1">
        <v>77232.7</v>
      </c>
      <c r="X1504" s="1">
        <v>603.82000000000005</v>
      </c>
      <c r="Y1504" s="1">
        <v>2399</v>
      </c>
      <c r="Z1504" s="1">
        <v>403048</v>
      </c>
      <c r="AA1504" s="1">
        <v>30.41</v>
      </c>
      <c r="AB1504" s="1">
        <v>8000</v>
      </c>
    </row>
    <row r="1505" spans="1:28" x14ac:dyDescent="0.4">
      <c r="A1505" s="1" t="s">
        <v>470</v>
      </c>
      <c r="B1505" s="1">
        <v>8000</v>
      </c>
      <c r="C1505" s="1">
        <v>0.2</v>
      </c>
      <c r="D1505" s="1">
        <v>0.5</v>
      </c>
      <c r="E1505" s="1">
        <v>2000</v>
      </c>
      <c r="F1505" s="1">
        <v>1</v>
      </c>
      <c r="G1505" s="1">
        <v>4</v>
      </c>
      <c r="H1505" s="1" t="s">
        <v>592</v>
      </c>
      <c r="I1505" s="1">
        <v>566645.6</v>
      </c>
      <c r="J1505" s="1">
        <v>222393.3</v>
      </c>
      <c r="K1505" s="1">
        <v>344252.3</v>
      </c>
      <c r="L1505" s="1">
        <v>2400</v>
      </c>
      <c r="M1505" s="1">
        <v>600.01</v>
      </c>
      <c r="N1505" s="1">
        <v>133611.4</v>
      </c>
      <c r="O1505" s="1">
        <v>190447.2</v>
      </c>
      <c r="P1505" s="1">
        <v>324058.59999999998</v>
      </c>
      <c r="Q1505" s="1">
        <v>63420.4</v>
      </c>
      <c r="R1505" s="1">
        <v>13017</v>
      </c>
      <c r="S1505" s="1">
        <v>76437.399999999994</v>
      </c>
      <c r="T1505" s="1">
        <v>29.32</v>
      </c>
      <c r="U1505" s="1">
        <v>0.85</v>
      </c>
      <c r="V1505" s="1">
        <v>12833.2</v>
      </c>
      <c r="W1505" s="1">
        <v>76253.600000000006</v>
      </c>
      <c r="X1505" s="1">
        <v>600.86</v>
      </c>
      <c r="Y1505" s="1">
        <v>2396</v>
      </c>
      <c r="Z1505" s="1">
        <v>400312.2</v>
      </c>
      <c r="AA1505" s="1">
        <v>29.35</v>
      </c>
      <c r="AB1505" s="1">
        <v>8000</v>
      </c>
    </row>
    <row r="1506" spans="1:28" x14ac:dyDescent="0.4">
      <c r="A1506" s="1" t="s">
        <v>471</v>
      </c>
      <c r="B1506" s="1">
        <v>8000</v>
      </c>
      <c r="C1506" s="1">
        <v>0.2</v>
      </c>
      <c r="D1506" s="1">
        <v>0.5</v>
      </c>
      <c r="E1506" s="1">
        <v>2000</v>
      </c>
      <c r="F1506" s="1">
        <v>1</v>
      </c>
      <c r="G1506" s="1">
        <v>5</v>
      </c>
      <c r="H1506" s="1" t="s">
        <v>592</v>
      </c>
      <c r="I1506" s="1">
        <v>577946.30000000005</v>
      </c>
      <c r="J1506" s="1">
        <v>226808.2</v>
      </c>
      <c r="K1506" s="1">
        <v>351138.1</v>
      </c>
      <c r="L1506" s="1">
        <v>2400</v>
      </c>
      <c r="M1506" s="1">
        <v>603.32000000000005</v>
      </c>
      <c r="N1506" s="1">
        <v>136367.6</v>
      </c>
      <c r="O1506" s="1">
        <v>196109.8</v>
      </c>
      <c r="P1506" s="1">
        <v>332477.40000000002</v>
      </c>
      <c r="Q1506" s="1">
        <v>63192.6</v>
      </c>
      <c r="R1506" s="1">
        <v>12437.5</v>
      </c>
      <c r="S1506" s="1">
        <v>75630.100000000006</v>
      </c>
      <c r="T1506" s="1">
        <v>29.39</v>
      </c>
      <c r="U1506" s="1">
        <v>0.68</v>
      </c>
      <c r="V1506" s="1">
        <v>12308.6</v>
      </c>
      <c r="W1506" s="1">
        <v>75501.2</v>
      </c>
      <c r="X1506" s="1">
        <v>604</v>
      </c>
      <c r="Y1506" s="1">
        <v>2392</v>
      </c>
      <c r="Z1506" s="1">
        <v>407978.6</v>
      </c>
      <c r="AA1506" s="1">
        <v>29.41</v>
      </c>
      <c r="AB1506" s="1">
        <v>8000</v>
      </c>
    </row>
    <row r="1507" spans="1:28" x14ac:dyDescent="0.4">
      <c r="A1507" s="1" t="s">
        <v>472</v>
      </c>
      <c r="B1507" s="1">
        <v>8000</v>
      </c>
      <c r="C1507" s="1">
        <v>0.2</v>
      </c>
      <c r="D1507" s="1">
        <v>0.5</v>
      </c>
      <c r="E1507" s="1">
        <v>2000</v>
      </c>
      <c r="F1507" s="1">
        <v>2</v>
      </c>
      <c r="G1507" s="1">
        <v>1</v>
      </c>
      <c r="H1507" s="1" t="s">
        <v>592</v>
      </c>
      <c r="I1507" s="1">
        <v>886233.1</v>
      </c>
      <c r="J1507" s="1">
        <v>345610.9</v>
      </c>
      <c r="K1507" s="1">
        <v>540622.19999999995</v>
      </c>
      <c r="L1507" s="1">
        <v>2400</v>
      </c>
      <c r="M1507" s="1">
        <v>603.42999999999995</v>
      </c>
      <c r="N1507" s="1">
        <v>208580.5</v>
      </c>
      <c r="O1507" s="1">
        <v>306715.2</v>
      </c>
      <c r="P1507" s="1">
        <v>515295.7</v>
      </c>
      <c r="Q1507" s="1">
        <v>63218.1</v>
      </c>
      <c r="R1507" s="1">
        <v>16546.400000000001</v>
      </c>
      <c r="S1507" s="1">
        <v>79764.5</v>
      </c>
      <c r="T1507" s="1">
        <v>32.86</v>
      </c>
      <c r="U1507" s="1">
        <v>0.9</v>
      </c>
      <c r="V1507" s="1">
        <v>16171.1</v>
      </c>
      <c r="W1507" s="1">
        <v>79389.2</v>
      </c>
      <c r="X1507" s="1">
        <v>604.33000000000004</v>
      </c>
      <c r="Y1507" s="1">
        <v>2387</v>
      </c>
      <c r="Z1507" s="1">
        <v>594684.9</v>
      </c>
      <c r="AA1507" s="1">
        <v>32.9</v>
      </c>
      <c r="AB1507" s="1">
        <v>8000</v>
      </c>
    </row>
    <row r="1508" spans="1:28" x14ac:dyDescent="0.4">
      <c r="A1508" s="1" t="s">
        <v>473</v>
      </c>
      <c r="B1508" s="1">
        <v>8000</v>
      </c>
      <c r="C1508" s="1">
        <v>0.2</v>
      </c>
      <c r="D1508" s="1">
        <v>0.5</v>
      </c>
      <c r="E1508" s="1">
        <v>2000</v>
      </c>
      <c r="F1508" s="1">
        <v>2</v>
      </c>
      <c r="G1508" s="1">
        <v>2</v>
      </c>
      <c r="H1508" s="1" t="s">
        <v>592</v>
      </c>
      <c r="I1508" s="1">
        <v>892256.8</v>
      </c>
      <c r="J1508" s="1">
        <v>337135.3</v>
      </c>
      <c r="K1508" s="1">
        <v>555121.5</v>
      </c>
      <c r="L1508" s="1">
        <v>2400</v>
      </c>
      <c r="M1508" s="1">
        <v>603.02</v>
      </c>
      <c r="N1508" s="1">
        <v>202975.7</v>
      </c>
      <c r="O1508" s="1">
        <v>312964.3</v>
      </c>
      <c r="P1508" s="1">
        <v>515940</v>
      </c>
      <c r="Q1508" s="1">
        <v>63731.9</v>
      </c>
      <c r="R1508" s="1">
        <v>16416.400000000001</v>
      </c>
      <c r="S1508" s="1">
        <v>80148.3</v>
      </c>
      <c r="T1508" s="1">
        <v>33.19</v>
      </c>
      <c r="U1508" s="1">
        <v>0.85</v>
      </c>
      <c r="V1508" s="1">
        <v>16258.1</v>
      </c>
      <c r="W1508" s="1">
        <v>79990</v>
      </c>
      <c r="X1508" s="1">
        <v>603.87</v>
      </c>
      <c r="Y1508" s="1">
        <v>2390</v>
      </c>
      <c r="Z1508" s="1">
        <v>595930</v>
      </c>
      <c r="AA1508" s="1">
        <v>33.21</v>
      </c>
      <c r="AB1508" s="1">
        <v>8000</v>
      </c>
    </row>
    <row r="1509" spans="1:28" x14ac:dyDescent="0.4">
      <c r="A1509" s="1" t="s">
        <v>474</v>
      </c>
      <c r="B1509" s="1">
        <v>8000</v>
      </c>
      <c r="C1509" s="1">
        <v>0.2</v>
      </c>
      <c r="D1509" s="1">
        <v>0.5</v>
      </c>
      <c r="E1509" s="1">
        <v>2000</v>
      </c>
      <c r="F1509" s="1">
        <v>2</v>
      </c>
      <c r="G1509" s="1">
        <v>3</v>
      </c>
      <c r="H1509" s="1" t="s">
        <v>592</v>
      </c>
      <c r="I1509" s="1">
        <v>915025.1</v>
      </c>
      <c r="J1509" s="1">
        <v>344856.5</v>
      </c>
      <c r="K1509" s="1">
        <v>570168.6</v>
      </c>
      <c r="L1509" s="1">
        <v>2400</v>
      </c>
      <c r="M1509" s="1">
        <v>602.41</v>
      </c>
      <c r="N1509" s="1">
        <v>201695.4</v>
      </c>
      <c r="O1509" s="1">
        <v>321852.90000000002</v>
      </c>
      <c r="P1509" s="1">
        <v>523548.3</v>
      </c>
      <c r="Q1509" s="1">
        <v>66012.2</v>
      </c>
      <c r="R1509" s="1">
        <v>17029</v>
      </c>
      <c r="S1509" s="1">
        <v>83041.2</v>
      </c>
      <c r="T1509" s="1">
        <v>33.71</v>
      </c>
      <c r="U1509" s="1">
        <v>1.02</v>
      </c>
      <c r="V1509" s="1">
        <v>16803.7</v>
      </c>
      <c r="W1509" s="1">
        <v>82815.899999999994</v>
      </c>
      <c r="X1509" s="1">
        <v>603.42999999999995</v>
      </c>
      <c r="Y1509" s="1">
        <v>2352</v>
      </c>
      <c r="Z1509" s="1">
        <v>606364.19999999995</v>
      </c>
      <c r="AA1509" s="1">
        <v>33.729999999999997</v>
      </c>
      <c r="AB1509" s="1">
        <v>8000</v>
      </c>
    </row>
    <row r="1510" spans="1:28" x14ac:dyDescent="0.4">
      <c r="A1510" s="1" t="s">
        <v>475</v>
      </c>
      <c r="B1510" s="1">
        <v>8000</v>
      </c>
      <c r="C1510" s="1">
        <v>0.2</v>
      </c>
      <c r="D1510" s="1">
        <v>0.5</v>
      </c>
      <c r="E1510" s="1">
        <v>2000</v>
      </c>
      <c r="F1510" s="1">
        <v>2</v>
      </c>
      <c r="G1510" s="1">
        <v>4</v>
      </c>
      <c r="H1510" s="1" t="s">
        <v>592</v>
      </c>
      <c r="I1510" s="1">
        <v>904841.1</v>
      </c>
      <c r="J1510" s="1">
        <v>328939.59999999998</v>
      </c>
      <c r="K1510" s="1">
        <v>575901.5</v>
      </c>
      <c r="L1510" s="1">
        <v>2400</v>
      </c>
      <c r="M1510" s="1">
        <v>602.32000000000005</v>
      </c>
      <c r="N1510" s="1">
        <v>199570.5</v>
      </c>
      <c r="O1510" s="1">
        <v>324046.8</v>
      </c>
      <c r="P1510" s="1">
        <v>523617.3</v>
      </c>
      <c r="Q1510" s="1">
        <v>64444.9</v>
      </c>
      <c r="R1510" s="1">
        <v>16374.8</v>
      </c>
      <c r="S1510" s="1">
        <v>80819.7</v>
      </c>
      <c r="T1510" s="1">
        <v>33.200000000000003</v>
      </c>
      <c r="U1510" s="1">
        <v>0.59</v>
      </c>
      <c r="V1510" s="1">
        <v>16291.3</v>
      </c>
      <c r="W1510" s="1">
        <v>80736.2</v>
      </c>
      <c r="X1510" s="1">
        <v>602.91</v>
      </c>
      <c r="Y1510" s="1">
        <v>2398</v>
      </c>
      <c r="Z1510" s="1">
        <v>604353.5</v>
      </c>
      <c r="AA1510" s="1">
        <v>33.21</v>
      </c>
      <c r="AB1510" s="1">
        <v>8000</v>
      </c>
    </row>
    <row r="1511" spans="1:28" x14ac:dyDescent="0.4">
      <c r="A1511" s="1" t="s">
        <v>476</v>
      </c>
      <c r="B1511" s="1">
        <v>8000</v>
      </c>
      <c r="C1511" s="1">
        <v>0.2</v>
      </c>
      <c r="D1511" s="1">
        <v>0.5</v>
      </c>
      <c r="E1511" s="1">
        <v>2000</v>
      </c>
      <c r="F1511" s="1">
        <v>2</v>
      </c>
      <c r="G1511" s="1">
        <v>5</v>
      </c>
      <c r="H1511" s="1" t="s">
        <v>592</v>
      </c>
      <c r="I1511" s="1">
        <v>914600.1</v>
      </c>
      <c r="J1511" s="1">
        <v>350446.2</v>
      </c>
      <c r="K1511" s="1">
        <v>564153.9</v>
      </c>
      <c r="L1511" s="1">
        <v>2400</v>
      </c>
      <c r="M1511" s="1">
        <v>602.65</v>
      </c>
      <c r="N1511" s="1">
        <v>211359.3</v>
      </c>
      <c r="O1511" s="1">
        <v>315398.5</v>
      </c>
      <c r="P1511" s="1">
        <v>526757.80000000005</v>
      </c>
      <c r="Q1511" s="1">
        <v>64649.1</v>
      </c>
      <c r="R1511" s="1">
        <v>16803.8</v>
      </c>
      <c r="S1511" s="1">
        <v>81452.899999999994</v>
      </c>
      <c r="T1511" s="1">
        <v>33.5</v>
      </c>
      <c r="U1511" s="1">
        <v>0.71</v>
      </c>
      <c r="V1511" s="1">
        <v>16574.099999999999</v>
      </c>
      <c r="W1511" s="1">
        <v>81223.199999999997</v>
      </c>
      <c r="X1511" s="1">
        <v>603.36</v>
      </c>
      <c r="Y1511" s="1">
        <v>2398</v>
      </c>
      <c r="Z1511" s="1">
        <v>607981</v>
      </c>
      <c r="AA1511" s="1">
        <v>33.520000000000003</v>
      </c>
      <c r="AB1511" s="1">
        <v>8000</v>
      </c>
    </row>
    <row r="1512" spans="1:28" x14ac:dyDescent="0.4">
      <c r="A1512" s="1" t="s">
        <v>477</v>
      </c>
      <c r="B1512" s="1">
        <v>8000</v>
      </c>
      <c r="C1512" s="1">
        <v>0.2</v>
      </c>
      <c r="D1512" s="1">
        <v>0.5</v>
      </c>
      <c r="E1512" s="1">
        <v>2000</v>
      </c>
      <c r="F1512" s="1">
        <v>3</v>
      </c>
      <c r="G1512" s="1">
        <v>1</v>
      </c>
      <c r="H1512" s="1" t="s">
        <v>592</v>
      </c>
      <c r="I1512" s="1">
        <v>1177757.2</v>
      </c>
      <c r="J1512" s="1">
        <v>449352.6</v>
      </c>
      <c r="K1512" s="1">
        <v>728404.6</v>
      </c>
      <c r="L1512" s="1">
        <v>2400</v>
      </c>
      <c r="M1512" s="1">
        <v>600.20000000000005</v>
      </c>
      <c r="N1512" s="1">
        <v>271970</v>
      </c>
      <c r="O1512" s="1">
        <v>434956.5</v>
      </c>
      <c r="P1512" s="1">
        <v>706926.5</v>
      </c>
      <c r="Q1512" s="1">
        <v>64936.7</v>
      </c>
      <c r="R1512" s="1">
        <v>18347.7</v>
      </c>
      <c r="S1512" s="1">
        <v>83284.399999999994</v>
      </c>
      <c r="T1512" s="1">
        <v>32.909999999999997</v>
      </c>
      <c r="U1512" s="1">
        <v>0.85</v>
      </c>
      <c r="V1512" s="1">
        <v>18334.900000000001</v>
      </c>
      <c r="W1512" s="1">
        <v>83271.600000000006</v>
      </c>
      <c r="X1512" s="1">
        <v>601.04999999999995</v>
      </c>
      <c r="Y1512" s="1">
        <v>2273</v>
      </c>
      <c r="Z1512" s="1">
        <v>790198.1</v>
      </c>
      <c r="AA1512" s="1">
        <v>32.909999999999997</v>
      </c>
      <c r="AB1512" s="1">
        <v>8000</v>
      </c>
    </row>
    <row r="1513" spans="1:28" x14ac:dyDescent="0.4">
      <c r="A1513" s="1" t="s">
        <v>478</v>
      </c>
      <c r="B1513" s="1">
        <v>8000</v>
      </c>
      <c r="C1513" s="1">
        <v>0.2</v>
      </c>
      <c r="D1513" s="1">
        <v>0.5</v>
      </c>
      <c r="E1513" s="1">
        <v>2000</v>
      </c>
      <c r="F1513" s="1">
        <v>3</v>
      </c>
      <c r="G1513" s="1">
        <v>2</v>
      </c>
      <c r="H1513" s="1" t="s">
        <v>592</v>
      </c>
      <c r="I1513" s="1">
        <v>1164215.3999999999</v>
      </c>
      <c r="J1513" s="1">
        <v>455176.9</v>
      </c>
      <c r="K1513" s="1">
        <v>709038.5</v>
      </c>
      <c r="L1513" s="1">
        <v>2400</v>
      </c>
      <c r="M1513" s="1">
        <v>600.32000000000005</v>
      </c>
      <c r="N1513" s="1">
        <v>277106</v>
      </c>
      <c r="O1513" s="1">
        <v>423512.6</v>
      </c>
      <c r="P1513" s="1">
        <v>700618.6</v>
      </c>
      <c r="Q1513" s="1">
        <v>64011.9</v>
      </c>
      <c r="R1513" s="1">
        <v>18214.099999999999</v>
      </c>
      <c r="S1513" s="1">
        <v>82226</v>
      </c>
      <c r="T1513" s="1">
        <v>32.76</v>
      </c>
      <c r="U1513" s="1">
        <v>0.69</v>
      </c>
      <c r="V1513" s="1">
        <v>18213.900000000001</v>
      </c>
      <c r="W1513" s="1">
        <v>82225.8</v>
      </c>
      <c r="X1513" s="1">
        <v>601.01</v>
      </c>
      <c r="Y1513" s="1">
        <v>2181</v>
      </c>
      <c r="Z1513" s="1">
        <v>782844.4</v>
      </c>
      <c r="AA1513" s="1">
        <v>32.76</v>
      </c>
      <c r="AB1513" s="1">
        <v>8000</v>
      </c>
    </row>
    <row r="1514" spans="1:28" x14ac:dyDescent="0.4">
      <c r="A1514" s="1" t="s">
        <v>479</v>
      </c>
      <c r="B1514" s="1">
        <v>8000</v>
      </c>
      <c r="C1514" s="1">
        <v>0.2</v>
      </c>
      <c r="D1514" s="1">
        <v>0.5</v>
      </c>
      <c r="E1514" s="1">
        <v>2000</v>
      </c>
      <c r="F1514" s="1">
        <v>3</v>
      </c>
      <c r="G1514" s="1">
        <v>3</v>
      </c>
      <c r="H1514" s="1" t="s">
        <v>592</v>
      </c>
      <c r="I1514" s="1">
        <v>1186733.8999999999</v>
      </c>
      <c r="J1514" s="1">
        <v>435508.8</v>
      </c>
      <c r="K1514" s="1">
        <v>751225.1</v>
      </c>
      <c r="L1514" s="1">
        <v>2400</v>
      </c>
      <c r="M1514" s="1">
        <v>600.02</v>
      </c>
      <c r="N1514" s="1">
        <v>266188.59999999998</v>
      </c>
      <c r="O1514" s="1">
        <v>443423.7</v>
      </c>
      <c r="P1514" s="1">
        <v>709612.3</v>
      </c>
      <c r="Q1514" s="1">
        <v>64005.5</v>
      </c>
      <c r="R1514" s="1">
        <v>17601.900000000001</v>
      </c>
      <c r="S1514" s="1">
        <v>81607.399999999994</v>
      </c>
      <c r="T1514" s="1">
        <v>33.33</v>
      </c>
      <c r="U1514" s="1">
        <v>0.76</v>
      </c>
      <c r="V1514" s="1">
        <v>17596.8</v>
      </c>
      <c r="W1514" s="1">
        <v>81602.3</v>
      </c>
      <c r="X1514" s="1">
        <v>600.78</v>
      </c>
      <c r="Y1514" s="1">
        <v>2168</v>
      </c>
      <c r="Z1514" s="1">
        <v>791214.6</v>
      </c>
      <c r="AA1514" s="1">
        <v>33.33</v>
      </c>
      <c r="AB1514" s="1">
        <v>8000</v>
      </c>
    </row>
    <row r="1515" spans="1:28" x14ac:dyDescent="0.4">
      <c r="A1515" s="1" t="s">
        <v>480</v>
      </c>
      <c r="B1515" s="1">
        <v>8000</v>
      </c>
      <c r="C1515" s="1">
        <v>0.2</v>
      </c>
      <c r="D1515" s="1">
        <v>0.5</v>
      </c>
      <c r="E1515" s="1">
        <v>2000</v>
      </c>
      <c r="F1515" s="1">
        <v>3</v>
      </c>
      <c r="G1515" s="1">
        <v>4</v>
      </c>
      <c r="H1515" s="1" t="s">
        <v>592</v>
      </c>
      <c r="I1515" s="1">
        <v>1163514.6000000001</v>
      </c>
      <c r="J1515" s="1">
        <v>442546.5</v>
      </c>
      <c r="K1515" s="1">
        <v>720968.1</v>
      </c>
      <c r="L1515" s="1">
        <v>2400</v>
      </c>
      <c r="M1515" s="1">
        <v>601.37</v>
      </c>
      <c r="N1515" s="1">
        <v>267770.59999999998</v>
      </c>
      <c r="O1515" s="1">
        <v>426275.5</v>
      </c>
      <c r="P1515" s="1">
        <v>694046.1</v>
      </c>
      <c r="Q1515" s="1">
        <v>65100.9</v>
      </c>
      <c r="R1515" s="1">
        <v>17656.8</v>
      </c>
      <c r="S1515" s="1">
        <v>82757.7</v>
      </c>
      <c r="T1515" s="1">
        <v>33.24</v>
      </c>
      <c r="U1515" s="1">
        <v>0.92</v>
      </c>
      <c r="V1515" s="1">
        <v>17650.599999999999</v>
      </c>
      <c r="W1515" s="1">
        <v>82751.5</v>
      </c>
      <c r="X1515" s="1">
        <v>602.28</v>
      </c>
      <c r="Y1515" s="1">
        <v>2264</v>
      </c>
      <c r="Z1515" s="1">
        <v>776797.6</v>
      </c>
      <c r="AA1515" s="1">
        <v>33.24</v>
      </c>
      <c r="AB1515" s="1">
        <v>8000</v>
      </c>
    </row>
    <row r="1516" spans="1:28" x14ac:dyDescent="0.4">
      <c r="A1516" s="1" t="s">
        <v>481</v>
      </c>
      <c r="B1516" s="1">
        <v>8000</v>
      </c>
      <c r="C1516" s="1">
        <v>0.2</v>
      </c>
      <c r="D1516" s="1">
        <v>0.5</v>
      </c>
      <c r="E1516" s="1">
        <v>2000</v>
      </c>
      <c r="F1516" s="1">
        <v>3</v>
      </c>
      <c r="G1516" s="1">
        <v>5</v>
      </c>
      <c r="H1516" s="1" t="s">
        <v>592</v>
      </c>
      <c r="I1516" s="1">
        <v>1171444.5</v>
      </c>
      <c r="J1516" s="1">
        <v>445181.7</v>
      </c>
      <c r="K1516" s="1">
        <v>726262.8</v>
      </c>
      <c r="L1516" s="1">
        <v>2400</v>
      </c>
      <c r="M1516" s="1">
        <v>602.57000000000005</v>
      </c>
      <c r="N1516" s="1">
        <v>266352.40000000002</v>
      </c>
      <c r="O1516" s="1">
        <v>429376.1</v>
      </c>
      <c r="P1516" s="1">
        <v>695728.5</v>
      </c>
      <c r="Q1516" s="1">
        <v>65639</v>
      </c>
      <c r="R1516" s="1">
        <v>18047</v>
      </c>
      <c r="S1516" s="1">
        <v>83686</v>
      </c>
      <c r="T1516" s="1">
        <v>33.47</v>
      </c>
      <c r="U1516" s="1">
        <v>0.66</v>
      </c>
      <c r="V1516" s="1">
        <v>18047</v>
      </c>
      <c r="W1516" s="1">
        <v>83686</v>
      </c>
      <c r="X1516" s="1">
        <v>603.23</v>
      </c>
      <c r="Y1516" s="1">
        <v>2279</v>
      </c>
      <c r="Z1516" s="1">
        <v>779414.5</v>
      </c>
      <c r="AA1516" s="1">
        <v>33.47</v>
      </c>
      <c r="AB1516" s="1">
        <v>8000</v>
      </c>
    </row>
    <row r="1517" spans="1:28" x14ac:dyDescent="0.4">
      <c r="A1517" s="1" t="s">
        <v>482</v>
      </c>
      <c r="B1517" s="1">
        <v>8000</v>
      </c>
      <c r="C1517" s="1">
        <v>0.2</v>
      </c>
      <c r="D1517" s="1">
        <v>0.5</v>
      </c>
      <c r="E1517" s="1">
        <v>500</v>
      </c>
      <c r="F1517" s="1">
        <v>1</v>
      </c>
      <c r="G1517" s="1">
        <v>1</v>
      </c>
      <c r="H1517" s="1" t="s">
        <v>592</v>
      </c>
      <c r="I1517" s="1">
        <v>147087</v>
      </c>
      <c r="J1517" s="1">
        <v>56509.5</v>
      </c>
      <c r="K1517" s="1">
        <v>90577.5</v>
      </c>
      <c r="L1517" s="1">
        <v>2400</v>
      </c>
      <c r="M1517" s="1">
        <v>601.92999999999995</v>
      </c>
      <c r="N1517" s="1">
        <v>33006.5</v>
      </c>
      <c r="O1517" s="1">
        <v>50685.599999999999</v>
      </c>
      <c r="P1517" s="1">
        <v>83692.100000000006</v>
      </c>
      <c r="Q1517" s="1">
        <v>22685.599999999999</v>
      </c>
      <c r="R1517" s="1">
        <v>2968.1</v>
      </c>
      <c r="S1517" s="1">
        <v>25653.7</v>
      </c>
      <c r="T1517" s="1">
        <v>25.66</v>
      </c>
      <c r="U1517" s="1">
        <v>0.36</v>
      </c>
      <c r="V1517" s="1">
        <v>2962.2</v>
      </c>
      <c r="W1517" s="1">
        <v>25647.8</v>
      </c>
      <c r="X1517" s="1">
        <v>602.29</v>
      </c>
      <c r="Y1517" s="1">
        <v>1442</v>
      </c>
      <c r="Z1517" s="1">
        <v>109339.9</v>
      </c>
      <c r="AA1517" s="1">
        <v>25.66</v>
      </c>
      <c r="AB1517" s="1">
        <v>8000</v>
      </c>
    </row>
    <row r="1518" spans="1:28" x14ac:dyDescent="0.4">
      <c r="A1518" s="1" t="s">
        <v>483</v>
      </c>
      <c r="B1518" s="1">
        <v>8000</v>
      </c>
      <c r="C1518" s="1">
        <v>0.2</v>
      </c>
      <c r="D1518" s="1">
        <v>0.5</v>
      </c>
      <c r="E1518" s="1">
        <v>500</v>
      </c>
      <c r="F1518" s="1">
        <v>1</v>
      </c>
      <c r="G1518" s="1">
        <v>2</v>
      </c>
      <c r="H1518" s="1" t="s">
        <v>592</v>
      </c>
      <c r="I1518" s="1">
        <v>140233.70000000001</v>
      </c>
      <c r="J1518" s="1">
        <v>55542.9</v>
      </c>
      <c r="K1518" s="1">
        <v>84690.8</v>
      </c>
      <c r="L1518" s="1">
        <v>2400</v>
      </c>
      <c r="M1518" s="1">
        <v>601.77</v>
      </c>
      <c r="N1518" s="1">
        <v>33768.800000000003</v>
      </c>
      <c r="O1518" s="1">
        <v>48657.1</v>
      </c>
      <c r="P1518" s="1">
        <v>82425.899999999994</v>
      </c>
      <c r="Q1518" s="1">
        <v>22239</v>
      </c>
      <c r="R1518" s="1">
        <v>3336.3</v>
      </c>
      <c r="S1518" s="1">
        <v>25575.3</v>
      </c>
      <c r="T1518" s="1">
        <v>22.98</v>
      </c>
      <c r="U1518" s="1">
        <v>0.69</v>
      </c>
      <c r="V1518" s="1">
        <v>3311.1</v>
      </c>
      <c r="W1518" s="1">
        <v>25550.1</v>
      </c>
      <c r="X1518" s="1">
        <v>602.46</v>
      </c>
      <c r="Y1518" s="1">
        <v>1444</v>
      </c>
      <c r="Z1518" s="1">
        <v>107976</v>
      </c>
      <c r="AA1518" s="1">
        <v>23</v>
      </c>
      <c r="AB1518" s="1">
        <v>8000</v>
      </c>
    </row>
    <row r="1519" spans="1:28" x14ac:dyDescent="0.4">
      <c r="A1519" s="1" t="s">
        <v>484</v>
      </c>
      <c r="B1519" s="1">
        <v>8000</v>
      </c>
      <c r="C1519" s="1">
        <v>0.2</v>
      </c>
      <c r="D1519" s="1">
        <v>0.5</v>
      </c>
      <c r="E1519" s="1">
        <v>500</v>
      </c>
      <c r="F1519" s="1">
        <v>1</v>
      </c>
      <c r="G1519" s="1">
        <v>3</v>
      </c>
      <c r="H1519" s="1" t="s">
        <v>592</v>
      </c>
      <c r="I1519" s="1">
        <v>140525.6</v>
      </c>
      <c r="J1519" s="1">
        <v>54367.5</v>
      </c>
      <c r="K1519" s="1">
        <v>86158.1</v>
      </c>
      <c r="L1519" s="1">
        <v>2400</v>
      </c>
      <c r="M1519" s="1">
        <v>601.04999999999995</v>
      </c>
      <c r="N1519" s="1">
        <v>32244.3</v>
      </c>
      <c r="O1519" s="1">
        <v>48817.599999999999</v>
      </c>
      <c r="P1519" s="1">
        <v>81061.899999999994</v>
      </c>
      <c r="Q1519" s="1">
        <v>22144.400000000001</v>
      </c>
      <c r="R1519" s="1">
        <v>2964.3</v>
      </c>
      <c r="S1519" s="1">
        <v>25108.7</v>
      </c>
      <c r="T1519" s="1">
        <v>24.45</v>
      </c>
      <c r="U1519" s="1">
        <v>0.54</v>
      </c>
      <c r="V1519" s="1">
        <v>2939.7</v>
      </c>
      <c r="W1519" s="1">
        <v>25084.1</v>
      </c>
      <c r="X1519" s="1">
        <v>601.59</v>
      </c>
      <c r="Y1519" s="1">
        <v>1433</v>
      </c>
      <c r="Z1519" s="1">
        <v>106146</v>
      </c>
      <c r="AA1519" s="1">
        <v>24.47</v>
      </c>
      <c r="AB1519" s="1">
        <v>8000</v>
      </c>
    </row>
    <row r="1520" spans="1:28" x14ac:dyDescent="0.4">
      <c r="A1520" s="1" t="s">
        <v>485</v>
      </c>
      <c r="B1520" s="1">
        <v>8000</v>
      </c>
      <c r="C1520" s="1">
        <v>0.2</v>
      </c>
      <c r="D1520" s="1">
        <v>0.5</v>
      </c>
      <c r="E1520" s="1">
        <v>500</v>
      </c>
      <c r="F1520" s="1">
        <v>1</v>
      </c>
      <c r="G1520" s="1">
        <v>4</v>
      </c>
      <c r="H1520" s="1" t="s">
        <v>592</v>
      </c>
      <c r="I1520" s="1">
        <v>151849.20000000001</v>
      </c>
      <c r="J1520" s="1">
        <v>56962.9</v>
      </c>
      <c r="K1520" s="1">
        <v>94886.3</v>
      </c>
      <c r="L1520" s="1">
        <v>2400</v>
      </c>
      <c r="M1520" s="1">
        <v>600.02</v>
      </c>
      <c r="N1520" s="1">
        <v>34327.599999999999</v>
      </c>
      <c r="O1520" s="1">
        <v>52238.7</v>
      </c>
      <c r="P1520" s="1">
        <v>86566.3</v>
      </c>
      <c r="Q1520" s="1">
        <v>22577.4</v>
      </c>
      <c r="R1520" s="1">
        <v>3421</v>
      </c>
      <c r="S1520" s="1">
        <v>25998.400000000001</v>
      </c>
      <c r="T1520" s="1">
        <v>25.87</v>
      </c>
      <c r="U1520" s="1">
        <v>0.69</v>
      </c>
      <c r="V1520" s="1">
        <v>3409.1</v>
      </c>
      <c r="W1520" s="1">
        <v>25986.5</v>
      </c>
      <c r="X1520" s="1">
        <v>600.70000000000005</v>
      </c>
      <c r="Y1520" s="1">
        <v>1548</v>
      </c>
      <c r="Z1520" s="1">
        <v>112552.8</v>
      </c>
      <c r="AA1520" s="1">
        <v>25.88</v>
      </c>
      <c r="AB1520" s="1">
        <v>8000</v>
      </c>
    </row>
    <row r="1521" spans="1:28" x14ac:dyDescent="0.4">
      <c r="A1521" s="1" t="s">
        <v>486</v>
      </c>
      <c r="B1521" s="1">
        <v>8000</v>
      </c>
      <c r="C1521" s="1">
        <v>0.2</v>
      </c>
      <c r="D1521" s="1">
        <v>0.5</v>
      </c>
      <c r="E1521" s="1">
        <v>500</v>
      </c>
      <c r="F1521" s="1">
        <v>1</v>
      </c>
      <c r="G1521" s="1">
        <v>5</v>
      </c>
      <c r="H1521" s="1" t="s">
        <v>592</v>
      </c>
      <c r="I1521" s="1">
        <v>148628.79999999999</v>
      </c>
      <c r="J1521" s="1">
        <v>57255.199999999997</v>
      </c>
      <c r="K1521" s="1">
        <v>91373.6</v>
      </c>
      <c r="L1521" s="1">
        <v>2400</v>
      </c>
      <c r="M1521" s="1">
        <v>602.13</v>
      </c>
      <c r="N1521" s="1">
        <v>32939.1</v>
      </c>
      <c r="O1521" s="1">
        <v>50008.4</v>
      </c>
      <c r="P1521" s="1">
        <v>82947.5</v>
      </c>
      <c r="Q1521" s="1">
        <v>24135.1</v>
      </c>
      <c r="R1521" s="1">
        <v>3552.3</v>
      </c>
      <c r="S1521" s="1">
        <v>27687.4</v>
      </c>
      <c r="T1521" s="1">
        <v>25.56</v>
      </c>
      <c r="U1521" s="1">
        <v>0.64</v>
      </c>
      <c r="V1521" s="1">
        <v>3548.7</v>
      </c>
      <c r="W1521" s="1">
        <v>27683.8</v>
      </c>
      <c r="X1521" s="1">
        <v>602.78</v>
      </c>
      <c r="Y1521" s="1">
        <v>1555</v>
      </c>
      <c r="Z1521" s="1">
        <v>110631.3</v>
      </c>
      <c r="AA1521" s="1">
        <v>25.57</v>
      </c>
      <c r="AB1521" s="1">
        <v>8000</v>
      </c>
    </row>
    <row r="1522" spans="1:28" x14ac:dyDescent="0.4">
      <c r="A1522" s="1" t="s">
        <v>487</v>
      </c>
      <c r="B1522" s="1">
        <v>8000</v>
      </c>
      <c r="C1522" s="1">
        <v>0.2</v>
      </c>
      <c r="D1522" s="1">
        <v>0.5</v>
      </c>
      <c r="E1522" s="1">
        <v>500</v>
      </c>
      <c r="F1522" s="1">
        <v>2</v>
      </c>
      <c r="G1522" s="1">
        <v>1</v>
      </c>
      <c r="H1522" s="1" t="s">
        <v>592</v>
      </c>
      <c r="I1522" s="1">
        <v>229302.1</v>
      </c>
      <c r="J1522" s="1">
        <v>94901.2</v>
      </c>
      <c r="K1522" s="1">
        <v>134400.9</v>
      </c>
      <c r="L1522" s="1">
        <v>2400</v>
      </c>
      <c r="M1522" s="1">
        <v>603.03</v>
      </c>
      <c r="N1522" s="1">
        <v>52245.7</v>
      </c>
      <c r="O1522" s="1">
        <v>69845.899999999994</v>
      </c>
      <c r="P1522" s="1">
        <v>122091.6</v>
      </c>
      <c r="Q1522" s="1">
        <v>29341.3</v>
      </c>
      <c r="R1522" s="1">
        <v>4720.2</v>
      </c>
      <c r="S1522" s="1">
        <v>34061.5</v>
      </c>
      <c r="T1522" s="1">
        <v>31.9</v>
      </c>
      <c r="U1522" s="1">
        <v>1.33</v>
      </c>
      <c r="V1522" s="1">
        <v>4667.3999999999996</v>
      </c>
      <c r="W1522" s="1">
        <v>34008.699999999997</v>
      </c>
      <c r="X1522" s="1">
        <v>604.36</v>
      </c>
      <c r="Y1522" s="1">
        <v>2252</v>
      </c>
      <c r="Z1522" s="1">
        <v>156100.29999999999</v>
      </c>
      <c r="AA1522" s="1">
        <v>31.92</v>
      </c>
      <c r="AB1522" s="1">
        <v>8000</v>
      </c>
    </row>
    <row r="1523" spans="1:28" x14ac:dyDescent="0.4">
      <c r="A1523" s="1" t="s">
        <v>488</v>
      </c>
      <c r="B1523" s="1">
        <v>8000</v>
      </c>
      <c r="C1523" s="1">
        <v>0.2</v>
      </c>
      <c r="D1523" s="1">
        <v>0.5</v>
      </c>
      <c r="E1523" s="1">
        <v>500</v>
      </c>
      <c r="F1523" s="1">
        <v>2</v>
      </c>
      <c r="G1523" s="1">
        <v>2</v>
      </c>
      <c r="H1523" s="1" t="s">
        <v>592</v>
      </c>
      <c r="I1523" s="1">
        <v>226447.5</v>
      </c>
      <c r="J1523" s="1">
        <v>92815.2</v>
      </c>
      <c r="K1523" s="1">
        <v>133632.29999999999</v>
      </c>
      <c r="L1523" s="1">
        <v>2400</v>
      </c>
      <c r="M1523" s="1">
        <v>600</v>
      </c>
      <c r="N1523" s="1">
        <v>50250.2</v>
      </c>
      <c r="O1523" s="1">
        <v>71045.100000000006</v>
      </c>
      <c r="P1523" s="1">
        <v>121295.3</v>
      </c>
      <c r="Q1523" s="1">
        <v>29341.8</v>
      </c>
      <c r="R1523" s="1">
        <v>4778.3999999999996</v>
      </c>
      <c r="S1523" s="1">
        <v>34120.199999999997</v>
      </c>
      <c r="T1523" s="1">
        <v>31.37</v>
      </c>
      <c r="U1523" s="1">
        <v>1.26</v>
      </c>
      <c r="V1523" s="1">
        <v>4729.8</v>
      </c>
      <c r="W1523" s="1">
        <v>34071.599999999999</v>
      </c>
      <c r="X1523" s="1">
        <v>601.26</v>
      </c>
      <c r="Y1523" s="1">
        <v>2230</v>
      </c>
      <c r="Z1523" s="1">
        <v>155366.9</v>
      </c>
      <c r="AA1523" s="1">
        <v>31.39</v>
      </c>
      <c r="AB1523" s="1">
        <v>8000</v>
      </c>
    </row>
    <row r="1524" spans="1:28" x14ac:dyDescent="0.4">
      <c r="A1524" s="1" t="s">
        <v>489</v>
      </c>
      <c r="B1524" s="1">
        <v>8000</v>
      </c>
      <c r="C1524" s="1">
        <v>0.2</v>
      </c>
      <c r="D1524" s="1">
        <v>0.5</v>
      </c>
      <c r="E1524" s="1">
        <v>500</v>
      </c>
      <c r="F1524" s="1">
        <v>2</v>
      </c>
      <c r="G1524" s="1">
        <v>3</v>
      </c>
      <c r="H1524" s="1" t="s">
        <v>592</v>
      </c>
      <c r="I1524" s="1">
        <v>222263.2</v>
      </c>
      <c r="J1524" s="1">
        <v>93658.5</v>
      </c>
      <c r="K1524" s="1">
        <v>128604.7</v>
      </c>
      <c r="L1524" s="1">
        <v>2400</v>
      </c>
      <c r="M1524" s="1">
        <v>602.41999999999996</v>
      </c>
      <c r="N1524" s="1">
        <v>52966.3</v>
      </c>
      <c r="O1524" s="1">
        <v>71421.100000000006</v>
      </c>
      <c r="P1524" s="1">
        <v>124387.4</v>
      </c>
      <c r="Q1524" s="1">
        <v>27565.3</v>
      </c>
      <c r="R1524" s="1">
        <v>4158.2</v>
      </c>
      <c r="S1524" s="1">
        <v>31723.5</v>
      </c>
      <c r="T1524" s="1">
        <v>29.76</v>
      </c>
      <c r="U1524" s="1">
        <v>1.1399999999999999</v>
      </c>
      <c r="V1524" s="1">
        <v>4108.1000000000004</v>
      </c>
      <c r="W1524" s="1">
        <v>31673.4</v>
      </c>
      <c r="X1524" s="1">
        <v>603.55999999999995</v>
      </c>
      <c r="Y1524" s="1">
        <v>2042</v>
      </c>
      <c r="Z1524" s="1">
        <v>156060.79999999999</v>
      </c>
      <c r="AA1524" s="1">
        <v>29.79</v>
      </c>
      <c r="AB1524" s="1">
        <v>8000</v>
      </c>
    </row>
    <row r="1525" spans="1:28" x14ac:dyDescent="0.4">
      <c r="A1525" s="1" t="s">
        <v>490</v>
      </c>
      <c r="B1525" s="1">
        <v>8000</v>
      </c>
      <c r="C1525" s="1">
        <v>0.2</v>
      </c>
      <c r="D1525" s="1">
        <v>0.5</v>
      </c>
      <c r="E1525" s="1">
        <v>500</v>
      </c>
      <c r="F1525" s="1">
        <v>2</v>
      </c>
      <c r="G1525" s="1">
        <v>4</v>
      </c>
      <c r="H1525" s="1" t="s">
        <v>592</v>
      </c>
      <c r="I1525" s="1">
        <v>229297.3</v>
      </c>
      <c r="J1525" s="1">
        <v>84967.3</v>
      </c>
      <c r="K1525" s="1">
        <v>144330</v>
      </c>
      <c r="L1525" s="1">
        <v>2400</v>
      </c>
      <c r="M1525" s="1">
        <v>602.76</v>
      </c>
      <c r="N1525" s="1">
        <v>48532.9</v>
      </c>
      <c r="O1525" s="1">
        <v>77399.600000000006</v>
      </c>
      <c r="P1525" s="1">
        <v>125932.5</v>
      </c>
      <c r="Q1525" s="1">
        <v>28664.400000000001</v>
      </c>
      <c r="R1525" s="1">
        <v>3970.7</v>
      </c>
      <c r="S1525" s="1">
        <v>32635.1</v>
      </c>
      <c r="T1525" s="1">
        <v>30.85</v>
      </c>
      <c r="U1525" s="1">
        <v>0.93</v>
      </c>
      <c r="V1525" s="1">
        <v>3943.6</v>
      </c>
      <c r="W1525" s="1">
        <v>32608</v>
      </c>
      <c r="X1525" s="1">
        <v>603.69000000000005</v>
      </c>
      <c r="Y1525" s="1">
        <v>2120</v>
      </c>
      <c r="Z1525" s="1">
        <v>158540.5</v>
      </c>
      <c r="AA1525" s="1">
        <v>30.86</v>
      </c>
      <c r="AB1525" s="1">
        <v>8000</v>
      </c>
    </row>
    <row r="1526" spans="1:28" x14ac:dyDescent="0.4">
      <c r="A1526" s="1" t="s">
        <v>491</v>
      </c>
      <c r="B1526" s="1">
        <v>8000</v>
      </c>
      <c r="C1526" s="1">
        <v>0.2</v>
      </c>
      <c r="D1526" s="1">
        <v>0.5</v>
      </c>
      <c r="E1526" s="1">
        <v>500</v>
      </c>
      <c r="F1526" s="1">
        <v>2</v>
      </c>
      <c r="G1526" s="1">
        <v>5</v>
      </c>
      <c r="H1526" s="1" t="s">
        <v>592</v>
      </c>
      <c r="I1526" s="1">
        <v>224542.5</v>
      </c>
      <c r="J1526" s="1">
        <v>82787.3</v>
      </c>
      <c r="K1526" s="1">
        <v>141755.20000000001</v>
      </c>
      <c r="L1526" s="1">
        <v>2400</v>
      </c>
      <c r="M1526" s="1">
        <v>600</v>
      </c>
      <c r="N1526" s="1">
        <v>46875.6</v>
      </c>
      <c r="O1526" s="1">
        <v>76718.399999999994</v>
      </c>
      <c r="P1526" s="1">
        <v>123594</v>
      </c>
      <c r="Q1526" s="1">
        <v>29110.400000000001</v>
      </c>
      <c r="R1526" s="1">
        <v>4488.1000000000004</v>
      </c>
      <c r="S1526" s="1">
        <v>33598.5</v>
      </c>
      <c r="T1526" s="1">
        <v>29.99</v>
      </c>
      <c r="U1526" s="1">
        <v>1.36</v>
      </c>
      <c r="V1526" s="1">
        <v>4454.5</v>
      </c>
      <c r="W1526" s="1">
        <v>33564.9</v>
      </c>
      <c r="X1526" s="1">
        <v>601.36</v>
      </c>
      <c r="Y1526" s="1">
        <v>2210</v>
      </c>
      <c r="Z1526" s="1">
        <v>157158.9</v>
      </c>
      <c r="AA1526" s="1">
        <v>30.01</v>
      </c>
      <c r="AB1526" s="1">
        <v>8000</v>
      </c>
    </row>
    <row r="1527" spans="1:28" x14ac:dyDescent="0.4">
      <c r="A1527" s="1" t="s">
        <v>492</v>
      </c>
      <c r="B1527" s="1">
        <v>8000</v>
      </c>
      <c r="C1527" s="1">
        <v>0.2</v>
      </c>
      <c r="D1527" s="1">
        <v>0.5</v>
      </c>
      <c r="E1527" s="1">
        <v>500</v>
      </c>
      <c r="F1527" s="1">
        <v>3</v>
      </c>
      <c r="G1527" s="1">
        <v>1</v>
      </c>
      <c r="H1527" s="1" t="s">
        <v>592</v>
      </c>
      <c r="I1527" s="1">
        <v>292420.09999999998</v>
      </c>
      <c r="J1527" s="1">
        <v>108941.2</v>
      </c>
      <c r="K1527" s="1">
        <v>183478.9</v>
      </c>
      <c r="L1527" s="1">
        <v>2400</v>
      </c>
      <c r="M1527" s="1">
        <v>603.96</v>
      </c>
      <c r="N1527" s="1">
        <v>60348.3</v>
      </c>
      <c r="O1527" s="1">
        <v>97382.9</v>
      </c>
      <c r="P1527" s="1">
        <v>157731.20000000001</v>
      </c>
      <c r="Q1527" s="1">
        <v>32602</v>
      </c>
      <c r="R1527" s="1">
        <v>5792.8</v>
      </c>
      <c r="S1527" s="1">
        <v>38394.800000000003</v>
      </c>
      <c r="T1527" s="1">
        <v>32.93</v>
      </c>
      <c r="U1527" s="1">
        <v>1.53</v>
      </c>
      <c r="V1527" s="1">
        <v>5710.7</v>
      </c>
      <c r="W1527" s="1">
        <v>38312.699999999997</v>
      </c>
      <c r="X1527" s="1">
        <v>605.49</v>
      </c>
      <c r="Y1527" s="1">
        <v>2396</v>
      </c>
      <c r="Z1527" s="1">
        <v>196043.9</v>
      </c>
      <c r="AA1527" s="1">
        <v>32.96</v>
      </c>
      <c r="AB1527" s="1">
        <v>8000</v>
      </c>
    </row>
    <row r="1528" spans="1:28" x14ac:dyDescent="0.4">
      <c r="A1528" s="1" t="s">
        <v>493</v>
      </c>
      <c r="B1528" s="1">
        <v>8000</v>
      </c>
      <c r="C1528" s="1">
        <v>0.2</v>
      </c>
      <c r="D1528" s="1">
        <v>0.5</v>
      </c>
      <c r="E1528" s="1">
        <v>500</v>
      </c>
      <c r="F1528" s="1">
        <v>3</v>
      </c>
      <c r="G1528" s="1">
        <v>2</v>
      </c>
      <c r="H1528" s="1" t="s">
        <v>592</v>
      </c>
      <c r="I1528" s="1">
        <v>282153.40000000002</v>
      </c>
      <c r="J1528" s="1">
        <v>107647.8</v>
      </c>
      <c r="K1528" s="1">
        <v>174505.60000000001</v>
      </c>
      <c r="L1528" s="1">
        <v>2400</v>
      </c>
      <c r="M1528" s="1">
        <v>603.59</v>
      </c>
      <c r="N1528" s="1">
        <v>60701.2</v>
      </c>
      <c r="O1528" s="1">
        <v>94008.1</v>
      </c>
      <c r="P1528" s="1">
        <v>154709.29999999999</v>
      </c>
      <c r="Q1528" s="1">
        <v>31923.4</v>
      </c>
      <c r="R1528" s="1">
        <v>5204.8</v>
      </c>
      <c r="S1528" s="1">
        <v>37128.199999999997</v>
      </c>
      <c r="T1528" s="1">
        <v>32.01</v>
      </c>
      <c r="U1528" s="1">
        <v>1.31</v>
      </c>
      <c r="V1528" s="1">
        <v>5159.5</v>
      </c>
      <c r="W1528" s="1">
        <v>37082.9</v>
      </c>
      <c r="X1528" s="1">
        <v>604.9</v>
      </c>
      <c r="Y1528" s="1">
        <v>2398</v>
      </c>
      <c r="Z1528" s="1">
        <v>191792.2</v>
      </c>
      <c r="AA1528" s="1">
        <v>32.03</v>
      </c>
      <c r="AB1528" s="1">
        <v>8000</v>
      </c>
    </row>
    <row r="1529" spans="1:28" x14ac:dyDescent="0.4">
      <c r="A1529" s="1" t="s">
        <v>494</v>
      </c>
      <c r="B1529" s="1">
        <v>8000</v>
      </c>
      <c r="C1529" s="1">
        <v>0.2</v>
      </c>
      <c r="D1529" s="1">
        <v>0.5</v>
      </c>
      <c r="E1529" s="1">
        <v>500</v>
      </c>
      <c r="F1529" s="1">
        <v>3</v>
      </c>
      <c r="G1529" s="1">
        <v>3</v>
      </c>
      <c r="H1529" s="1" t="s">
        <v>592</v>
      </c>
      <c r="I1529" s="1">
        <v>286274.09999999998</v>
      </c>
      <c r="J1529" s="1">
        <v>110452.9</v>
      </c>
      <c r="K1529" s="1">
        <v>175821.2</v>
      </c>
      <c r="L1529" s="1">
        <v>2400</v>
      </c>
      <c r="M1529" s="1">
        <v>600.01</v>
      </c>
      <c r="N1529" s="1">
        <v>61185.7</v>
      </c>
      <c r="O1529" s="1">
        <v>94910.1</v>
      </c>
      <c r="P1529" s="1">
        <v>156095.79999999999</v>
      </c>
      <c r="Q1529" s="1">
        <v>31381.9</v>
      </c>
      <c r="R1529" s="1">
        <v>5176.2</v>
      </c>
      <c r="S1529" s="1">
        <v>36558.1</v>
      </c>
      <c r="T1529" s="1">
        <v>32.700000000000003</v>
      </c>
      <c r="U1529" s="1">
        <v>1.3</v>
      </c>
      <c r="V1529" s="1">
        <v>5090.5</v>
      </c>
      <c r="W1529" s="1">
        <v>36472.400000000001</v>
      </c>
      <c r="X1529" s="1">
        <v>601.30999999999995</v>
      </c>
      <c r="Y1529" s="1">
        <v>2389</v>
      </c>
      <c r="Z1529" s="1">
        <v>192568.2</v>
      </c>
      <c r="AA1529" s="1">
        <v>32.729999999999997</v>
      </c>
      <c r="AB1529" s="1">
        <v>8000</v>
      </c>
    </row>
    <row r="1530" spans="1:28" x14ac:dyDescent="0.4">
      <c r="A1530" s="1" t="s">
        <v>495</v>
      </c>
      <c r="B1530" s="1">
        <v>8000</v>
      </c>
      <c r="C1530" s="1">
        <v>0.2</v>
      </c>
      <c r="D1530" s="1">
        <v>0.5</v>
      </c>
      <c r="E1530" s="1">
        <v>500</v>
      </c>
      <c r="F1530" s="1">
        <v>3</v>
      </c>
      <c r="G1530" s="1">
        <v>4</v>
      </c>
      <c r="H1530" s="1" t="s">
        <v>592</v>
      </c>
      <c r="I1530" s="1">
        <v>295932.79999999999</v>
      </c>
      <c r="J1530" s="1">
        <v>120245.7</v>
      </c>
      <c r="K1530" s="1">
        <v>175687.1</v>
      </c>
      <c r="L1530" s="1">
        <v>2400</v>
      </c>
      <c r="M1530" s="1">
        <v>602.69000000000005</v>
      </c>
      <c r="N1530" s="1">
        <v>65961.8</v>
      </c>
      <c r="O1530" s="1">
        <v>94600.2</v>
      </c>
      <c r="P1530" s="1">
        <v>160562</v>
      </c>
      <c r="Q1530" s="1">
        <v>32887.800000000003</v>
      </c>
      <c r="R1530" s="1">
        <v>5598.6</v>
      </c>
      <c r="S1530" s="1">
        <v>38486.400000000001</v>
      </c>
      <c r="T1530" s="1">
        <v>32.74</v>
      </c>
      <c r="U1530" s="1">
        <v>1.32</v>
      </c>
      <c r="V1530" s="1">
        <v>5568.4</v>
      </c>
      <c r="W1530" s="1">
        <v>38456.199999999997</v>
      </c>
      <c r="X1530" s="1">
        <v>604.01</v>
      </c>
      <c r="Y1530" s="1">
        <v>2400</v>
      </c>
      <c r="Z1530" s="1">
        <v>199018.2</v>
      </c>
      <c r="AA1530" s="1">
        <v>32.75</v>
      </c>
      <c r="AB1530" s="1">
        <v>8000</v>
      </c>
    </row>
    <row r="1531" spans="1:28" x14ac:dyDescent="0.4">
      <c r="A1531" s="1" t="s">
        <v>496</v>
      </c>
      <c r="B1531" s="1">
        <v>8000</v>
      </c>
      <c r="C1531" s="1">
        <v>0.2</v>
      </c>
      <c r="D1531" s="1">
        <v>0.5</v>
      </c>
      <c r="E1531" s="1">
        <v>500</v>
      </c>
      <c r="F1531" s="1">
        <v>3</v>
      </c>
      <c r="G1531" s="1">
        <v>5</v>
      </c>
      <c r="H1531" s="1" t="s">
        <v>592</v>
      </c>
      <c r="I1531" s="1">
        <v>298989.2</v>
      </c>
      <c r="J1531" s="1">
        <v>113792.5</v>
      </c>
      <c r="K1531" s="1">
        <v>185196.7</v>
      </c>
      <c r="L1531" s="1">
        <v>2400</v>
      </c>
      <c r="M1531" s="1">
        <v>603.77</v>
      </c>
      <c r="N1531" s="1">
        <v>62861.599999999999</v>
      </c>
      <c r="O1531" s="1">
        <v>102420</v>
      </c>
      <c r="P1531" s="1">
        <v>165281.60000000001</v>
      </c>
      <c r="Q1531" s="1">
        <v>31764</v>
      </c>
      <c r="R1531" s="1">
        <v>5498.2</v>
      </c>
      <c r="S1531" s="1">
        <v>37262.199999999997</v>
      </c>
      <c r="T1531" s="1">
        <v>32.26</v>
      </c>
      <c r="U1531" s="1">
        <v>1.1100000000000001</v>
      </c>
      <c r="V1531" s="1">
        <v>5468.1</v>
      </c>
      <c r="W1531" s="1">
        <v>37232.1</v>
      </c>
      <c r="X1531" s="1">
        <v>604.88</v>
      </c>
      <c r="Y1531" s="1">
        <v>2396</v>
      </c>
      <c r="Z1531" s="1">
        <v>202513.7</v>
      </c>
      <c r="AA1531" s="1">
        <v>32.270000000000003</v>
      </c>
      <c r="AB1531" s="1">
        <v>8000</v>
      </c>
    </row>
    <row r="1532" spans="1:28" x14ac:dyDescent="0.4">
      <c r="A1532" s="1" t="s">
        <v>120</v>
      </c>
      <c r="B1532" s="1">
        <v>8000</v>
      </c>
      <c r="C1532" s="1">
        <v>0.3</v>
      </c>
      <c r="D1532" s="1">
        <v>0.5</v>
      </c>
      <c r="E1532" s="1">
        <v>1000</v>
      </c>
      <c r="F1532" s="1">
        <v>1</v>
      </c>
      <c r="G1532" s="1">
        <v>1</v>
      </c>
      <c r="H1532" s="1" t="s">
        <v>592</v>
      </c>
      <c r="I1532" s="1">
        <v>286040.5</v>
      </c>
      <c r="J1532" s="1">
        <v>110201.1</v>
      </c>
      <c r="K1532" s="1">
        <v>175839.4</v>
      </c>
      <c r="L1532" s="1">
        <v>2400</v>
      </c>
      <c r="M1532" s="1">
        <v>602.04</v>
      </c>
      <c r="N1532" s="1">
        <v>63679.199999999997</v>
      </c>
      <c r="O1532" s="1">
        <v>93671.3</v>
      </c>
      <c r="P1532" s="1">
        <v>157350.5</v>
      </c>
      <c r="Q1532" s="1">
        <v>40864.300000000003</v>
      </c>
      <c r="R1532" s="1">
        <v>9030.4</v>
      </c>
      <c r="S1532" s="1">
        <v>49894.7</v>
      </c>
      <c r="T1532" s="1">
        <v>27.55</v>
      </c>
      <c r="U1532" s="1">
        <v>2.0099999999999998</v>
      </c>
      <c r="V1532" s="1">
        <v>8970.5</v>
      </c>
      <c r="W1532" s="1">
        <v>49834.8</v>
      </c>
      <c r="X1532" s="1">
        <v>604.04999999999995</v>
      </c>
      <c r="Y1532" s="1">
        <v>2337</v>
      </c>
      <c r="Z1532" s="1">
        <v>207185.3</v>
      </c>
      <c r="AA1532" s="1">
        <v>27.57</v>
      </c>
      <c r="AB1532" s="1">
        <v>8000</v>
      </c>
    </row>
    <row r="1533" spans="1:28" x14ac:dyDescent="0.4">
      <c r="A1533" s="1" t="s">
        <v>121</v>
      </c>
      <c r="B1533" s="1">
        <v>8000</v>
      </c>
      <c r="C1533" s="1">
        <v>0.3</v>
      </c>
      <c r="D1533" s="1">
        <v>0.5</v>
      </c>
      <c r="E1533" s="1">
        <v>1000</v>
      </c>
      <c r="F1533" s="1">
        <v>1</v>
      </c>
      <c r="G1533" s="1">
        <v>2</v>
      </c>
      <c r="H1533" s="1" t="s">
        <v>592</v>
      </c>
      <c r="I1533" s="1">
        <v>292003.40000000002</v>
      </c>
      <c r="J1533" s="1">
        <v>110554.4</v>
      </c>
      <c r="K1533" s="1">
        <v>181449</v>
      </c>
      <c r="L1533" s="1">
        <v>2400</v>
      </c>
      <c r="M1533" s="1">
        <v>603.26</v>
      </c>
      <c r="N1533" s="1">
        <v>61800.9</v>
      </c>
      <c r="O1533" s="1">
        <v>98580.9</v>
      </c>
      <c r="P1533" s="1">
        <v>160381.79999999999</v>
      </c>
      <c r="Q1533" s="1">
        <v>41061.800000000003</v>
      </c>
      <c r="R1533" s="1">
        <v>8702.7999999999993</v>
      </c>
      <c r="S1533" s="1">
        <v>49764.6</v>
      </c>
      <c r="T1533" s="1">
        <v>28.03</v>
      </c>
      <c r="U1533" s="1">
        <v>1.78</v>
      </c>
      <c r="V1533" s="1">
        <v>8650.7000000000007</v>
      </c>
      <c r="W1533" s="1">
        <v>49712.5</v>
      </c>
      <c r="X1533" s="1">
        <v>605.04</v>
      </c>
      <c r="Y1533" s="1">
        <v>2229</v>
      </c>
      <c r="Z1533" s="1">
        <v>210094.3</v>
      </c>
      <c r="AA1533" s="1">
        <v>28.05</v>
      </c>
      <c r="AB1533" s="1">
        <v>8000</v>
      </c>
    </row>
    <row r="1534" spans="1:28" x14ac:dyDescent="0.4">
      <c r="A1534" s="1" t="s">
        <v>122</v>
      </c>
      <c r="B1534" s="1">
        <v>8000</v>
      </c>
      <c r="C1534" s="1">
        <v>0.3</v>
      </c>
      <c r="D1534" s="1">
        <v>0.5</v>
      </c>
      <c r="E1534" s="1">
        <v>1000</v>
      </c>
      <c r="F1534" s="1">
        <v>1</v>
      </c>
      <c r="G1534" s="1">
        <v>3</v>
      </c>
      <c r="H1534" s="1" t="s">
        <v>592</v>
      </c>
      <c r="I1534" s="1">
        <v>292940.79999999999</v>
      </c>
      <c r="J1534" s="1">
        <v>116162.1</v>
      </c>
      <c r="K1534" s="1">
        <v>176778.7</v>
      </c>
      <c r="L1534" s="1">
        <v>2400</v>
      </c>
      <c r="M1534" s="1">
        <v>603.16</v>
      </c>
      <c r="N1534" s="1">
        <v>66555.5</v>
      </c>
      <c r="O1534" s="1">
        <v>93589</v>
      </c>
      <c r="P1534" s="1">
        <v>160144.5</v>
      </c>
      <c r="Q1534" s="1">
        <v>40961.9</v>
      </c>
      <c r="R1534" s="1">
        <v>8638.2000000000007</v>
      </c>
      <c r="S1534" s="1">
        <v>49600.1</v>
      </c>
      <c r="T1534" s="1">
        <v>28.4</v>
      </c>
      <c r="U1534" s="1">
        <v>1.77</v>
      </c>
      <c r="V1534" s="1">
        <v>8613.7999999999993</v>
      </c>
      <c r="W1534" s="1">
        <v>49575.7</v>
      </c>
      <c r="X1534" s="1">
        <v>604.92999999999995</v>
      </c>
      <c r="Y1534" s="1">
        <v>2336</v>
      </c>
      <c r="Z1534" s="1">
        <v>209720.2</v>
      </c>
      <c r="AA1534" s="1">
        <v>28.41</v>
      </c>
      <c r="AB1534" s="1">
        <v>8000</v>
      </c>
    </row>
    <row r="1535" spans="1:28" x14ac:dyDescent="0.4">
      <c r="A1535" s="1" t="s">
        <v>123</v>
      </c>
      <c r="B1535" s="1">
        <v>8000</v>
      </c>
      <c r="C1535" s="1">
        <v>0.3</v>
      </c>
      <c r="D1535" s="1">
        <v>0.5</v>
      </c>
      <c r="E1535" s="1">
        <v>1000</v>
      </c>
      <c r="F1535" s="1">
        <v>1</v>
      </c>
      <c r="G1535" s="1">
        <v>4</v>
      </c>
      <c r="H1535" s="1" t="s">
        <v>592</v>
      </c>
      <c r="I1535" s="1">
        <v>280335.2</v>
      </c>
      <c r="J1535" s="1">
        <v>111676</v>
      </c>
      <c r="K1535" s="1">
        <v>168659.20000000001</v>
      </c>
      <c r="L1535" s="1">
        <v>2400</v>
      </c>
      <c r="M1535" s="1">
        <v>600.72</v>
      </c>
      <c r="N1535" s="1">
        <v>64796</v>
      </c>
      <c r="O1535" s="1">
        <v>91109.9</v>
      </c>
      <c r="P1535" s="1">
        <v>155905.9</v>
      </c>
      <c r="Q1535" s="1">
        <v>40382.699999999997</v>
      </c>
      <c r="R1535" s="1">
        <v>8729.9</v>
      </c>
      <c r="S1535" s="1">
        <v>49112.6</v>
      </c>
      <c r="T1535" s="1">
        <v>26.87</v>
      </c>
      <c r="U1535" s="1">
        <v>1.59</v>
      </c>
      <c r="V1535" s="1">
        <v>8696.9</v>
      </c>
      <c r="W1535" s="1">
        <v>49079.6</v>
      </c>
      <c r="X1535" s="1">
        <v>602.30999999999995</v>
      </c>
      <c r="Y1535" s="1">
        <v>2292</v>
      </c>
      <c r="Z1535" s="1">
        <v>204985.5</v>
      </c>
      <c r="AA1535" s="1">
        <v>26.88</v>
      </c>
      <c r="AB1535" s="1">
        <v>8000</v>
      </c>
    </row>
    <row r="1536" spans="1:28" x14ac:dyDescent="0.4">
      <c r="A1536" s="1" t="s">
        <v>124</v>
      </c>
      <c r="B1536" s="1">
        <v>8000</v>
      </c>
      <c r="C1536" s="1">
        <v>0.3</v>
      </c>
      <c r="D1536" s="1">
        <v>0.5</v>
      </c>
      <c r="E1536" s="1">
        <v>1000</v>
      </c>
      <c r="F1536" s="1">
        <v>1</v>
      </c>
      <c r="G1536" s="1">
        <v>5</v>
      </c>
      <c r="H1536" s="1" t="s">
        <v>592</v>
      </c>
      <c r="I1536" s="1">
        <v>286002.59999999998</v>
      </c>
      <c r="J1536" s="1">
        <v>115303.6</v>
      </c>
      <c r="K1536" s="1">
        <v>170699</v>
      </c>
      <c r="L1536" s="1">
        <v>2400</v>
      </c>
      <c r="M1536" s="1">
        <v>600</v>
      </c>
      <c r="N1536" s="1">
        <v>68203.199999999997</v>
      </c>
      <c r="O1536" s="1">
        <v>91220</v>
      </c>
      <c r="P1536" s="1">
        <v>159423.20000000001</v>
      </c>
      <c r="Q1536" s="1">
        <v>40184.1</v>
      </c>
      <c r="R1536" s="1">
        <v>8506.1</v>
      </c>
      <c r="S1536" s="1">
        <v>48690.2</v>
      </c>
      <c r="T1536" s="1">
        <v>27.23</v>
      </c>
      <c r="U1536" s="1">
        <v>1.7</v>
      </c>
      <c r="V1536" s="1">
        <v>8461.7999999999993</v>
      </c>
      <c r="W1536" s="1">
        <v>48645.9</v>
      </c>
      <c r="X1536" s="1">
        <v>601.71</v>
      </c>
      <c r="Y1536" s="1">
        <v>2343</v>
      </c>
      <c r="Z1536" s="1">
        <v>208069.1</v>
      </c>
      <c r="AA1536" s="1">
        <v>27.25</v>
      </c>
      <c r="AB1536" s="1">
        <v>8000</v>
      </c>
    </row>
    <row r="1537" spans="1:28" x14ac:dyDescent="0.4">
      <c r="A1537" s="1" t="s">
        <v>125</v>
      </c>
      <c r="B1537" s="1">
        <v>8000</v>
      </c>
      <c r="C1537" s="1">
        <v>0.3</v>
      </c>
      <c r="D1537" s="1">
        <v>0.5</v>
      </c>
      <c r="E1537" s="1">
        <v>1000</v>
      </c>
      <c r="F1537" s="1">
        <v>2</v>
      </c>
      <c r="G1537" s="1">
        <v>1</v>
      </c>
      <c r="H1537" s="1" t="s">
        <v>592</v>
      </c>
      <c r="I1537" s="1">
        <v>450971.9</v>
      </c>
      <c r="J1537" s="1">
        <v>169991.9</v>
      </c>
      <c r="K1537" s="1">
        <v>280980</v>
      </c>
      <c r="L1537" s="1">
        <v>2400</v>
      </c>
      <c r="M1537" s="1">
        <v>604.17999999999995</v>
      </c>
      <c r="N1537" s="1">
        <v>95392.8</v>
      </c>
      <c r="O1537" s="1">
        <v>147275.6</v>
      </c>
      <c r="P1537" s="1">
        <v>242668.4</v>
      </c>
      <c r="Q1537" s="1">
        <v>44995.4</v>
      </c>
      <c r="R1537" s="1">
        <v>10951.6</v>
      </c>
      <c r="S1537" s="1">
        <v>55947</v>
      </c>
      <c r="T1537" s="1">
        <v>33.78</v>
      </c>
      <c r="U1537" s="1">
        <v>1.31</v>
      </c>
      <c r="V1537" s="1">
        <v>10917.1</v>
      </c>
      <c r="W1537" s="1">
        <v>55912.5</v>
      </c>
      <c r="X1537" s="1">
        <v>605.49</v>
      </c>
      <c r="Y1537" s="1">
        <v>2387</v>
      </c>
      <c r="Z1537" s="1">
        <v>298580.90000000002</v>
      </c>
      <c r="AA1537" s="1">
        <v>33.79</v>
      </c>
      <c r="AB1537" s="1">
        <v>8000</v>
      </c>
    </row>
    <row r="1538" spans="1:28" x14ac:dyDescent="0.4">
      <c r="A1538" s="1" t="s">
        <v>126</v>
      </c>
      <c r="B1538" s="1">
        <v>8000</v>
      </c>
      <c r="C1538" s="1">
        <v>0.3</v>
      </c>
      <c r="D1538" s="1">
        <v>0.5</v>
      </c>
      <c r="E1538" s="1">
        <v>1000</v>
      </c>
      <c r="F1538" s="1">
        <v>2</v>
      </c>
      <c r="G1538" s="1">
        <v>2</v>
      </c>
      <c r="H1538" s="1" t="s">
        <v>592</v>
      </c>
      <c r="I1538" s="1">
        <v>447112</v>
      </c>
      <c r="J1538" s="1">
        <v>171904</v>
      </c>
      <c r="K1538" s="1">
        <v>275208</v>
      </c>
      <c r="L1538" s="1">
        <v>2400</v>
      </c>
      <c r="M1538" s="1">
        <v>603.79999999999995</v>
      </c>
      <c r="N1538" s="1">
        <v>96730.7</v>
      </c>
      <c r="O1538" s="1">
        <v>143579.79999999999</v>
      </c>
      <c r="P1538" s="1">
        <v>240310.5</v>
      </c>
      <c r="Q1538" s="1">
        <v>44764.800000000003</v>
      </c>
      <c r="R1538" s="1">
        <v>11426.7</v>
      </c>
      <c r="S1538" s="1">
        <v>56191.5</v>
      </c>
      <c r="T1538" s="1">
        <v>33.69</v>
      </c>
      <c r="U1538" s="1">
        <v>1.49</v>
      </c>
      <c r="V1538" s="1">
        <v>11361.6</v>
      </c>
      <c r="W1538" s="1">
        <v>56126.400000000001</v>
      </c>
      <c r="X1538" s="1">
        <v>605.29</v>
      </c>
      <c r="Y1538" s="1">
        <v>2399</v>
      </c>
      <c r="Z1538" s="1">
        <v>296436.90000000002</v>
      </c>
      <c r="AA1538" s="1">
        <v>33.700000000000003</v>
      </c>
      <c r="AB1538" s="1">
        <v>8000</v>
      </c>
    </row>
    <row r="1539" spans="1:28" x14ac:dyDescent="0.4">
      <c r="A1539" s="1" t="s">
        <v>127</v>
      </c>
      <c r="B1539" s="1">
        <v>8000</v>
      </c>
      <c r="C1539" s="1">
        <v>0.3</v>
      </c>
      <c r="D1539" s="1">
        <v>0.5</v>
      </c>
      <c r="E1539" s="1">
        <v>1000</v>
      </c>
      <c r="F1539" s="1">
        <v>2</v>
      </c>
      <c r="G1539" s="1">
        <v>3</v>
      </c>
      <c r="H1539" s="1" t="s">
        <v>592</v>
      </c>
      <c r="I1539" s="1">
        <v>447008.9</v>
      </c>
      <c r="J1539" s="1">
        <v>167665.79999999999</v>
      </c>
      <c r="K1539" s="1">
        <v>279343.09999999998</v>
      </c>
      <c r="L1539" s="1">
        <v>2400</v>
      </c>
      <c r="M1539" s="1">
        <v>603.66999999999996</v>
      </c>
      <c r="N1539" s="1">
        <v>94741</v>
      </c>
      <c r="O1539" s="1">
        <v>145615.9</v>
      </c>
      <c r="P1539" s="1">
        <v>240356.9</v>
      </c>
      <c r="Q1539" s="1">
        <v>45656</v>
      </c>
      <c r="R1539" s="1">
        <v>10772.4</v>
      </c>
      <c r="S1539" s="1">
        <v>56428.4</v>
      </c>
      <c r="T1539" s="1">
        <v>33.61</v>
      </c>
      <c r="U1539" s="1">
        <v>1.49</v>
      </c>
      <c r="V1539" s="1">
        <v>10684.2</v>
      </c>
      <c r="W1539" s="1">
        <v>56340.2</v>
      </c>
      <c r="X1539" s="1">
        <v>605.16</v>
      </c>
      <c r="Y1539" s="1">
        <v>2397</v>
      </c>
      <c r="Z1539" s="1">
        <v>296697.09999999998</v>
      </c>
      <c r="AA1539" s="1">
        <v>33.630000000000003</v>
      </c>
      <c r="AB1539" s="1">
        <v>8000</v>
      </c>
    </row>
    <row r="1540" spans="1:28" x14ac:dyDescent="0.4">
      <c r="A1540" s="1" t="s">
        <v>128</v>
      </c>
      <c r="B1540" s="1">
        <v>8000</v>
      </c>
      <c r="C1540" s="1">
        <v>0.3</v>
      </c>
      <c r="D1540" s="1">
        <v>0.5</v>
      </c>
      <c r="E1540" s="1">
        <v>1000</v>
      </c>
      <c r="F1540" s="1">
        <v>2</v>
      </c>
      <c r="G1540" s="1">
        <v>4</v>
      </c>
      <c r="H1540" s="1" t="s">
        <v>592</v>
      </c>
      <c r="I1540" s="1">
        <v>441673.7</v>
      </c>
      <c r="J1540" s="1">
        <v>172616.6</v>
      </c>
      <c r="K1540" s="1">
        <v>269057.09999999998</v>
      </c>
      <c r="L1540" s="1">
        <v>2400</v>
      </c>
      <c r="M1540" s="1">
        <v>603.04</v>
      </c>
      <c r="N1540" s="1">
        <v>94594</v>
      </c>
      <c r="O1540" s="1">
        <v>136003.29999999999</v>
      </c>
      <c r="P1540" s="1">
        <v>230597.3</v>
      </c>
      <c r="Q1540" s="1">
        <v>46146.8</v>
      </c>
      <c r="R1540" s="1">
        <v>11710.2</v>
      </c>
      <c r="S1540" s="1">
        <v>57857</v>
      </c>
      <c r="T1540" s="1">
        <v>34.69</v>
      </c>
      <c r="U1540" s="1">
        <v>1.47</v>
      </c>
      <c r="V1540" s="1">
        <v>11661</v>
      </c>
      <c r="W1540" s="1">
        <v>57807.8</v>
      </c>
      <c r="X1540" s="1">
        <v>604.51</v>
      </c>
      <c r="Y1540" s="1">
        <v>2390</v>
      </c>
      <c r="Z1540" s="1">
        <v>288405.09999999998</v>
      </c>
      <c r="AA1540" s="1">
        <v>34.700000000000003</v>
      </c>
      <c r="AB1540" s="1">
        <v>8000</v>
      </c>
    </row>
    <row r="1541" spans="1:28" x14ac:dyDescent="0.4">
      <c r="A1541" s="1" t="s">
        <v>129</v>
      </c>
      <c r="B1541" s="1">
        <v>8000</v>
      </c>
      <c r="C1541" s="1">
        <v>0.3</v>
      </c>
      <c r="D1541" s="1">
        <v>0.5</v>
      </c>
      <c r="E1541" s="1">
        <v>1000</v>
      </c>
      <c r="F1541" s="1">
        <v>2</v>
      </c>
      <c r="G1541" s="1">
        <v>5</v>
      </c>
      <c r="H1541" s="1" t="s">
        <v>592</v>
      </c>
      <c r="I1541" s="1">
        <v>441622.8</v>
      </c>
      <c r="J1541" s="1">
        <v>175651.8</v>
      </c>
      <c r="K1541" s="1">
        <v>265971</v>
      </c>
      <c r="L1541" s="1">
        <v>2400</v>
      </c>
      <c r="M1541" s="1">
        <v>603.34</v>
      </c>
      <c r="N1541" s="1">
        <v>98949.4</v>
      </c>
      <c r="O1541" s="1">
        <v>140320.4</v>
      </c>
      <c r="P1541" s="1">
        <v>239269.8</v>
      </c>
      <c r="Q1541" s="1">
        <v>44313.1</v>
      </c>
      <c r="R1541" s="1">
        <v>10926.3</v>
      </c>
      <c r="S1541" s="1">
        <v>55239.4</v>
      </c>
      <c r="T1541" s="1">
        <v>33.31</v>
      </c>
      <c r="U1541" s="1">
        <v>1.6</v>
      </c>
      <c r="V1541" s="1">
        <v>10891.3</v>
      </c>
      <c r="W1541" s="1">
        <v>55204.4</v>
      </c>
      <c r="X1541" s="1">
        <v>604.94000000000005</v>
      </c>
      <c r="Y1541" s="1">
        <v>2322</v>
      </c>
      <c r="Z1541" s="1">
        <v>294474.2</v>
      </c>
      <c r="AA1541" s="1">
        <v>33.32</v>
      </c>
      <c r="AB1541" s="1">
        <v>8000</v>
      </c>
    </row>
    <row r="1542" spans="1:28" x14ac:dyDescent="0.4">
      <c r="A1542" s="1" t="s">
        <v>130</v>
      </c>
      <c r="B1542" s="1">
        <v>8000</v>
      </c>
      <c r="C1542" s="1">
        <v>0.3</v>
      </c>
      <c r="D1542" s="1">
        <v>0.5</v>
      </c>
      <c r="E1542" s="1">
        <v>1000</v>
      </c>
      <c r="F1542" s="1">
        <v>3</v>
      </c>
      <c r="G1542" s="1">
        <v>1</v>
      </c>
      <c r="H1542" s="1" t="s">
        <v>592</v>
      </c>
      <c r="I1542" s="1">
        <v>601966.4</v>
      </c>
      <c r="J1542" s="1">
        <v>222890</v>
      </c>
      <c r="K1542" s="1">
        <v>379076.4</v>
      </c>
      <c r="L1542" s="1">
        <v>2400</v>
      </c>
      <c r="M1542" s="1">
        <v>601</v>
      </c>
      <c r="N1542" s="1">
        <v>121103.6</v>
      </c>
      <c r="O1542" s="1">
        <v>198339.8</v>
      </c>
      <c r="P1542" s="1">
        <v>319443.40000000002</v>
      </c>
      <c r="Q1542" s="1">
        <v>48113.8</v>
      </c>
      <c r="R1542" s="1">
        <v>16737.400000000001</v>
      </c>
      <c r="S1542" s="1">
        <v>64851.199999999997</v>
      </c>
      <c r="T1542" s="1">
        <v>36.159999999999997</v>
      </c>
      <c r="U1542" s="1">
        <v>1.42</v>
      </c>
      <c r="V1542" s="1">
        <v>16547.400000000001</v>
      </c>
      <c r="W1542" s="1">
        <v>64661.2</v>
      </c>
      <c r="X1542" s="1">
        <v>602.41999999999996</v>
      </c>
      <c r="Y1542" s="1">
        <v>2326</v>
      </c>
      <c r="Z1542" s="1">
        <v>384104.6</v>
      </c>
      <c r="AA1542" s="1">
        <v>36.19</v>
      </c>
      <c r="AB1542" s="1">
        <v>8000</v>
      </c>
    </row>
    <row r="1543" spans="1:28" x14ac:dyDescent="0.4">
      <c r="A1543" s="1" t="s">
        <v>131</v>
      </c>
      <c r="B1543" s="1">
        <v>8000</v>
      </c>
      <c r="C1543" s="1">
        <v>0.3</v>
      </c>
      <c r="D1543" s="1">
        <v>0.5</v>
      </c>
      <c r="E1543" s="1">
        <v>1000</v>
      </c>
      <c r="F1543" s="1">
        <v>3</v>
      </c>
      <c r="G1543" s="1">
        <v>2</v>
      </c>
      <c r="H1543" s="1" t="s">
        <v>592</v>
      </c>
      <c r="I1543" s="1">
        <v>565282.6</v>
      </c>
      <c r="J1543" s="1">
        <v>215214.2</v>
      </c>
      <c r="K1543" s="1">
        <v>350068.4</v>
      </c>
      <c r="L1543" s="1">
        <v>2400</v>
      </c>
      <c r="M1543" s="1">
        <v>603.20000000000005</v>
      </c>
      <c r="N1543" s="1">
        <v>116767.6</v>
      </c>
      <c r="O1543" s="1">
        <v>182113.4</v>
      </c>
      <c r="P1543" s="1">
        <v>298881</v>
      </c>
      <c r="Q1543" s="1">
        <v>49423.9</v>
      </c>
      <c r="R1543" s="1">
        <v>15377.3</v>
      </c>
      <c r="S1543" s="1">
        <v>64801.2</v>
      </c>
      <c r="T1543" s="1">
        <v>35.659999999999997</v>
      </c>
      <c r="U1543" s="1">
        <v>1.47</v>
      </c>
      <c r="V1543" s="1">
        <v>15315.2</v>
      </c>
      <c r="W1543" s="1">
        <v>64739.1</v>
      </c>
      <c r="X1543" s="1">
        <v>604.66999999999996</v>
      </c>
      <c r="Y1543" s="1">
        <v>2400</v>
      </c>
      <c r="Z1543" s="1">
        <v>363620.1</v>
      </c>
      <c r="AA1543" s="1">
        <v>35.67</v>
      </c>
      <c r="AB1543" s="1">
        <v>8000</v>
      </c>
    </row>
    <row r="1544" spans="1:28" x14ac:dyDescent="0.4">
      <c r="A1544" s="1" t="s">
        <v>132</v>
      </c>
      <c r="B1544" s="1">
        <v>8000</v>
      </c>
      <c r="C1544" s="1">
        <v>0.3</v>
      </c>
      <c r="D1544" s="1">
        <v>0.5</v>
      </c>
      <c r="E1544" s="1">
        <v>1000</v>
      </c>
      <c r="F1544" s="1">
        <v>3</v>
      </c>
      <c r="G1544" s="1">
        <v>3</v>
      </c>
      <c r="H1544" s="1" t="s">
        <v>592</v>
      </c>
      <c r="I1544" s="1">
        <v>586619.6</v>
      </c>
      <c r="J1544" s="1">
        <v>224384.6</v>
      </c>
      <c r="K1544" s="1">
        <v>362235</v>
      </c>
      <c r="L1544" s="1">
        <v>2400</v>
      </c>
      <c r="M1544" s="1">
        <v>602.67999999999995</v>
      </c>
      <c r="N1544" s="1">
        <v>120828.5</v>
      </c>
      <c r="O1544" s="1">
        <v>185551.9</v>
      </c>
      <c r="P1544" s="1">
        <v>306380.40000000002</v>
      </c>
      <c r="Q1544" s="1">
        <v>50053.3</v>
      </c>
      <c r="R1544" s="1">
        <v>15144.4</v>
      </c>
      <c r="S1544" s="1">
        <v>65197.7</v>
      </c>
      <c r="T1544" s="1">
        <v>36.659999999999997</v>
      </c>
      <c r="U1544" s="1">
        <v>1.64</v>
      </c>
      <c r="V1544" s="1">
        <v>15047.3</v>
      </c>
      <c r="W1544" s="1">
        <v>65100.6</v>
      </c>
      <c r="X1544" s="1">
        <v>604.32000000000005</v>
      </c>
      <c r="Y1544" s="1">
        <v>2398</v>
      </c>
      <c r="Z1544" s="1">
        <v>371481</v>
      </c>
      <c r="AA1544" s="1">
        <v>36.67</v>
      </c>
      <c r="AB1544" s="1">
        <v>8000</v>
      </c>
    </row>
    <row r="1545" spans="1:28" x14ac:dyDescent="0.4">
      <c r="A1545" s="1" t="s">
        <v>133</v>
      </c>
      <c r="B1545" s="1">
        <v>8000</v>
      </c>
      <c r="C1545" s="1">
        <v>0.3</v>
      </c>
      <c r="D1545" s="1">
        <v>0.5</v>
      </c>
      <c r="E1545" s="1">
        <v>1000</v>
      </c>
      <c r="F1545" s="1">
        <v>3</v>
      </c>
      <c r="G1545" s="1">
        <v>4</v>
      </c>
      <c r="H1545" s="1" t="s">
        <v>592</v>
      </c>
      <c r="I1545" s="1">
        <v>588648.9</v>
      </c>
      <c r="J1545" s="1">
        <v>222740.3</v>
      </c>
      <c r="K1545" s="1">
        <v>365908.6</v>
      </c>
      <c r="L1545" s="1">
        <v>2400</v>
      </c>
      <c r="M1545" s="1">
        <v>600.34</v>
      </c>
      <c r="N1545" s="1">
        <v>119445.7</v>
      </c>
      <c r="O1545" s="1">
        <v>193338</v>
      </c>
      <c r="P1545" s="1">
        <v>312783.7</v>
      </c>
      <c r="Q1545" s="1">
        <v>49532.6</v>
      </c>
      <c r="R1545" s="1">
        <v>16024.8</v>
      </c>
      <c r="S1545" s="1">
        <v>65557.399999999994</v>
      </c>
      <c r="T1545" s="1">
        <v>35.729999999999997</v>
      </c>
      <c r="U1545" s="1">
        <v>1.62</v>
      </c>
      <c r="V1545" s="1">
        <v>15933.4</v>
      </c>
      <c r="W1545" s="1">
        <v>65466</v>
      </c>
      <c r="X1545" s="1">
        <v>601.96</v>
      </c>
      <c r="Y1545" s="1">
        <v>2395</v>
      </c>
      <c r="Z1545" s="1">
        <v>378249.7</v>
      </c>
      <c r="AA1545" s="1">
        <v>35.74</v>
      </c>
      <c r="AB1545" s="1">
        <v>8000</v>
      </c>
    </row>
    <row r="1546" spans="1:28" x14ac:dyDescent="0.4">
      <c r="A1546" s="1" t="s">
        <v>134</v>
      </c>
      <c r="B1546" s="1">
        <v>8000</v>
      </c>
      <c r="C1546" s="1">
        <v>0.3</v>
      </c>
      <c r="D1546" s="1">
        <v>0.5</v>
      </c>
      <c r="E1546" s="1">
        <v>1000</v>
      </c>
      <c r="F1546" s="1">
        <v>3</v>
      </c>
      <c r="G1546" s="1">
        <v>5</v>
      </c>
      <c r="H1546" s="1" t="s">
        <v>592</v>
      </c>
      <c r="I1546" s="1">
        <v>594008.5</v>
      </c>
      <c r="J1546" s="1">
        <v>227482.3</v>
      </c>
      <c r="K1546" s="1">
        <v>366526.2</v>
      </c>
      <c r="L1546" s="1">
        <v>2400</v>
      </c>
      <c r="M1546" s="1">
        <v>600.07000000000005</v>
      </c>
      <c r="N1546" s="1">
        <v>123459.8</v>
      </c>
      <c r="O1546" s="1">
        <v>189378.1</v>
      </c>
      <c r="P1546" s="1">
        <v>312837.90000000002</v>
      </c>
      <c r="Q1546" s="1">
        <v>50467.7</v>
      </c>
      <c r="R1546" s="1">
        <v>15903.8</v>
      </c>
      <c r="S1546" s="1">
        <v>66371.5</v>
      </c>
      <c r="T1546" s="1">
        <v>36.159999999999997</v>
      </c>
      <c r="U1546" s="1">
        <v>1.38</v>
      </c>
      <c r="V1546" s="1">
        <v>15835</v>
      </c>
      <c r="W1546" s="1">
        <v>66302.7</v>
      </c>
      <c r="X1546" s="1">
        <v>601.44000000000005</v>
      </c>
      <c r="Y1546" s="1">
        <v>2392</v>
      </c>
      <c r="Z1546" s="1">
        <v>379140.6</v>
      </c>
      <c r="AA1546" s="1">
        <v>36.17</v>
      </c>
      <c r="AB1546" s="1">
        <v>8000</v>
      </c>
    </row>
    <row r="1547" spans="1:28" x14ac:dyDescent="0.4">
      <c r="A1547" s="1" t="s">
        <v>497</v>
      </c>
      <c r="B1547" s="1">
        <v>8000</v>
      </c>
      <c r="C1547" s="1">
        <v>0.3</v>
      </c>
      <c r="D1547" s="1">
        <v>0.5</v>
      </c>
      <c r="E1547" s="1">
        <v>2000</v>
      </c>
      <c r="F1547" s="1">
        <v>1</v>
      </c>
      <c r="G1547" s="1">
        <v>1</v>
      </c>
      <c r="H1547" s="1" t="s">
        <v>592</v>
      </c>
      <c r="I1547" s="1">
        <v>568393.69999999995</v>
      </c>
      <c r="J1547" s="1">
        <v>226327.4</v>
      </c>
      <c r="K1547" s="1">
        <v>342066.3</v>
      </c>
      <c r="L1547" s="1">
        <v>2400</v>
      </c>
      <c r="M1547" s="1">
        <v>601.98</v>
      </c>
      <c r="N1547" s="1">
        <v>131438.70000000001</v>
      </c>
      <c r="O1547" s="1">
        <v>185167.6</v>
      </c>
      <c r="P1547" s="1">
        <v>316606.3</v>
      </c>
      <c r="Q1547" s="1">
        <v>61554.6</v>
      </c>
      <c r="R1547" s="1">
        <v>17773.599999999999</v>
      </c>
      <c r="S1547" s="1">
        <v>79328.2</v>
      </c>
      <c r="T1547" s="1">
        <v>30.34</v>
      </c>
      <c r="U1547" s="1">
        <v>1.18</v>
      </c>
      <c r="V1547" s="1">
        <v>17618.3</v>
      </c>
      <c r="W1547" s="1">
        <v>79172.899999999994</v>
      </c>
      <c r="X1547" s="1">
        <v>603.16</v>
      </c>
      <c r="Y1547" s="1">
        <v>2396</v>
      </c>
      <c r="Z1547" s="1">
        <v>395779.2</v>
      </c>
      <c r="AA1547" s="1">
        <v>30.37</v>
      </c>
      <c r="AB1547" s="1">
        <v>8000</v>
      </c>
    </row>
    <row r="1548" spans="1:28" x14ac:dyDescent="0.4">
      <c r="A1548" s="1" t="s">
        <v>498</v>
      </c>
      <c r="B1548" s="1">
        <v>8000</v>
      </c>
      <c r="C1548" s="1">
        <v>0.3</v>
      </c>
      <c r="D1548" s="1">
        <v>0.5</v>
      </c>
      <c r="E1548" s="1">
        <v>2000</v>
      </c>
      <c r="F1548" s="1">
        <v>1</v>
      </c>
      <c r="G1548" s="1">
        <v>2</v>
      </c>
      <c r="H1548" s="1" t="s">
        <v>592</v>
      </c>
      <c r="I1548" s="1">
        <v>563271</v>
      </c>
      <c r="J1548" s="1">
        <v>221108.7</v>
      </c>
      <c r="K1548" s="1">
        <v>342162.3</v>
      </c>
      <c r="L1548" s="1">
        <v>2400</v>
      </c>
      <c r="M1548" s="1">
        <v>602.71</v>
      </c>
      <c r="N1548" s="1">
        <v>125942.39999999999</v>
      </c>
      <c r="O1548" s="1">
        <v>181645.1</v>
      </c>
      <c r="P1548" s="1">
        <v>307587.5</v>
      </c>
      <c r="Q1548" s="1">
        <v>63270.400000000001</v>
      </c>
      <c r="R1548" s="1">
        <v>18287.8</v>
      </c>
      <c r="S1548" s="1">
        <v>81558.2</v>
      </c>
      <c r="T1548" s="1">
        <v>30.91</v>
      </c>
      <c r="U1548" s="1">
        <v>1.43</v>
      </c>
      <c r="V1548" s="1">
        <v>18185.5</v>
      </c>
      <c r="W1548" s="1">
        <v>81455.899999999994</v>
      </c>
      <c r="X1548" s="1">
        <v>604.14</v>
      </c>
      <c r="Y1548" s="1">
        <v>2385</v>
      </c>
      <c r="Z1548" s="1">
        <v>389043.4</v>
      </c>
      <c r="AA1548" s="1">
        <v>30.93</v>
      </c>
      <c r="AB1548" s="1">
        <v>8000</v>
      </c>
    </row>
    <row r="1549" spans="1:28" x14ac:dyDescent="0.4">
      <c r="A1549" s="1" t="s">
        <v>499</v>
      </c>
      <c r="B1549" s="1">
        <v>8000</v>
      </c>
      <c r="C1549" s="1">
        <v>0.3</v>
      </c>
      <c r="D1549" s="1">
        <v>0.5</v>
      </c>
      <c r="E1549" s="1">
        <v>2000</v>
      </c>
      <c r="F1549" s="1">
        <v>1</v>
      </c>
      <c r="G1549" s="1">
        <v>3</v>
      </c>
      <c r="H1549" s="1" t="s">
        <v>592</v>
      </c>
      <c r="I1549" s="1">
        <v>563771</v>
      </c>
      <c r="J1549" s="1">
        <v>216097</v>
      </c>
      <c r="K1549" s="1">
        <v>347674</v>
      </c>
      <c r="L1549" s="1">
        <v>2400</v>
      </c>
      <c r="M1549" s="1">
        <v>600.02</v>
      </c>
      <c r="N1549" s="1">
        <v>127162.4</v>
      </c>
      <c r="O1549" s="1">
        <v>186009</v>
      </c>
      <c r="P1549" s="1">
        <v>313171.40000000002</v>
      </c>
      <c r="Q1549" s="1">
        <v>61838.8</v>
      </c>
      <c r="R1549" s="1">
        <v>17710.5</v>
      </c>
      <c r="S1549" s="1">
        <v>79549.3</v>
      </c>
      <c r="T1549" s="1">
        <v>30.34</v>
      </c>
      <c r="U1549" s="1">
        <v>1.25</v>
      </c>
      <c r="V1549" s="1">
        <v>17578.3</v>
      </c>
      <c r="W1549" s="1">
        <v>79417.100000000006</v>
      </c>
      <c r="X1549" s="1">
        <v>601.27</v>
      </c>
      <c r="Y1549" s="1">
        <v>2387</v>
      </c>
      <c r="Z1549" s="1">
        <v>392588.5</v>
      </c>
      <c r="AA1549" s="1">
        <v>30.36</v>
      </c>
      <c r="AB1549" s="1">
        <v>8000</v>
      </c>
    </row>
    <row r="1550" spans="1:28" x14ac:dyDescent="0.4">
      <c r="A1550" s="1" t="s">
        <v>500</v>
      </c>
      <c r="B1550" s="1">
        <v>8000</v>
      </c>
      <c r="C1550" s="1">
        <v>0.3</v>
      </c>
      <c r="D1550" s="1">
        <v>0.5</v>
      </c>
      <c r="E1550" s="1">
        <v>2000</v>
      </c>
      <c r="F1550" s="1">
        <v>1</v>
      </c>
      <c r="G1550" s="1">
        <v>4</v>
      </c>
      <c r="H1550" s="1" t="s">
        <v>592</v>
      </c>
      <c r="I1550" s="1">
        <v>563641.4</v>
      </c>
      <c r="J1550" s="1">
        <v>223729.6</v>
      </c>
      <c r="K1550" s="1">
        <v>339911.8</v>
      </c>
      <c r="L1550" s="1">
        <v>2400</v>
      </c>
      <c r="M1550" s="1">
        <v>603.39</v>
      </c>
      <c r="N1550" s="1">
        <v>127398.1</v>
      </c>
      <c r="O1550" s="1">
        <v>179738.6</v>
      </c>
      <c r="P1550" s="1">
        <v>307136.7</v>
      </c>
      <c r="Q1550" s="1">
        <v>61981.5</v>
      </c>
      <c r="R1550" s="1">
        <v>17969.900000000001</v>
      </c>
      <c r="S1550" s="1">
        <v>79951.399999999994</v>
      </c>
      <c r="T1550" s="1">
        <v>31.32</v>
      </c>
      <c r="U1550" s="1">
        <v>1.1100000000000001</v>
      </c>
      <c r="V1550" s="1">
        <v>17880.2</v>
      </c>
      <c r="W1550" s="1">
        <v>79861.7</v>
      </c>
      <c r="X1550" s="1">
        <v>604.5</v>
      </c>
      <c r="Y1550" s="1">
        <v>2385</v>
      </c>
      <c r="Z1550" s="1">
        <v>386998.4</v>
      </c>
      <c r="AA1550" s="1">
        <v>31.34</v>
      </c>
      <c r="AB1550" s="1">
        <v>8000</v>
      </c>
    </row>
    <row r="1551" spans="1:28" x14ac:dyDescent="0.4">
      <c r="A1551" s="1" t="s">
        <v>501</v>
      </c>
      <c r="B1551" s="1">
        <v>8000</v>
      </c>
      <c r="C1551" s="1">
        <v>0.3</v>
      </c>
      <c r="D1551" s="1">
        <v>0.5</v>
      </c>
      <c r="E1551" s="1">
        <v>2000</v>
      </c>
      <c r="F1551" s="1">
        <v>1</v>
      </c>
      <c r="G1551" s="1">
        <v>5</v>
      </c>
      <c r="H1551" s="1" t="s">
        <v>592</v>
      </c>
      <c r="I1551" s="1">
        <v>569884.69999999995</v>
      </c>
      <c r="J1551" s="1">
        <v>222990.1</v>
      </c>
      <c r="K1551" s="1">
        <v>346894.6</v>
      </c>
      <c r="L1551" s="1">
        <v>2400</v>
      </c>
      <c r="M1551" s="1">
        <v>603.30999999999995</v>
      </c>
      <c r="N1551" s="1">
        <v>125799.2</v>
      </c>
      <c r="O1551" s="1">
        <v>182928.5</v>
      </c>
      <c r="P1551" s="1">
        <v>308727.7</v>
      </c>
      <c r="Q1551" s="1">
        <v>62435.8</v>
      </c>
      <c r="R1551" s="1">
        <v>17339.900000000001</v>
      </c>
      <c r="S1551" s="1">
        <v>79775.7</v>
      </c>
      <c r="T1551" s="1">
        <v>31.83</v>
      </c>
      <c r="U1551" s="1">
        <v>1.0900000000000001</v>
      </c>
      <c r="V1551" s="1">
        <v>17221.7</v>
      </c>
      <c r="W1551" s="1">
        <v>79657.5</v>
      </c>
      <c r="X1551" s="1">
        <v>604.4</v>
      </c>
      <c r="Y1551" s="1">
        <v>2397</v>
      </c>
      <c r="Z1551" s="1">
        <v>388385.2</v>
      </c>
      <c r="AA1551" s="1">
        <v>31.85</v>
      </c>
      <c r="AB1551" s="1">
        <v>8000</v>
      </c>
    </row>
    <row r="1552" spans="1:28" x14ac:dyDescent="0.4">
      <c r="A1552" s="1" t="s">
        <v>502</v>
      </c>
      <c r="B1552" s="1">
        <v>8000</v>
      </c>
      <c r="C1552" s="1">
        <v>0.3</v>
      </c>
      <c r="D1552" s="1">
        <v>0.5</v>
      </c>
      <c r="E1552" s="1">
        <v>2000</v>
      </c>
      <c r="F1552" s="1">
        <v>2</v>
      </c>
      <c r="G1552" s="1">
        <v>1</v>
      </c>
      <c r="H1552" s="1" t="s">
        <v>592</v>
      </c>
      <c r="I1552" s="1">
        <v>889423.3</v>
      </c>
      <c r="J1552" s="1">
        <v>336772</v>
      </c>
      <c r="K1552" s="1">
        <v>552651.30000000005</v>
      </c>
      <c r="L1552" s="1">
        <v>2400</v>
      </c>
      <c r="M1552" s="1">
        <v>603.34</v>
      </c>
      <c r="N1552" s="1">
        <v>193393.9</v>
      </c>
      <c r="O1552" s="1">
        <v>293808.59999999998</v>
      </c>
      <c r="P1552" s="1">
        <v>487202.5</v>
      </c>
      <c r="Q1552" s="1">
        <v>62358.5</v>
      </c>
      <c r="R1552" s="1">
        <v>21680.400000000001</v>
      </c>
      <c r="S1552" s="1">
        <v>84038.9</v>
      </c>
      <c r="T1552" s="1">
        <v>35.770000000000003</v>
      </c>
      <c r="U1552" s="1">
        <v>1.54</v>
      </c>
      <c r="V1552" s="1">
        <v>21594.3</v>
      </c>
      <c r="W1552" s="1">
        <v>83952.8</v>
      </c>
      <c r="X1552" s="1">
        <v>604.87</v>
      </c>
      <c r="Y1552" s="1">
        <v>2319</v>
      </c>
      <c r="Z1552" s="1">
        <v>571155.30000000005</v>
      </c>
      <c r="AA1552" s="1">
        <v>35.78</v>
      </c>
      <c r="AB1552" s="1">
        <v>8000</v>
      </c>
    </row>
    <row r="1553" spans="1:28" x14ac:dyDescent="0.4">
      <c r="A1553" s="1" t="s">
        <v>503</v>
      </c>
      <c r="B1553" s="1">
        <v>8000</v>
      </c>
      <c r="C1553" s="1">
        <v>0.3</v>
      </c>
      <c r="D1553" s="1">
        <v>0.5</v>
      </c>
      <c r="E1553" s="1">
        <v>2000</v>
      </c>
      <c r="F1553" s="1">
        <v>2</v>
      </c>
      <c r="G1553" s="1">
        <v>2</v>
      </c>
      <c r="H1553" s="1" t="s">
        <v>592</v>
      </c>
      <c r="I1553" s="1">
        <v>876499.4</v>
      </c>
      <c r="J1553" s="1">
        <v>335114.40000000002</v>
      </c>
      <c r="K1553" s="1">
        <v>541385</v>
      </c>
      <c r="L1553" s="1">
        <v>2400</v>
      </c>
      <c r="M1553" s="1">
        <v>603.42999999999995</v>
      </c>
      <c r="N1553" s="1">
        <v>191930</v>
      </c>
      <c r="O1553" s="1">
        <v>289808.5</v>
      </c>
      <c r="P1553" s="1">
        <v>481738.5</v>
      </c>
      <c r="Q1553" s="1">
        <v>62041.599999999999</v>
      </c>
      <c r="R1553" s="1">
        <v>22144.2</v>
      </c>
      <c r="S1553" s="1">
        <v>84185.8</v>
      </c>
      <c r="T1553" s="1">
        <v>35.43</v>
      </c>
      <c r="U1553" s="1">
        <v>1.39</v>
      </c>
      <c r="V1553" s="1">
        <v>21881.8</v>
      </c>
      <c r="W1553" s="1">
        <v>83923.4</v>
      </c>
      <c r="X1553" s="1">
        <v>604.82000000000005</v>
      </c>
      <c r="Y1553" s="1">
        <v>2297</v>
      </c>
      <c r="Z1553" s="1">
        <v>565661.9</v>
      </c>
      <c r="AA1553" s="1">
        <v>35.46</v>
      </c>
      <c r="AB1553" s="1">
        <v>8000</v>
      </c>
    </row>
    <row r="1554" spans="1:28" x14ac:dyDescent="0.4">
      <c r="A1554" s="1" t="s">
        <v>504</v>
      </c>
      <c r="B1554" s="1">
        <v>8000</v>
      </c>
      <c r="C1554" s="1">
        <v>0.3</v>
      </c>
      <c r="D1554" s="1">
        <v>0.5</v>
      </c>
      <c r="E1554" s="1">
        <v>2000</v>
      </c>
      <c r="F1554" s="1">
        <v>2</v>
      </c>
      <c r="G1554" s="1">
        <v>3</v>
      </c>
      <c r="H1554" s="1" t="s">
        <v>592</v>
      </c>
      <c r="I1554" s="1">
        <v>929101.5</v>
      </c>
      <c r="J1554" s="1">
        <v>344356.1</v>
      </c>
      <c r="K1554" s="1">
        <v>584745.4</v>
      </c>
      <c r="L1554" s="1">
        <v>2400</v>
      </c>
      <c r="M1554" s="1">
        <v>602.72</v>
      </c>
      <c r="N1554" s="1">
        <v>195719.6</v>
      </c>
      <c r="O1554" s="1">
        <v>306112.09999999998</v>
      </c>
      <c r="P1554" s="1">
        <v>501831.7</v>
      </c>
      <c r="Q1554" s="1">
        <v>63465.7</v>
      </c>
      <c r="R1554" s="1">
        <v>22617.4</v>
      </c>
      <c r="S1554" s="1">
        <v>86083.1</v>
      </c>
      <c r="T1554" s="1">
        <v>36.72</v>
      </c>
      <c r="U1554" s="1">
        <v>1.6</v>
      </c>
      <c r="V1554" s="1">
        <v>22489.5</v>
      </c>
      <c r="W1554" s="1">
        <v>85955.199999999997</v>
      </c>
      <c r="X1554" s="1">
        <v>604.32000000000005</v>
      </c>
      <c r="Y1554" s="1">
        <v>2397</v>
      </c>
      <c r="Z1554" s="1">
        <v>587786.9</v>
      </c>
      <c r="AA1554" s="1">
        <v>36.74</v>
      </c>
      <c r="AB1554" s="1">
        <v>8000</v>
      </c>
    </row>
    <row r="1555" spans="1:28" x14ac:dyDescent="0.4">
      <c r="A1555" s="1" t="s">
        <v>505</v>
      </c>
      <c r="B1555" s="1">
        <v>8000</v>
      </c>
      <c r="C1555" s="1">
        <v>0.3</v>
      </c>
      <c r="D1555" s="1">
        <v>0.5</v>
      </c>
      <c r="E1555" s="1">
        <v>2000</v>
      </c>
      <c r="F1555" s="1">
        <v>2</v>
      </c>
      <c r="G1555" s="1">
        <v>4</v>
      </c>
      <c r="H1555" s="1" t="s">
        <v>592</v>
      </c>
      <c r="I1555" s="1">
        <v>919221.2</v>
      </c>
      <c r="J1555" s="1">
        <v>344486.5</v>
      </c>
      <c r="K1555" s="1">
        <v>574734.69999999995</v>
      </c>
      <c r="L1555" s="1">
        <v>2400</v>
      </c>
      <c r="M1555" s="1">
        <v>603.16999999999996</v>
      </c>
      <c r="N1555" s="1">
        <v>199058.6</v>
      </c>
      <c r="O1555" s="1">
        <v>308356.3</v>
      </c>
      <c r="P1555" s="1">
        <v>507414.9</v>
      </c>
      <c r="Q1555" s="1">
        <v>61089.599999999999</v>
      </c>
      <c r="R1555" s="1">
        <v>21682.6</v>
      </c>
      <c r="S1555" s="1">
        <v>82772.2</v>
      </c>
      <c r="T1555" s="1">
        <v>35.79</v>
      </c>
      <c r="U1555" s="1">
        <v>2.04</v>
      </c>
      <c r="V1555" s="1">
        <v>21493.5</v>
      </c>
      <c r="W1555" s="1">
        <v>82583.100000000006</v>
      </c>
      <c r="X1555" s="1">
        <v>605.20000000000005</v>
      </c>
      <c r="Y1555" s="1">
        <v>2335</v>
      </c>
      <c r="Z1555" s="1">
        <v>589998</v>
      </c>
      <c r="AA1555" s="1">
        <v>35.82</v>
      </c>
      <c r="AB1555" s="1">
        <v>8000</v>
      </c>
    </row>
    <row r="1556" spans="1:28" x14ac:dyDescent="0.4">
      <c r="A1556" s="1" t="s">
        <v>506</v>
      </c>
      <c r="B1556" s="1">
        <v>8000</v>
      </c>
      <c r="C1556" s="1">
        <v>0.3</v>
      </c>
      <c r="D1556" s="1">
        <v>0.5</v>
      </c>
      <c r="E1556" s="1">
        <v>2000</v>
      </c>
      <c r="F1556" s="1">
        <v>2</v>
      </c>
      <c r="G1556" s="1">
        <v>5</v>
      </c>
      <c r="H1556" s="1" t="s">
        <v>592</v>
      </c>
      <c r="I1556" s="1">
        <v>908955</v>
      </c>
      <c r="J1556" s="1">
        <v>343497.3</v>
      </c>
      <c r="K1556" s="1">
        <v>565457.69999999995</v>
      </c>
      <c r="L1556" s="1">
        <v>2400</v>
      </c>
      <c r="M1556" s="1">
        <v>602.73</v>
      </c>
      <c r="N1556" s="1">
        <v>197157.7</v>
      </c>
      <c r="O1556" s="1">
        <v>299667.90000000002</v>
      </c>
      <c r="P1556" s="1">
        <v>496825.59999999998</v>
      </c>
      <c r="Q1556" s="1">
        <v>62849.1</v>
      </c>
      <c r="R1556" s="1">
        <v>22037</v>
      </c>
      <c r="S1556" s="1">
        <v>84886.1</v>
      </c>
      <c r="T1556" s="1">
        <v>36</v>
      </c>
      <c r="U1556" s="1">
        <v>1.35</v>
      </c>
      <c r="V1556" s="1">
        <v>21905.5</v>
      </c>
      <c r="W1556" s="1">
        <v>84754.6</v>
      </c>
      <c r="X1556" s="1">
        <v>604.08000000000004</v>
      </c>
      <c r="Y1556" s="1">
        <v>2386</v>
      </c>
      <c r="Z1556" s="1">
        <v>581580.19999999995</v>
      </c>
      <c r="AA1556" s="1">
        <v>36.020000000000003</v>
      </c>
      <c r="AB1556" s="1">
        <v>8000</v>
      </c>
    </row>
    <row r="1557" spans="1:28" x14ac:dyDescent="0.4">
      <c r="A1557" s="1" t="s">
        <v>507</v>
      </c>
      <c r="B1557" s="1">
        <v>8000</v>
      </c>
      <c r="C1557" s="1">
        <v>0.3</v>
      </c>
      <c r="D1557" s="1">
        <v>0.5</v>
      </c>
      <c r="E1557" s="1">
        <v>2000</v>
      </c>
      <c r="F1557" s="1">
        <v>3</v>
      </c>
      <c r="G1557" s="1">
        <v>1</v>
      </c>
      <c r="H1557" s="1" t="s">
        <v>592</v>
      </c>
      <c r="I1557" s="1">
        <v>1143126.3999999999</v>
      </c>
      <c r="J1557" s="1">
        <v>438006.9</v>
      </c>
      <c r="K1557" s="1">
        <v>705119.5</v>
      </c>
      <c r="L1557" s="1">
        <v>2400</v>
      </c>
      <c r="M1557" s="1">
        <v>600</v>
      </c>
      <c r="N1557" s="1">
        <v>256526.7</v>
      </c>
      <c r="O1557" s="1">
        <v>397645.9</v>
      </c>
      <c r="P1557" s="1">
        <v>654172.6</v>
      </c>
      <c r="Q1557" s="1">
        <v>60977.3</v>
      </c>
      <c r="R1557" s="1">
        <v>23138</v>
      </c>
      <c r="S1557" s="1">
        <v>84115.3</v>
      </c>
      <c r="T1557" s="1">
        <v>35.42</v>
      </c>
      <c r="U1557" s="1">
        <v>1.1299999999999999</v>
      </c>
      <c r="V1557" s="1">
        <v>23125.8</v>
      </c>
      <c r="W1557" s="1">
        <v>84103.1</v>
      </c>
      <c r="X1557" s="1">
        <v>601.13</v>
      </c>
      <c r="Y1557" s="1">
        <v>2087</v>
      </c>
      <c r="Z1557" s="1">
        <v>738275.7</v>
      </c>
      <c r="AA1557" s="1">
        <v>35.42</v>
      </c>
      <c r="AB1557" s="1">
        <v>8000</v>
      </c>
    </row>
    <row r="1558" spans="1:28" x14ac:dyDescent="0.4">
      <c r="A1558" s="1" t="s">
        <v>508</v>
      </c>
      <c r="B1558" s="1">
        <v>8000</v>
      </c>
      <c r="C1558" s="1">
        <v>0.3</v>
      </c>
      <c r="D1558" s="1">
        <v>0.5</v>
      </c>
      <c r="E1558" s="1">
        <v>2000</v>
      </c>
      <c r="F1558" s="1">
        <v>3</v>
      </c>
      <c r="G1558" s="1">
        <v>2</v>
      </c>
      <c r="H1558" s="1" t="s">
        <v>592</v>
      </c>
      <c r="I1558" s="1">
        <v>1172864.3999999999</v>
      </c>
      <c r="J1558" s="1">
        <v>437807.1</v>
      </c>
      <c r="K1558" s="1">
        <v>735057.3</v>
      </c>
      <c r="L1558" s="1">
        <v>2400</v>
      </c>
      <c r="M1558" s="1">
        <v>602.77</v>
      </c>
      <c r="N1558" s="1">
        <v>251063.9</v>
      </c>
      <c r="O1558" s="1">
        <v>414035.9</v>
      </c>
      <c r="P1558" s="1">
        <v>665099.80000000005</v>
      </c>
      <c r="Q1558" s="1">
        <v>62503.6</v>
      </c>
      <c r="R1558" s="1">
        <v>22796.3</v>
      </c>
      <c r="S1558" s="1">
        <v>85299.9</v>
      </c>
      <c r="T1558" s="1">
        <v>36.020000000000003</v>
      </c>
      <c r="U1558" s="1">
        <v>1.06</v>
      </c>
      <c r="V1558" s="1">
        <v>22766.1</v>
      </c>
      <c r="W1558" s="1">
        <v>85269.7</v>
      </c>
      <c r="X1558" s="1">
        <v>603.83000000000004</v>
      </c>
      <c r="Y1558" s="1">
        <v>2192</v>
      </c>
      <c r="Z1558" s="1">
        <v>750369.5</v>
      </c>
      <c r="AA1558" s="1">
        <v>36.020000000000003</v>
      </c>
      <c r="AB1558" s="1">
        <v>8000</v>
      </c>
    </row>
    <row r="1559" spans="1:28" x14ac:dyDescent="0.4">
      <c r="A1559" s="1" t="s">
        <v>509</v>
      </c>
      <c r="B1559" s="1">
        <v>8000</v>
      </c>
      <c r="C1559" s="1">
        <v>0.3</v>
      </c>
      <c r="D1559" s="1">
        <v>0.5</v>
      </c>
      <c r="E1559" s="1">
        <v>2000</v>
      </c>
      <c r="F1559" s="1">
        <v>3</v>
      </c>
      <c r="G1559" s="1">
        <v>3</v>
      </c>
      <c r="H1559" s="1" t="s">
        <v>592</v>
      </c>
      <c r="I1559" s="1">
        <v>1164182</v>
      </c>
      <c r="J1559" s="1">
        <v>438255.1</v>
      </c>
      <c r="K1559" s="1">
        <v>725926.9</v>
      </c>
      <c r="L1559" s="1">
        <v>2400</v>
      </c>
      <c r="M1559" s="1">
        <v>602.08000000000004</v>
      </c>
      <c r="N1559" s="1">
        <v>253463.8</v>
      </c>
      <c r="O1559" s="1">
        <v>412934.1</v>
      </c>
      <c r="P1559" s="1">
        <v>666397.9</v>
      </c>
      <c r="Q1559" s="1">
        <v>60570</v>
      </c>
      <c r="R1559" s="1">
        <v>23738.400000000001</v>
      </c>
      <c r="S1559" s="1">
        <v>84308.4</v>
      </c>
      <c r="T1559" s="1">
        <v>35.520000000000003</v>
      </c>
      <c r="U1559" s="1">
        <v>1.32</v>
      </c>
      <c r="V1559" s="1">
        <v>23726.2</v>
      </c>
      <c r="W1559" s="1">
        <v>84296.2</v>
      </c>
      <c r="X1559" s="1">
        <v>603.4</v>
      </c>
      <c r="Y1559" s="1">
        <v>2041</v>
      </c>
      <c r="Z1559" s="1">
        <v>750694.1</v>
      </c>
      <c r="AA1559" s="1">
        <v>35.520000000000003</v>
      </c>
      <c r="AB1559" s="1">
        <v>8000</v>
      </c>
    </row>
    <row r="1560" spans="1:28" x14ac:dyDescent="0.4">
      <c r="A1560" s="1" t="s">
        <v>510</v>
      </c>
      <c r="B1560" s="1">
        <v>8000</v>
      </c>
      <c r="C1560" s="1">
        <v>0.3</v>
      </c>
      <c r="D1560" s="1">
        <v>0.5</v>
      </c>
      <c r="E1560" s="1">
        <v>2000</v>
      </c>
      <c r="F1560" s="1">
        <v>3</v>
      </c>
      <c r="G1560" s="1">
        <v>4</v>
      </c>
      <c r="H1560" s="1" t="s">
        <v>592</v>
      </c>
      <c r="I1560" s="1">
        <v>1185376.8</v>
      </c>
      <c r="J1560" s="1">
        <v>453914.9</v>
      </c>
      <c r="K1560" s="1">
        <v>731461.9</v>
      </c>
      <c r="L1560" s="1">
        <v>2400</v>
      </c>
      <c r="M1560" s="1">
        <v>602.26</v>
      </c>
      <c r="N1560" s="1">
        <v>259797.2</v>
      </c>
      <c r="O1560" s="1">
        <v>415088.6</v>
      </c>
      <c r="P1560" s="1">
        <v>674885.8</v>
      </c>
      <c r="Q1560" s="1">
        <v>62477.8</v>
      </c>
      <c r="R1560" s="1">
        <v>23671.7</v>
      </c>
      <c r="S1560" s="1">
        <v>86149.5</v>
      </c>
      <c r="T1560" s="1">
        <v>35.799999999999997</v>
      </c>
      <c r="U1560" s="1">
        <v>1.51</v>
      </c>
      <c r="V1560" s="1">
        <v>23445</v>
      </c>
      <c r="W1560" s="1">
        <v>85922.8</v>
      </c>
      <c r="X1560" s="1">
        <v>603.77</v>
      </c>
      <c r="Y1560" s="1">
        <v>2210</v>
      </c>
      <c r="Z1560" s="1">
        <v>760808.6</v>
      </c>
      <c r="AA1560" s="1">
        <v>35.82</v>
      </c>
      <c r="AB1560" s="1">
        <v>8000</v>
      </c>
    </row>
    <row r="1561" spans="1:28" x14ac:dyDescent="0.4">
      <c r="A1561" s="1" t="s">
        <v>511</v>
      </c>
      <c r="B1561" s="1">
        <v>8000</v>
      </c>
      <c r="C1561" s="1">
        <v>0.3</v>
      </c>
      <c r="D1561" s="1">
        <v>0.5</v>
      </c>
      <c r="E1561" s="1">
        <v>2000</v>
      </c>
      <c r="F1561" s="1">
        <v>3</v>
      </c>
      <c r="G1561" s="1">
        <v>5</v>
      </c>
      <c r="H1561" s="1" t="s">
        <v>592</v>
      </c>
      <c r="I1561" s="1">
        <v>1186138</v>
      </c>
      <c r="J1561" s="1">
        <v>453406.1</v>
      </c>
      <c r="K1561" s="1">
        <v>732731.9</v>
      </c>
      <c r="L1561" s="1">
        <v>2400</v>
      </c>
      <c r="M1561" s="1">
        <v>602.9</v>
      </c>
      <c r="N1561" s="1">
        <v>265301.8</v>
      </c>
      <c r="O1561" s="1">
        <v>419151.1</v>
      </c>
      <c r="P1561" s="1">
        <v>684452.9</v>
      </c>
      <c r="Q1561" s="1">
        <v>59501.599999999999</v>
      </c>
      <c r="R1561" s="1">
        <v>23585.7</v>
      </c>
      <c r="S1561" s="1">
        <v>83087.3</v>
      </c>
      <c r="T1561" s="1">
        <v>35.29</v>
      </c>
      <c r="U1561" s="1">
        <v>1.3</v>
      </c>
      <c r="V1561" s="1">
        <v>23580.7</v>
      </c>
      <c r="W1561" s="1">
        <v>83082.3</v>
      </c>
      <c r="X1561" s="1">
        <v>604.20000000000005</v>
      </c>
      <c r="Y1561" s="1">
        <v>2036</v>
      </c>
      <c r="Z1561" s="1">
        <v>767535.2</v>
      </c>
      <c r="AA1561" s="1">
        <v>35.29</v>
      </c>
      <c r="AB1561" s="1">
        <v>8000</v>
      </c>
    </row>
    <row r="1562" spans="1:28" x14ac:dyDescent="0.4">
      <c r="A1562" s="1" t="s">
        <v>512</v>
      </c>
      <c r="B1562" s="1">
        <v>8000</v>
      </c>
      <c r="C1562" s="1">
        <v>0.3</v>
      </c>
      <c r="D1562" s="1">
        <v>0.5</v>
      </c>
      <c r="E1562" s="1">
        <v>500</v>
      </c>
      <c r="F1562" s="1">
        <v>1</v>
      </c>
      <c r="G1562" s="1">
        <v>1</v>
      </c>
      <c r="H1562" s="1" t="s">
        <v>592</v>
      </c>
      <c r="I1562" s="1">
        <v>144108.1</v>
      </c>
      <c r="J1562" s="1">
        <v>59553.1</v>
      </c>
      <c r="K1562" s="1">
        <v>84555</v>
      </c>
      <c r="L1562" s="1">
        <v>2400</v>
      </c>
      <c r="M1562" s="1">
        <v>600.04</v>
      </c>
      <c r="N1562" s="1">
        <v>35560.5</v>
      </c>
      <c r="O1562" s="1">
        <v>47881.8</v>
      </c>
      <c r="P1562" s="1">
        <v>83442.3</v>
      </c>
      <c r="Q1562" s="1">
        <v>21947.1</v>
      </c>
      <c r="R1562" s="1">
        <v>3668.5</v>
      </c>
      <c r="S1562" s="1">
        <v>25615.599999999999</v>
      </c>
      <c r="T1562" s="1">
        <v>24.32</v>
      </c>
      <c r="U1562" s="1">
        <v>0.61</v>
      </c>
      <c r="V1562" s="1">
        <v>3665.7</v>
      </c>
      <c r="W1562" s="1">
        <v>25612.799999999999</v>
      </c>
      <c r="X1562" s="1">
        <v>600.64</v>
      </c>
      <c r="Y1562" s="1">
        <v>1381</v>
      </c>
      <c r="Z1562" s="1">
        <v>109055.1</v>
      </c>
      <c r="AA1562" s="1">
        <v>24.32</v>
      </c>
      <c r="AB1562" s="1">
        <v>8000</v>
      </c>
    </row>
    <row r="1563" spans="1:28" x14ac:dyDescent="0.4">
      <c r="A1563" s="1" t="s">
        <v>513</v>
      </c>
      <c r="B1563" s="1">
        <v>8000</v>
      </c>
      <c r="C1563" s="1">
        <v>0.3</v>
      </c>
      <c r="D1563" s="1">
        <v>0.5</v>
      </c>
      <c r="E1563" s="1">
        <v>500</v>
      </c>
      <c r="F1563" s="1">
        <v>1</v>
      </c>
      <c r="G1563" s="1">
        <v>2</v>
      </c>
      <c r="H1563" s="1" t="s">
        <v>592</v>
      </c>
      <c r="I1563" s="1">
        <v>148634.9</v>
      </c>
      <c r="J1563" s="1">
        <v>56161.1</v>
      </c>
      <c r="K1563" s="1">
        <v>92473.8</v>
      </c>
      <c r="L1563" s="1">
        <v>2400</v>
      </c>
      <c r="M1563" s="1">
        <v>602.51</v>
      </c>
      <c r="N1563" s="1">
        <v>32201.3</v>
      </c>
      <c r="O1563" s="1">
        <v>50471.8</v>
      </c>
      <c r="P1563" s="1">
        <v>82673.100000000006</v>
      </c>
      <c r="Q1563" s="1">
        <v>23846.1</v>
      </c>
      <c r="R1563" s="1">
        <v>4265.8999999999996</v>
      </c>
      <c r="S1563" s="1">
        <v>28112</v>
      </c>
      <c r="T1563" s="1">
        <v>25.46</v>
      </c>
      <c r="U1563" s="1">
        <v>0.9</v>
      </c>
      <c r="V1563" s="1">
        <v>4260.3</v>
      </c>
      <c r="W1563" s="1">
        <v>28106.400000000001</v>
      </c>
      <c r="X1563" s="1">
        <v>603.4</v>
      </c>
      <c r="Y1563" s="1">
        <v>1474</v>
      </c>
      <c r="Z1563" s="1">
        <v>110779.5</v>
      </c>
      <c r="AA1563" s="1">
        <v>25.47</v>
      </c>
      <c r="AB1563" s="1">
        <v>8000</v>
      </c>
    </row>
    <row r="1564" spans="1:28" x14ac:dyDescent="0.4">
      <c r="A1564" s="1" t="s">
        <v>514</v>
      </c>
      <c r="B1564" s="1">
        <v>8000</v>
      </c>
      <c r="C1564" s="1">
        <v>0.3</v>
      </c>
      <c r="D1564" s="1">
        <v>0.5</v>
      </c>
      <c r="E1564" s="1">
        <v>500</v>
      </c>
      <c r="F1564" s="1">
        <v>1</v>
      </c>
      <c r="G1564" s="1">
        <v>3</v>
      </c>
      <c r="H1564" s="1" t="s">
        <v>592</v>
      </c>
      <c r="I1564" s="1">
        <v>144262.39999999999</v>
      </c>
      <c r="J1564" s="1">
        <v>58086.3</v>
      </c>
      <c r="K1564" s="1">
        <v>86176.1</v>
      </c>
      <c r="L1564" s="1">
        <v>2400</v>
      </c>
      <c r="M1564" s="1">
        <v>600.03</v>
      </c>
      <c r="N1564" s="1">
        <v>35295.800000000003</v>
      </c>
      <c r="O1564" s="1">
        <v>48242.8</v>
      </c>
      <c r="P1564" s="1">
        <v>83538.600000000006</v>
      </c>
      <c r="Q1564" s="1">
        <v>21638.2</v>
      </c>
      <c r="R1564" s="1">
        <v>3512.9</v>
      </c>
      <c r="S1564" s="1">
        <v>25151.1</v>
      </c>
      <c r="T1564" s="1">
        <v>24.66</v>
      </c>
      <c r="U1564" s="1">
        <v>0.56999999999999995</v>
      </c>
      <c r="V1564" s="1">
        <v>3498.1</v>
      </c>
      <c r="W1564" s="1">
        <v>25136.3</v>
      </c>
      <c r="X1564" s="1">
        <v>600.6</v>
      </c>
      <c r="Y1564" s="1">
        <v>1340</v>
      </c>
      <c r="Z1564" s="1">
        <v>108674.9</v>
      </c>
      <c r="AA1564" s="1">
        <v>24.67</v>
      </c>
      <c r="AB1564" s="1">
        <v>8000</v>
      </c>
    </row>
    <row r="1565" spans="1:28" x14ac:dyDescent="0.4">
      <c r="A1565" s="1" t="s">
        <v>515</v>
      </c>
      <c r="B1565" s="1">
        <v>8000</v>
      </c>
      <c r="C1565" s="1">
        <v>0.3</v>
      </c>
      <c r="D1565" s="1">
        <v>0.5</v>
      </c>
      <c r="E1565" s="1">
        <v>500</v>
      </c>
      <c r="F1565" s="1">
        <v>1</v>
      </c>
      <c r="G1565" s="1">
        <v>4</v>
      </c>
      <c r="H1565" s="1" t="s">
        <v>592</v>
      </c>
      <c r="I1565" s="1">
        <v>148149.79999999999</v>
      </c>
      <c r="J1565" s="1">
        <v>57952.5</v>
      </c>
      <c r="K1565" s="1">
        <v>90197.3</v>
      </c>
      <c r="L1565" s="1">
        <v>2400</v>
      </c>
      <c r="M1565" s="1">
        <v>601.62</v>
      </c>
      <c r="N1565" s="1">
        <v>34062.400000000001</v>
      </c>
      <c r="O1565" s="1">
        <v>49447.7</v>
      </c>
      <c r="P1565" s="1">
        <v>83510.100000000006</v>
      </c>
      <c r="Q1565" s="1">
        <v>23264.2</v>
      </c>
      <c r="R1565" s="1">
        <v>3761.6</v>
      </c>
      <c r="S1565" s="1">
        <v>27025.8</v>
      </c>
      <c r="T1565" s="1">
        <v>25.39</v>
      </c>
      <c r="U1565" s="1">
        <v>0.66</v>
      </c>
      <c r="V1565" s="1">
        <v>3754.6</v>
      </c>
      <c r="W1565" s="1">
        <v>27018.799999999999</v>
      </c>
      <c r="X1565" s="1">
        <v>602.28</v>
      </c>
      <c r="Y1565" s="1">
        <v>1441</v>
      </c>
      <c r="Z1565" s="1">
        <v>110528.9</v>
      </c>
      <c r="AA1565" s="1">
        <v>25.39</v>
      </c>
      <c r="AB1565" s="1">
        <v>8000</v>
      </c>
    </row>
    <row r="1566" spans="1:28" x14ac:dyDescent="0.4">
      <c r="A1566" s="1" t="s">
        <v>516</v>
      </c>
      <c r="B1566" s="1">
        <v>8000</v>
      </c>
      <c r="C1566" s="1">
        <v>0.3</v>
      </c>
      <c r="D1566" s="1">
        <v>0.5</v>
      </c>
      <c r="E1566" s="1">
        <v>500</v>
      </c>
      <c r="F1566" s="1">
        <v>1</v>
      </c>
      <c r="G1566" s="1">
        <v>5</v>
      </c>
      <c r="H1566" s="1" t="s">
        <v>592</v>
      </c>
      <c r="I1566" s="1">
        <v>141610.70000000001</v>
      </c>
      <c r="J1566" s="1">
        <v>56169.4</v>
      </c>
      <c r="K1566" s="1">
        <v>85441.3</v>
      </c>
      <c r="L1566" s="1">
        <v>2400</v>
      </c>
      <c r="M1566" s="1">
        <v>601.46</v>
      </c>
      <c r="N1566" s="1">
        <v>32991.199999999997</v>
      </c>
      <c r="O1566" s="1">
        <v>48657</v>
      </c>
      <c r="P1566" s="1">
        <v>81648.2</v>
      </c>
      <c r="Q1566" s="1">
        <v>20437.599999999999</v>
      </c>
      <c r="R1566" s="1">
        <v>3321.5</v>
      </c>
      <c r="S1566" s="1">
        <v>23759.1</v>
      </c>
      <c r="T1566" s="1">
        <v>25.57</v>
      </c>
      <c r="U1566" s="1">
        <v>0.52</v>
      </c>
      <c r="V1566" s="1">
        <v>3314.6</v>
      </c>
      <c r="W1566" s="1">
        <v>23752.2</v>
      </c>
      <c r="X1566" s="1">
        <v>601.98</v>
      </c>
      <c r="Y1566" s="1">
        <v>1330</v>
      </c>
      <c r="Z1566" s="1">
        <v>105400.4</v>
      </c>
      <c r="AA1566" s="1">
        <v>25.57</v>
      </c>
      <c r="AB1566" s="1">
        <v>8000</v>
      </c>
    </row>
    <row r="1567" spans="1:28" x14ac:dyDescent="0.4">
      <c r="A1567" s="1" t="s">
        <v>517</v>
      </c>
      <c r="B1567" s="1">
        <v>8000</v>
      </c>
      <c r="C1567" s="1">
        <v>0.3</v>
      </c>
      <c r="D1567" s="1">
        <v>0.5</v>
      </c>
      <c r="E1567" s="1">
        <v>500</v>
      </c>
      <c r="F1567" s="1">
        <v>2</v>
      </c>
      <c r="G1567" s="1">
        <v>1</v>
      </c>
      <c r="H1567" s="1" t="s">
        <v>592</v>
      </c>
      <c r="I1567" s="1">
        <v>221975.5</v>
      </c>
      <c r="J1567" s="1">
        <v>84387.4</v>
      </c>
      <c r="K1567" s="1">
        <v>137588.1</v>
      </c>
      <c r="L1567" s="1">
        <v>2400</v>
      </c>
      <c r="M1567" s="1">
        <v>602.83000000000004</v>
      </c>
      <c r="N1567" s="1">
        <v>47854.3</v>
      </c>
      <c r="O1567" s="1">
        <v>72499</v>
      </c>
      <c r="P1567" s="1">
        <v>120353.3</v>
      </c>
      <c r="Q1567" s="1">
        <v>27355.200000000001</v>
      </c>
      <c r="R1567" s="1">
        <v>4900</v>
      </c>
      <c r="S1567" s="1">
        <v>32255.200000000001</v>
      </c>
      <c r="T1567" s="1">
        <v>31.25</v>
      </c>
      <c r="U1567" s="1">
        <v>1.19</v>
      </c>
      <c r="V1567" s="1">
        <v>4858.3999999999996</v>
      </c>
      <c r="W1567" s="1">
        <v>32213.599999999999</v>
      </c>
      <c r="X1567" s="1">
        <v>604.02</v>
      </c>
      <c r="Y1567" s="1">
        <v>1911</v>
      </c>
      <c r="Z1567" s="1">
        <v>152566.9</v>
      </c>
      <c r="AA1567" s="1">
        <v>31.27</v>
      </c>
      <c r="AB1567" s="1">
        <v>8000</v>
      </c>
    </row>
    <row r="1568" spans="1:28" x14ac:dyDescent="0.4">
      <c r="A1568" s="1" t="s">
        <v>518</v>
      </c>
      <c r="B1568" s="1">
        <v>8000</v>
      </c>
      <c r="C1568" s="1">
        <v>0.3</v>
      </c>
      <c r="D1568" s="1">
        <v>0.5</v>
      </c>
      <c r="E1568" s="1">
        <v>500</v>
      </c>
      <c r="F1568" s="1">
        <v>2</v>
      </c>
      <c r="G1568" s="1">
        <v>2</v>
      </c>
      <c r="H1568" s="1" t="s">
        <v>592</v>
      </c>
      <c r="I1568" s="1">
        <v>226878.6</v>
      </c>
      <c r="J1568" s="1">
        <v>84179.7</v>
      </c>
      <c r="K1568" s="1">
        <v>142698.9</v>
      </c>
      <c r="L1568" s="1">
        <v>2400</v>
      </c>
      <c r="M1568" s="1">
        <v>602.96</v>
      </c>
      <c r="N1568" s="1">
        <v>49389.2</v>
      </c>
      <c r="O1568" s="1">
        <v>78366.2</v>
      </c>
      <c r="P1568" s="1">
        <v>127755.4</v>
      </c>
      <c r="Q1568" s="1">
        <v>25661.1</v>
      </c>
      <c r="R1568" s="1">
        <v>4527.1000000000004</v>
      </c>
      <c r="S1568" s="1">
        <v>30188.2</v>
      </c>
      <c r="T1568" s="1">
        <v>30.38</v>
      </c>
      <c r="U1568" s="1">
        <v>0.85</v>
      </c>
      <c r="V1568" s="1">
        <v>4492.1000000000004</v>
      </c>
      <c r="W1568" s="1">
        <v>30153.200000000001</v>
      </c>
      <c r="X1568" s="1">
        <v>603.80999999999995</v>
      </c>
      <c r="Y1568" s="1">
        <v>1771</v>
      </c>
      <c r="Z1568" s="1">
        <v>157908.6</v>
      </c>
      <c r="AA1568" s="1">
        <v>30.4</v>
      </c>
      <c r="AB1568" s="1">
        <v>8000</v>
      </c>
    </row>
    <row r="1569" spans="1:28" x14ac:dyDescent="0.4">
      <c r="A1569" s="1" t="s">
        <v>519</v>
      </c>
      <c r="B1569" s="1">
        <v>8000</v>
      </c>
      <c r="C1569" s="1">
        <v>0.3</v>
      </c>
      <c r="D1569" s="1">
        <v>0.5</v>
      </c>
      <c r="E1569" s="1">
        <v>500</v>
      </c>
      <c r="F1569" s="1">
        <v>2</v>
      </c>
      <c r="G1569" s="1">
        <v>3</v>
      </c>
      <c r="H1569" s="1" t="s">
        <v>592</v>
      </c>
      <c r="I1569" s="1">
        <v>225127.8</v>
      </c>
      <c r="J1569" s="1">
        <v>86872.8</v>
      </c>
      <c r="K1569" s="1">
        <v>138255</v>
      </c>
      <c r="L1569" s="1">
        <v>2400</v>
      </c>
      <c r="M1569" s="1">
        <v>603.55999999999995</v>
      </c>
      <c r="N1569" s="1">
        <v>48388.6</v>
      </c>
      <c r="O1569" s="1">
        <v>70805.8</v>
      </c>
      <c r="P1569" s="1">
        <v>119194.4</v>
      </c>
      <c r="Q1569" s="1">
        <v>27613.4</v>
      </c>
      <c r="R1569" s="1">
        <v>5406.5</v>
      </c>
      <c r="S1569" s="1">
        <v>33019.9</v>
      </c>
      <c r="T1569" s="1">
        <v>32.39</v>
      </c>
      <c r="U1569" s="1">
        <v>1.2</v>
      </c>
      <c r="V1569" s="1">
        <v>5377.8</v>
      </c>
      <c r="W1569" s="1">
        <v>32991.199999999997</v>
      </c>
      <c r="X1569" s="1">
        <v>604.76</v>
      </c>
      <c r="Y1569" s="1">
        <v>2072</v>
      </c>
      <c r="Z1569" s="1">
        <v>152185.60000000001</v>
      </c>
      <c r="AA1569" s="1">
        <v>32.4</v>
      </c>
      <c r="AB1569" s="1">
        <v>8000</v>
      </c>
    </row>
    <row r="1570" spans="1:28" x14ac:dyDescent="0.4">
      <c r="A1570" s="1" t="s">
        <v>520</v>
      </c>
      <c r="B1570" s="1">
        <v>8000</v>
      </c>
      <c r="C1570" s="1">
        <v>0.3</v>
      </c>
      <c r="D1570" s="1">
        <v>0.5</v>
      </c>
      <c r="E1570" s="1">
        <v>500</v>
      </c>
      <c r="F1570" s="1">
        <v>2</v>
      </c>
      <c r="G1570" s="1">
        <v>4</v>
      </c>
      <c r="H1570" s="1" t="s">
        <v>592</v>
      </c>
      <c r="I1570" s="1">
        <v>219934.7</v>
      </c>
      <c r="J1570" s="1">
        <v>80894.3</v>
      </c>
      <c r="K1570" s="1">
        <v>139040.4</v>
      </c>
      <c r="L1570" s="1">
        <v>2400</v>
      </c>
      <c r="M1570" s="1">
        <v>600.01</v>
      </c>
      <c r="N1570" s="1">
        <v>46690.6</v>
      </c>
      <c r="O1570" s="1">
        <v>75850.399999999994</v>
      </c>
      <c r="P1570" s="1">
        <v>122541</v>
      </c>
      <c r="Q1570" s="1">
        <v>25388.5</v>
      </c>
      <c r="R1570" s="1">
        <v>4796.5</v>
      </c>
      <c r="S1570" s="1">
        <v>30185</v>
      </c>
      <c r="T1570" s="1">
        <v>30.56</v>
      </c>
      <c r="U1570" s="1">
        <v>0.98</v>
      </c>
      <c r="V1570" s="1">
        <v>4775</v>
      </c>
      <c r="W1570" s="1">
        <v>30163.5</v>
      </c>
      <c r="X1570" s="1">
        <v>600.99</v>
      </c>
      <c r="Y1570" s="1">
        <v>1657</v>
      </c>
      <c r="Z1570" s="1">
        <v>152704.5</v>
      </c>
      <c r="AA1570" s="1">
        <v>30.57</v>
      </c>
      <c r="AB1570" s="1">
        <v>8000</v>
      </c>
    </row>
    <row r="1571" spans="1:28" x14ac:dyDescent="0.4">
      <c r="A1571" s="1" t="s">
        <v>521</v>
      </c>
      <c r="B1571" s="1">
        <v>8000</v>
      </c>
      <c r="C1571" s="1">
        <v>0.3</v>
      </c>
      <c r="D1571" s="1">
        <v>0.5</v>
      </c>
      <c r="E1571" s="1">
        <v>500</v>
      </c>
      <c r="F1571" s="1">
        <v>2</v>
      </c>
      <c r="G1571" s="1">
        <v>5</v>
      </c>
      <c r="H1571" s="1" t="s">
        <v>592</v>
      </c>
      <c r="I1571" s="1">
        <v>232193.7</v>
      </c>
      <c r="J1571" s="1">
        <v>89018.4</v>
      </c>
      <c r="K1571" s="1">
        <v>143175.29999999999</v>
      </c>
      <c r="L1571" s="1">
        <v>2400</v>
      </c>
      <c r="M1571" s="1">
        <v>600.01</v>
      </c>
      <c r="N1571" s="1">
        <v>49063.6</v>
      </c>
      <c r="O1571" s="1">
        <v>74657.5</v>
      </c>
      <c r="P1571" s="1">
        <v>123721.1</v>
      </c>
      <c r="Q1571" s="1">
        <v>28007.7</v>
      </c>
      <c r="R1571" s="1">
        <v>5178.6000000000004</v>
      </c>
      <c r="S1571" s="1">
        <v>33186.300000000003</v>
      </c>
      <c r="T1571" s="1">
        <v>32.42</v>
      </c>
      <c r="U1571" s="1">
        <v>1.21</v>
      </c>
      <c r="V1571" s="1">
        <v>5158.2</v>
      </c>
      <c r="W1571" s="1">
        <v>33165.9</v>
      </c>
      <c r="X1571" s="1">
        <v>601.22</v>
      </c>
      <c r="Y1571" s="1">
        <v>2007</v>
      </c>
      <c r="Z1571" s="1">
        <v>156887</v>
      </c>
      <c r="AA1571" s="1">
        <v>32.43</v>
      </c>
      <c r="AB1571" s="1">
        <v>8000</v>
      </c>
    </row>
    <row r="1572" spans="1:28" x14ac:dyDescent="0.4">
      <c r="A1572" s="1" t="s">
        <v>522</v>
      </c>
      <c r="B1572" s="1">
        <v>8000</v>
      </c>
      <c r="C1572" s="1">
        <v>0.3</v>
      </c>
      <c r="D1572" s="1">
        <v>0.5</v>
      </c>
      <c r="E1572" s="1">
        <v>500</v>
      </c>
      <c r="F1572" s="1">
        <v>3</v>
      </c>
      <c r="G1572" s="1">
        <v>1</v>
      </c>
      <c r="H1572" s="1" t="s">
        <v>592</v>
      </c>
      <c r="I1572" s="1">
        <v>286207.8</v>
      </c>
      <c r="J1572" s="1">
        <v>103330.3</v>
      </c>
      <c r="K1572" s="1">
        <v>182877.5</v>
      </c>
      <c r="L1572" s="1">
        <v>2400</v>
      </c>
      <c r="M1572" s="1">
        <v>603.04</v>
      </c>
      <c r="N1572" s="1">
        <v>57350.5</v>
      </c>
      <c r="O1572" s="1">
        <v>98500</v>
      </c>
      <c r="P1572" s="1">
        <v>155850.5</v>
      </c>
      <c r="Q1572" s="1">
        <v>29889.599999999999</v>
      </c>
      <c r="R1572" s="1">
        <v>6744</v>
      </c>
      <c r="S1572" s="1">
        <v>36633.599999999999</v>
      </c>
      <c r="T1572" s="1">
        <v>32.75</v>
      </c>
      <c r="U1572" s="1">
        <v>1.32</v>
      </c>
      <c r="V1572" s="1">
        <v>6646.6</v>
      </c>
      <c r="W1572" s="1">
        <v>36536.199999999997</v>
      </c>
      <c r="X1572" s="1">
        <v>604.36</v>
      </c>
      <c r="Y1572" s="1">
        <v>2087</v>
      </c>
      <c r="Z1572" s="1">
        <v>192386.7</v>
      </c>
      <c r="AA1572" s="1">
        <v>32.78</v>
      </c>
      <c r="AB1572" s="1">
        <v>8000</v>
      </c>
    </row>
    <row r="1573" spans="1:28" x14ac:dyDescent="0.4">
      <c r="A1573" s="1" t="s">
        <v>523</v>
      </c>
      <c r="B1573" s="1">
        <v>8000</v>
      </c>
      <c r="C1573" s="1">
        <v>0.3</v>
      </c>
      <c r="D1573" s="1">
        <v>0.5</v>
      </c>
      <c r="E1573" s="1">
        <v>500</v>
      </c>
      <c r="F1573" s="1">
        <v>3</v>
      </c>
      <c r="G1573" s="1">
        <v>2</v>
      </c>
      <c r="H1573" s="1" t="s">
        <v>592</v>
      </c>
      <c r="I1573" s="1">
        <v>292783.7</v>
      </c>
      <c r="J1573" s="1">
        <v>109648.3</v>
      </c>
      <c r="K1573" s="1">
        <v>183135.4</v>
      </c>
      <c r="L1573" s="1">
        <v>2400</v>
      </c>
      <c r="M1573" s="1">
        <v>603.41</v>
      </c>
      <c r="N1573" s="1">
        <v>60091.7</v>
      </c>
      <c r="O1573" s="1">
        <v>100381.5</v>
      </c>
      <c r="P1573" s="1">
        <v>160473.20000000001</v>
      </c>
      <c r="Q1573" s="1">
        <v>30209.7</v>
      </c>
      <c r="R1573" s="1">
        <v>6961.5</v>
      </c>
      <c r="S1573" s="1">
        <v>37171.199999999997</v>
      </c>
      <c r="T1573" s="1">
        <v>32.49</v>
      </c>
      <c r="U1573" s="1">
        <v>1.25</v>
      </c>
      <c r="V1573" s="1">
        <v>6852.5</v>
      </c>
      <c r="W1573" s="1">
        <v>37062.199999999997</v>
      </c>
      <c r="X1573" s="1">
        <v>604.65</v>
      </c>
      <c r="Y1573" s="1">
        <v>2115</v>
      </c>
      <c r="Z1573" s="1">
        <v>197535.4</v>
      </c>
      <c r="AA1573" s="1">
        <v>32.53</v>
      </c>
      <c r="AB1573" s="1">
        <v>8000</v>
      </c>
    </row>
    <row r="1574" spans="1:28" x14ac:dyDescent="0.4">
      <c r="A1574" s="1" t="s">
        <v>524</v>
      </c>
      <c r="B1574" s="1">
        <v>8000</v>
      </c>
      <c r="C1574" s="1">
        <v>0.3</v>
      </c>
      <c r="D1574" s="1">
        <v>0.5</v>
      </c>
      <c r="E1574" s="1">
        <v>500</v>
      </c>
      <c r="F1574" s="1">
        <v>3</v>
      </c>
      <c r="G1574" s="1">
        <v>3</v>
      </c>
      <c r="H1574" s="1" t="s">
        <v>592</v>
      </c>
      <c r="I1574" s="1">
        <v>279304.09999999998</v>
      </c>
      <c r="J1574" s="1">
        <v>97293.7</v>
      </c>
      <c r="K1574" s="1">
        <v>182010.4</v>
      </c>
      <c r="L1574" s="1">
        <v>2400</v>
      </c>
      <c r="M1574" s="1">
        <v>602.54999999999995</v>
      </c>
      <c r="N1574" s="1">
        <v>53293.599999999999</v>
      </c>
      <c r="O1574" s="1">
        <v>95503.3</v>
      </c>
      <c r="P1574" s="1">
        <v>148796.9</v>
      </c>
      <c r="Q1574" s="1">
        <v>31620.2</v>
      </c>
      <c r="R1574" s="1">
        <v>5961.4</v>
      </c>
      <c r="S1574" s="1">
        <v>37581.599999999999</v>
      </c>
      <c r="T1574" s="1">
        <v>33.270000000000003</v>
      </c>
      <c r="U1574" s="1">
        <v>1.44</v>
      </c>
      <c r="V1574" s="1">
        <v>5923.5</v>
      </c>
      <c r="W1574" s="1">
        <v>37543.699999999997</v>
      </c>
      <c r="X1574" s="1">
        <v>604</v>
      </c>
      <c r="Y1574" s="1">
        <v>2329</v>
      </c>
      <c r="Z1574" s="1">
        <v>186340.6</v>
      </c>
      <c r="AA1574" s="1">
        <v>33.28</v>
      </c>
      <c r="AB1574" s="1">
        <v>8000</v>
      </c>
    </row>
    <row r="1575" spans="1:28" x14ac:dyDescent="0.4">
      <c r="A1575" s="1" t="s">
        <v>525</v>
      </c>
      <c r="B1575" s="1">
        <v>8000</v>
      </c>
      <c r="C1575" s="1">
        <v>0.3</v>
      </c>
      <c r="D1575" s="1">
        <v>0.5</v>
      </c>
      <c r="E1575" s="1">
        <v>500</v>
      </c>
      <c r="F1575" s="1">
        <v>3</v>
      </c>
      <c r="G1575" s="1">
        <v>4</v>
      </c>
      <c r="H1575" s="1" t="s">
        <v>592</v>
      </c>
      <c r="I1575" s="1">
        <v>288972.40000000002</v>
      </c>
      <c r="J1575" s="1">
        <v>109882.8</v>
      </c>
      <c r="K1575" s="1">
        <v>179089.6</v>
      </c>
      <c r="L1575" s="1">
        <v>2400</v>
      </c>
      <c r="M1575" s="1">
        <v>604.13</v>
      </c>
      <c r="N1575" s="1">
        <v>58488.2</v>
      </c>
      <c r="O1575" s="1">
        <v>92697</v>
      </c>
      <c r="P1575" s="1">
        <v>151185.20000000001</v>
      </c>
      <c r="Q1575" s="1">
        <v>32500.400000000001</v>
      </c>
      <c r="R1575" s="1">
        <v>6984.4</v>
      </c>
      <c r="S1575" s="1">
        <v>39484.800000000003</v>
      </c>
      <c r="T1575" s="1">
        <v>34.020000000000003</v>
      </c>
      <c r="U1575" s="1">
        <v>1.59</v>
      </c>
      <c r="V1575" s="1">
        <v>6947.9</v>
      </c>
      <c r="W1575" s="1">
        <v>39448.300000000003</v>
      </c>
      <c r="X1575" s="1">
        <v>605.71</v>
      </c>
      <c r="Y1575" s="1">
        <v>2287</v>
      </c>
      <c r="Z1575" s="1">
        <v>190633.5</v>
      </c>
      <c r="AA1575" s="1">
        <v>34.03</v>
      </c>
      <c r="AB1575" s="1">
        <v>8000</v>
      </c>
    </row>
    <row r="1576" spans="1:28" x14ac:dyDescent="0.4">
      <c r="A1576" s="1" t="s">
        <v>526</v>
      </c>
      <c r="B1576" s="1">
        <v>8000</v>
      </c>
      <c r="C1576" s="1">
        <v>0.3</v>
      </c>
      <c r="D1576" s="1">
        <v>0.5</v>
      </c>
      <c r="E1576" s="1">
        <v>500</v>
      </c>
      <c r="F1576" s="1">
        <v>3</v>
      </c>
      <c r="G1576" s="1">
        <v>5</v>
      </c>
      <c r="H1576" s="1" t="s">
        <v>592</v>
      </c>
      <c r="I1576" s="1">
        <v>289757</v>
      </c>
      <c r="J1576" s="1">
        <v>106708</v>
      </c>
      <c r="K1576" s="1">
        <v>183049</v>
      </c>
      <c r="L1576" s="1">
        <v>2400</v>
      </c>
      <c r="M1576" s="1">
        <v>601.91</v>
      </c>
      <c r="N1576" s="1">
        <v>58446.400000000001</v>
      </c>
      <c r="O1576" s="1">
        <v>97607.3</v>
      </c>
      <c r="P1576" s="1">
        <v>156053.70000000001</v>
      </c>
      <c r="Q1576" s="1">
        <v>31138.9</v>
      </c>
      <c r="R1576" s="1">
        <v>6703.4</v>
      </c>
      <c r="S1576" s="1">
        <v>37842.300000000003</v>
      </c>
      <c r="T1576" s="1">
        <v>33.08</v>
      </c>
      <c r="U1576" s="1">
        <v>1.51</v>
      </c>
      <c r="V1576" s="1">
        <v>6653.4</v>
      </c>
      <c r="W1576" s="1">
        <v>37792.300000000003</v>
      </c>
      <c r="X1576" s="1">
        <v>603.41999999999996</v>
      </c>
      <c r="Y1576" s="1">
        <v>2177</v>
      </c>
      <c r="Z1576" s="1">
        <v>193846</v>
      </c>
      <c r="AA1576" s="1">
        <v>33.1</v>
      </c>
      <c r="AB1576" s="1">
        <v>8000</v>
      </c>
    </row>
    <row r="1577" spans="1:28" x14ac:dyDescent="0.4">
      <c r="A1577" s="1" t="s">
        <v>135</v>
      </c>
      <c r="B1577" s="1">
        <v>8000</v>
      </c>
      <c r="C1577" s="1">
        <v>0.4</v>
      </c>
      <c r="D1577" s="1">
        <v>0.5</v>
      </c>
      <c r="E1577" s="1">
        <v>1000</v>
      </c>
      <c r="F1577" s="1">
        <v>1</v>
      </c>
      <c r="G1577" s="1">
        <v>1</v>
      </c>
      <c r="H1577" s="1" t="s">
        <v>592</v>
      </c>
      <c r="I1577" s="1">
        <v>278509.5</v>
      </c>
      <c r="J1577" s="1">
        <v>112049.60000000001</v>
      </c>
      <c r="K1577" s="1">
        <v>166459.9</v>
      </c>
      <c r="L1577" s="1">
        <v>2400</v>
      </c>
      <c r="M1577" s="1">
        <v>602.57000000000005</v>
      </c>
      <c r="N1577" s="1">
        <v>61694.1</v>
      </c>
      <c r="O1577" s="1">
        <v>87711.7</v>
      </c>
      <c r="P1577" s="1">
        <v>149405.79999999999</v>
      </c>
      <c r="Q1577" s="1">
        <v>38900.6</v>
      </c>
      <c r="R1577" s="1">
        <v>10077.700000000001</v>
      </c>
      <c r="S1577" s="1">
        <v>48978.3</v>
      </c>
      <c r="T1577" s="1">
        <v>28.77</v>
      </c>
      <c r="U1577" s="1">
        <v>1.4</v>
      </c>
      <c r="V1577" s="1">
        <v>10051.9</v>
      </c>
      <c r="W1577" s="1">
        <v>48952.5</v>
      </c>
      <c r="X1577" s="1">
        <v>603.97</v>
      </c>
      <c r="Y1577" s="1">
        <v>2062</v>
      </c>
      <c r="Z1577" s="1">
        <v>198358.3</v>
      </c>
      <c r="AA1577" s="1">
        <v>28.78</v>
      </c>
      <c r="AB1577" s="1">
        <v>8000</v>
      </c>
    </row>
    <row r="1578" spans="1:28" x14ac:dyDescent="0.4">
      <c r="A1578" s="1" t="s">
        <v>136</v>
      </c>
      <c r="B1578" s="1">
        <v>8000</v>
      </c>
      <c r="C1578" s="1">
        <v>0.4</v>
      </c>
      <c r="D1578" s="1">
        <v>0.5</v>
      </c>
      <c r="E1578" s="1">
        <v>1000</v>
      </c>
      <c r="F1578" s="1">
        <v>1</v>
      </c>
      <c r="G1578" s="1">
        <v>2</v>
      </c>
      <c r="H1578" s="1" t="s">
        <v>592</v>
      </c>
      <c r="I1578" s="1">
        <v>283492.90000000002</v>
      </c>
      <c r="J1578" s="1">
        <v>109140.8</v>
      </c>
      <c r="K1578" s="1">
        <v>174352.1</v>
      </c>
      <c r="L1578" s="1">
        <v>2400</v>
      </c>
      <c r="M1578" s="1">
        <v>600</v>
      </c>
      <c r="N1578" s="1">
        <v>60501.4</v>
      </c>
      <c r="O1578" s="1">
        <v>91520.3</v>
      </c>
      <c r="P1578" s="1">
        <v>152021.70000000001</v>
      </c>
      <c r="Q1578" s="1">
        <v>39784.300000000003</v>
      </c>
      <c r="R1578" s="1">
        <v>10048.1</v>
      </c>
      <c r="S1578" s="1">
        <v>49832.4</v>
      </c>
      <c r="T1578" s="1">
        <v>28.8</v>
      </c>
      <c r="U1578" s="1">
        <v>1.59</v>
      </c>
      <c r="V1578" s="1">
        <v>10031.5</v>
      </c>
      <c r="W1578" s="1">
        <v>49815.8</v>
      </c>
      <c r="X1578" s="1">
        <v>601.6</v>
      </c>
      <c r="Y1578" s="1">
        <v>2102</v>
      </c>
      <c r="Z1578" s="1">
        <v>201837.5</v>
      </c>
      <c r="AA1578" s="1">
        <v>28.8</v>
      </c>
      <c r="AB1578" s="1">
        <v>8000</v>
      </c>
    </row>
    <row r="1579" spans="1:28" x14ac:dyDescent="0.4">
      <c r="A1579" s="1" t="s">
        <v>137</v>
      </c>
      <c r="B1579" s="1">
        <v>8000</v>
      </c>
      <c r="C1579" s="1">
        <v>0.4</v>
      </c>
      <c r="D1579" s="1">
        <v>0.5</v>
      </c>
      <c r="E1579" s="1">
        <v>1000</v>
      </c>
      <c r="F1579" s="1">
        <v>1</v>
      </c>
      <c r="G1579" s="1">
        <v>3</v>
      </c>
      <c r="H1579" s="1" t="s">
        <v>592</v>
      </c>
      <c r="I1579" s="1">
        <v>288322.90000000002</v>
      </c>
      <c r="J1579" s="1">
        <v>112088.6</v>
      </c>
      <c r="K1579" s="1">
        <v>176234.3</v>
      </c>
      <c r="L1579" s="1">
        <v>2400</v>
      </c>
      <c r="M1579" s="1">
        <v>603.17999999999995</v>
      </c>
      <c r="N1579" s="1">
        <v>62673</v>
      </c>
      <c r="O1579" s="1">
        <v>90679</v>
      </c>
      <c r="P1579" s="1">
        <v>153352</v>
      </c>
      <c r="Q1579" s="1">
        <v>39470.5</v>
      </c>
      <c r="R1579" s="1">
        <v>10686.9</v>
      </c>
      <c r="S1579" s="1">
        <v>50157.4</v>
      </c>
      <c r="T1579" s="1">
        <v>29.42</v>
      </c>
      <c r="U1579" s="1">
        <v>1.89</v>
      </c>
      <c r="V1579" s="1">
        <v>10660.5</v>
      </c>
      <c r="W1579" s="1">
        <v>50131</v>
      </c>
      <c r="X1579" s="1">
        <v>605.05999999999995</v>
      </c>
      <c r="Y1579" s="1">
        <v>2080</v>
      </c>
      <c r="Z1579" s="1">
        <v>203483</v>
      </c>
      <c r="AA1579" s="1">
        <v>29.43</v>
      </c>
      <c r="AB1579" s="1">
        <v>8000</v>
      </c>
    </row>
    <row r="1580" spans="1:28" x14ac:dyDescent="0.4">
      <c r="A1580" s="1" t="s">
        <v>138</v>
      </c>
      <c r="B1580" s="1">
        <v>8000</v>
      </c>
      <c r="C1580" s="1">
        <v>0.4</v>
      </c>
      <c r="D1580" s="1">
        <v>0.5</v>
      </c>
      <c r="E1580" s="1">
        <v>1000</v>
      </c>
      <c r="F1580" s="1">
        <v>1</v>
      </c>
      <c r="G1580" s="1">
        <v>4</v>
      </c>
      <c r="H1580" s="1" t="s">
        <v>592</v>
      </c>
      <c r="I1580" s="1">
        <v>273858.09999999998</v>
      </c>
      <c r="J1580" s="1">
        <v>109017.3</v>
      </c>
      <c r="K1580" s="1">
        <v>164840.79999999999</v>
      </c>
      <c r="L1580" s="1">
        <v>2400</v>
      </c>
      <c r="M1580" s="1">
        <v>602.69000000000005</v>
      </c>
      <c r="N1580" s="1">
        <v>61598.2</v>
      </c>
      <c r="O1580" s="1">
        <v>86854.7</v>
      </c>
      <c r="P1580" s="1">
        <v>148452.9</v>
      </c>
      <c r="Q1580" s="1">
        <v>39299.199999999997</v>
      </c>
      <c r="R1580" s="1">
        <v>10629.5</v>
      </c>
      <c r="S1580" s="1">
        <v>49928.7</v>
      </c>
      <c r="T1580" s="1">
        <v>27.56</v>
      </c>
      <c r="U1580" s="1">
        <v>1.43</v>
      </c>
      <c r="V1580" s="1">
        <v>10611.7</v>
      </c>
      <c r="W1580" s="1">
        <v>49910.9</v>
      </c>
      <c r="X1580" s="1">
        <v>604.13</v>
      </c>
      <c r="Y1580" s="1">
        <v>2118</v>
      </c>
      <c r="Z1580" s="1">
        <v>198363.8</v>
      </c>
      <c r="AA1580" s="1">
        <v>27.57</v>
      </c>
      <c r="AB1580" s="1">
        <v>8000</v>
      </c>
    </row>
    <row r="1581" spans="1:28" x14ac:dyDescent="0.4">
      <c r="A1581" s="1" t="s">
        <v>139</v>
      </c>
      <c r="B1581" s="1">
        <v>8000</v>
      </c>
      <c r="C1581" s="1">
        <v>0.4</v>
      </c>
      <c r="D1581" s="1">
        <v>0.5</v>
      </c>
      <c r="E1581" s="1">
        <v>1000</v>
      </c>
      <c r="F1581" s="1">
        <v>1</v>
      </c>
      <c r="G1581" s="1">
        <v>5</v>
      </c>
      <c r="H1581" s="1" t="s">
        <v>592</v>
      </c>
      <c r="I1581" s="1">
        <v>283949.09999999998</v>
      </c>
      <c r="J1581" s="1">
        <v>113617.60000000001</v>
      </c>
      <c r="K1581" s="1">
        <v>170331.5</v>
      </c>
      <c r="L1581" s="1">
        <v>2400</v>
      </c>
      <c r="M1581" s="1">
        <v>602.48</v>
      </c>
      <c r="N1581" s="1">
        <v>64057.2</v>
      </c>
      <c r="O1581" s="1">
        <v>90491.3</v>
      </c>
      <c r="P1581" s="1">
        <v>154548.5</v>
      </c>
      <c r="Q1581" s="1">
        <v>38093.9</v>
      </c>
      <c r="R1581" s="1">
        <v>10156.4</v>
      </c>
      <c r="S1581" s="1">
        <v>48250.3</v>
      </c>
      <c r="T1581" s="1">
        <v>28.58</v>
      </c>
      <c r="U1581" s="1">
        <v>1.22</v>
      </c>
      <c r="V1581" s="1">
        <v>10117.9</v>
      </c>
      <c r="W1581" s="1">
        <v>48211.8</v>
      </c>
      <c r="X1581" s="1">
        <v>603.70000000000005</v>
      </c>
      <c r="Y1581" s="1">
        <v>1978</v>
      </c>
      <c r="Z1581" s="1">
        <v>202760.3</v>
      </c>
      <c r="AA1581" s="1">
        <v>28.59</v>
      </c>
      <c r="AB1581" s="1">
        <v>8000</v>
      </c>
    </row>
    <row r="1582" spans="1:28" x14ac:dyDescent="0.4">
      <c r="A1582" s="1" t="s">
        <v>140</v>
      </c>
      <c r="B1582" s="1">
        <v>8000</v>
      </c>
      <c r="C1582" s="1">
        <v>0.4</v>
      </c>
      <c r="D1582" s="1">
        <v>0.5</v>
      </c>
      <c r="E1582" s="1">
        <v>1000</v>
      </c>
      <c r="F1582" s="1">
        <v>2</v>
      </c>
      <c r="G1582" s="1">
        <v>1</v>
      </c>
      <c r="H1582" s="1" t="s">
        <v>592</v>
      </c>
      <c r="I1582" s="1">
        <v>435805.3</v>
      </c>
      <c r="J1582" s="1">
        <v>168093.4</v>
      </c>
      <c r="K1582" s="1">
        <v>267711.90000000002</v>
      </c>
      <c r="L1582" s="1">
        <v>2400</v>
      </c>
      <c r="M1582" s="1">
        <v>604.76</v>
      </c>
      <c r="N1582" s="1">
        <v>90414.399999999994</v>
      </c>
      <c r="O1582" s="1">
        <v>130781.9</v>
      </c>
      <c r="P1582" s="1">
        <v>221196.3</v>
      </c>
      <c r="Q1582" s="1">
        <v>44024.4</v>
      </c>
      <c r="R1582" s="1">
        <v>14408.4</v>
      </c>
      <c r="S1582" s="1">
        <v>58432.800000000003</v>
      </c>
      <c r="T1582" s="1">
        <v>35.840000000000003</v>
      </c>
      <c r="U1582" s="1">
        <v>2.5099999999999998</v>
      </c>
      <c r="V1582" s="1">
        <v>14349.3</v>
      </c>
      <c r="W1582" s="1">
        <v>58373.7</v>
      </c>
      <c r="X1582" s="1">
        <v>607.28</v>
      </c>
      <c r="Y1582" s="1">
        <v>2344</v>
      </c>
      <c r="Z1582" s="1">
        <v>279570</v>
      </c>
      <c r="AA1582" s="1">
        <v>35.85</v>
      </c>
      <c r="AB1582" s="1">
        <v>8000</v>
      </c>
    </row>
    <row r="1583" spans="1:28" x14ac:dyDescent="0.4">
      <c r="A1583" s="1" t="s">
        <v>141</v>
      </c>
      <c r="B1583" s="1">
        <v>8000</v>
      </c>
      <c r="C1583" s="1">
        <v>0.4</v>
      </c>
      <c r="D1583" s="1">
        <v>0.5</v>
      </c>
      <c r="E1583" s="1">
        <v>1000</v>
      </c>
      <c r="F1583" s="1">
        <v>2</v>
      </c>
      <c r="G1583" s="1">
        <v>2</v>
      </c>
      <c r="H1583" s="1" t="s">
        <v>592</v>
      </c>
      <c r="I1583" s="1">
        <v>442496.5</v>
      </c>
      <c r="J1583" s="1">
        <v>166733.79999999999</v>
      </c>
      <c r="K1583" s="1">
        <v>275762.7</v>
      </c>
      <c r="L1583" s="1">
        <v>2400</v>
      </c>
      <c r="M1583" s="1">
        <v>603.42999999999995</v>
      </c>
      <c r="N1583" s="1">
        <v>91126.7</v>
      </c>
      <c r="O1583" s="1">
        <v>137188.5</v>
      </c>
      <c r="P1583" s="1">
        <v>228315.2</v>
      </c>
      <c r="Q1583" s="1">
        <v>42651</v>
      </c>
      <c r="R1583" s="1">
        <v>14286.4</v>
      </c>
      <c r="S1583" s="1">
        <v>56937.4</v>
      </c>
      <c r="T1583" s="1">
        <v>35.54</v>
      </c>
      <c r="U1583" s="1">
        <v>2.21</v>
      </c>
      <c r="V1583" s="1">
        <v>14229.5</v>
      </c>
      <c r="W1583" s="1">
        <v>56880.5</v>
      </c>
      <c r="X1583" s="1">
        <v>605.63</v>
      </c>
      <c r="Y1583" s="1">
        <v>2148</v>
      </c>
      <c r="Z1583" s="1">
        <v>285195.7</v>
      </c>
      <c r="AA1583" s="1">
        <v>35.549999999999997</v>
      </c>
      <c r="AB1583" s="1">
        <v>8000</v>
      </c>
    </row>
    <row r="1584" spans="1:28" x14ac:dyDescent="0.4">
      <c r="A1584" s="1" t="s">
        <v>142</v>
      </c>
      <c r="B1584" s="1">
        <v>8000</v>
      </c>
      <c r="C1584" s="1">
        <v>0.4</v>
      </c>
      <c r="D1584" s="1">
        <v>0.5</v>
      </c>
      <c r="E1584" s="1">
        <v>1000</v>
      </c>
      <c r="F1584" s="1">
        <v>2</v>
      </c>
      <c r="G1584" s="1">
        <v>3</v>
      </c>
      <c r="H1584" s="1" t="s">
        <v>592</v>
      </c>
      <c r="I1584" s="1">
        <v>452037.4</v>
      </c>
      <c r="J1584" s="1">
        <v>182112.7</v>
      </c>
      <c r="K1584" s="1">
        <v>269924.7</v>
      </c>
      <c r="L1584" s="1">
        <v>2400</v>
      </c>
      <c r="M1584" s="1">
        <v>600.02</v>
      </c>
      <c r="N1584" s="1">
        <v>98099.199999999997</v>
      </c>
      <c r="O1584" s="1">
        <v>131984.9</v>
      </c>
      <c r="P1584" s="1">
        <v>230084.1</v>
      </c>
      <c r="Q1584" s="1">
        <v>43497.1</v>
      </c>
      <c r="R1584" s="1">
        <v>14877.2</v>
      </c>
      <c r="S1584" s="1">
        <v>58374.3</v>
      </c>
      <c r="T1584" s="1">
        <v>36.19</v>
      </c>
      <c r="U1584" s="1">
        <v>1.63</v>
      </c>
      <c r="V1584" s="1">
        <v>14841.3</v>
      </c>
      <c r="W1584" s="1">
        <v>58338.400000000001</v>
      </c>
      <c r="X1584" s="1">
        <v>601.65</v>
      </c>
      <c r="Y1584" s="1">
        <v>2103</v>
      </c>
      <c r="Z1584" s="1">
        <v>288422.5</v>
      </c>
      <c r="AA1584" s="1">
        <v>36.19</v>
      </c>
      <c r="AB1584" s="1">
        <v>8000</v>
      </c>
    </row>
    <row r="1585" spans="1:28" x14ac:dyDescent="0.4">
      <c r="A1585" s="1" t="s">
        <v>143</v>
      </c>
      <c r="B1585" s="1">
        <v>8000</v>
      </c>
      <c r="C1585" s="1">
        <v>0.4</v>
      </c>
      <c r="D1585" s="1">
        <v>0.5</v>
      </c>
      <c r="E1585" s="1">
        <v>1000</v>
      </c>
      <c r="F1585" s="1">
        <v>2</v>
      </c>
      <c r="G1585" s="1">
        <v>4</v>
      </c>
      <c r="H1585" s="1" t="s">
        <v>592</v>
      </c>
      <c r="I1585" s="1">
        <v>441614.5</v>
      </c>
      <c r="J1585" s="1">
        <v>169950.8</v>
      </c>
      <c r="K1585" s="1">
        <v>271663.7</v>
      </c>
      <c r="L1585" s="1">
        <v>2400</v>
      </c>
      <c r="M1585" s="1">
        <v>600.03</v>
      </c>
      <c r="N1585" s="1">
        <v>92558.6</v>
      </c>
      <c r="O1585" s="1">
        <v>136032.29999999999</v>
      </c>
      <c r="P1585" s="1">
        <v>228590.9</v>
      </c>
      <c r="Q1585" s="1">
        <v>41720.300000000003</v>
      </c>
      <c r="R1585" s="1">
        <v>14157</v>
      </c>
      <c r="S1585" s="1">
        <v>55877.3</v>
      </c>
      <c r="T1585" s="1">
        <v>35.58</v>
      </c>
      <c r="U1585" s="1">
        <v>1.76</v>
      </c>
      <c r="V1585" s="1">
        <v>14061.6</v>
      </c>
      <c r="W1585" s="1">
        <v>55781.9</v>
      </c>
      <c r="X1585" s="1">
        <v>601.79</v>
      </c>
      <c r="Y1585" s="1">
        <v>2106</v>
      </c>
      <c r="Z1585" s="1">
        <v>284372.8</v>
      </c>
      <c r="AA1585" s="1">
        <v>35.61</v>
      </c>
      <c r="AB1585" s="1">
        <v>8000</v>
      </c>
    </row>
    <row r="1586" spans="1:28" x14ac:dyDescent="0.4">
      <c r="A1586" s="1" t="s">
        <v>144</v>
      </c>
      <c r="B1586" s="1">
        <v>8000</v>
      </c>
      <c r="C1586" s="1">
        <v>0.4</v>
      </c>
      <c r="D1586" s="1">
        <v>0.5</v>
      </c>
      <c r="E1586" s="1">
        <v>1000</v>
      </c>
      <c r="F1586" s="1">
        <v>2</v>
      </c>
      <c r="G1586" s="1">
        <v>5</v>
      </c>
      <c r="H1586" s="1" t="s">
        <v>592</v>
      </c>
      <c r="I1586" s="1">
        <v>456297.9</v>
      </c>
      <c r="J1586" s="1">
        <v>162777.9</v>
      </c>
      <c r="K1586" s="1">
        <v>293520</v>
      </c>
      <c r="L1586" s="1">
        <v>2400</v>
      </c>
      <c r="M1586" s="1">
        <v>600.02</v>
      </c>
      <c r="N1586" s="1">
        <v>88358.5</v>
      </c>
      <c r="O1586" s="1">
        <v>143130.1</v>
      </c>
      <c r="P1586" s="1">
        <v>231488.6</v>
      </c>
      <c r="Q1586" s="1">
        <v>44329.4</v>
      </c>
      <c r="R1586" s="1">
        <v>15534.8</v>
      </c>
      <c r="S1586" s="1">
        <v>59864.2</v>
      </c>
      <c r="T1586" s="1">
        <v>36.15</v>
      </c>
      <c r="U1586" s="1">
        <v>2.72</v>
      </c>
      <c r="V1586" s="1">
        <v>15492.1</v>
      </c>
      <c r="W1586" s="1">
        <v>59821.5</v>
      </c>
      <c r="X1586" s="1">
        <v>602.74</v>
      </c>
      <c r="Y1586" s="1">
        <v>2355</v>
      </c>
      <c r="Z1586" s="1">
        <v>291310.09999999998</v>
      </c>
      <c r="AA1586" s="1">
        <v>36.159999999999997</v>
      </c>
      <c r="AB1586" s="1">
        <v>8000</v>
      </c>
    </row>
    <row r="1587" spans="1:28" x14ac:dyDescent="0.4">
      <c r="A1587" s="1" t="s">
        <v>145</v>
      </c>
      <c r="B1587" s="1">
        <v>8000</v>
      </c>
      <c r="C1587" s="1">
        <v>0.4</v>
      </c>
      <c r="D1587" s="1">
        <v>0.5</v>
      </c>
      <c r="E1587" s="1">
        <v>1000</v>
      </c>
      <c r="F1587" s="1">
        <v>3</v>
      </c>
      <c r="G1587" s="1">
        <v>1</v>
      </c>
      <c r="H1587" s="1" t="s">
        <v>592</v>
      </c>
      <c r="I1587" s="1">
        <v>557435.6</v>
      </c>
      <c r="J1587" s="1">
        <v>222718.9</v>
      </c>
      <c r="K1587" s="1">
        <v>334716.7</v>
      </c>
      <c r="L1587" s="1">
        <v>2400</v>
      </c>
      <c r="M1587" s="1">
        <v>600.01</v>
      </c>
      <c r="N1587" s="1">
        <v>114381.4</v>
      </c>
      <c r="O1587" s="1">
        <v>166491.79999999999</v>
      </c>
      <c r="P1587" s="1">
        <v>280873.2</v>
      </c>
      <c r="Q1587" s="1">
        <v>46225.1</v>
      </c>
      <c r="R1587" s="1">
        <v>18467.8</v>
      </c>
      <c r="S1587" s="1">
        <v>64692.9</v>
      </c>
      <c r="T1587" s="1">
        <v>38.01</v>
      </c>
      <c r="U1587" s="1">
        <v>2.29</v>
      </c>
      <c r="V1587" s="1">
        <v>18396.8</v>
      </c>
      <c r="W1587" s="1">
        <v>64621.9</v>
      </c>
      <c r="X1587" s="1">
        <v>602.29999999999995</v>
      </c>
      <c r="Y1587" s="1">
        <v>2220</v>
      </c>
      <c r="Z1587" s="1">
        <v>345495.1</v>
      </c>
      <c r="AA1587" s="1">
        <v>38.020000000000003</v>
      </c>
      <c r="AB1587" s="1">
        <v>8000</v>
      </c>
    </row>
    <row r="1588" spans="1:28" x14ac:dyDescent="0.4">
      <c r="A1588" s="1" t="s">
        <v>146</v>
      </c>
      <c r="B1588" s="1">
        <v>8000</v>
      </c>
      <c r="C1588" s="1">
        <v>0.4</v>
      </c>
      <c r="D1588" s="1">
        <v>0.5</v>
      </c>
      <c r="E1588" s="1">
        <v>1000</v>
      </c>
      <c r="F1588" s="1">
        <v>3</v>
      </c>
      <c r="G1588" s="1">
        <v>2</v>
      </c>
      <c r="H1588" s="1" t="s">
        <v>592</v>
      </c>
      <c r="I1588" s="1">
        <v>581757.6</v>
      </c>
      <c r="J1588" s="1">
        <v>227255.3</v>
      </c>
      <c r="K1588" s="1">
        <v>354502.3</v>
      </c>
      <c r="L1588" s="1">
        <v>2400</v>
      </c>
      <c r="M1588" s="1">
        <v>604.17999999999995</v>
      </c>
      <c r="N1588" s="1">
        <v>117551.6</v>
      </c>
      <c r="O1588" s="1">
        <v>173527.7</v>
      </c>
      <c r="P1588" s="1">
        <v>291079.3</v>
      </c>
      <c r="Q1588" s="1">
        <v>44999.4</v>
      </c>
      <c r="R1588" s="1">
        <v>18892.7</v>
      </c>
      <c r="S1588" s="1">
        <v>63892.1</v>
      </c>
      <c r="T1588" s="1">
        <v>38.979999999999997</v>
      </c>
      <c r="U1588" s="1">
        <v>2.11</v>
      </c>
      <c r="V1588" s="1">
        <v>18752</v>
      </c>
      <c r="W1588" s="1">
        <v>63751.4</v>
      </c>
      <c r="X1588" s="1">
        <v>606.29</v>
      </c>
      <c r="Y1588" s="1">
        <v>2190</v>
      </c>
      <c r="Z1588" s="1">
        <v>354830.7</v>
      </c>
      <c r="AA1588" s="1">
        <v>39.01</v>
      </c>
      <c r="AB1588" s="1">
        <v>8000</v>
      </c>
    </row>
    <row r="1589" spans="1:28" x14ac:dyDescent="0.4">
      <c r="A1589" s="1" t="s">
        <v>147</v>
      </c>
      <c r="B1589" s="1">
        <v>8000</v>
      </c>
      <c r="C1589" s="1">
        <v>0.4</v>
      </c>
      <c r="D1589" s="1">
        <v>0.5</v>
      </c>
      <c r="E1589" s="1">
        <v>1000</v>
      </c>
      <c r="F1589" s="1">
        <v>3</v>
      </c>
      <c r="G1589" s="1">
        <v>3</v>
      </c>
      <c r="H1589" s="1" t="s">
        <v>592</v>
      </c>
      <c r="I1589" s="1">
        <v>567769.5</v>
      </c>
      <c r="J1589" s="1">
        <v>226650.8</v>
      </c>
      <c r="K1589" s="1">
        <v>341118.7</v>
      </c>
      <c r="L1589" s="1">
        <v>2400</v>
      </c>
      <c r="M1589" s="1">
        <v>604.58000000000004</v>
      </c>
      <c r="N1589" s="1">
        <v>116420.7</v>
      </c>
      <c r="O1589" s="1">
        <v>169086.4</v>
      </c>
      <c r="P1589" s="1">
        <v>285507.09999999998</v>
      </c>
      <c r="Q1589" s="1">
        <v>46174.1</v>
      </c>
      <c r="R1589" s="1">
        <v>18406.599999999999</v>
      </c>
      <c r="S1589" s="1">
        <v>64580.7</v>
      </c>
      <c r="T1589" s="1">
        <v>38.340000000000003</v>
      </c>
      <c r="U1589" s="1">
        <v>1.76</v>
      </c>
      <c r="V1589" s="1">
        <v>18352.099999999999</v>
      </c>
      <c r="W1589" s="1">
        <v>64526.2</v>
      </c>
      <c r="X1589" s="1">
        <v>606.34</v>
      </c>
      <c r="Y1589" s="1">
        <v>2171</v>
      </c>
      <c r="Z1589" s="1">
        <v>350033.3</v>
      </c>
      <c r="AA1589" s="1">
        <v>38.35</v>
      </c>
      <c r="AB1589" s="1">
        <v>8000</v>
      </c>
    </row>
    <row r="1590" spans="1:28" x14ac:dyDescent="0.4">
      <c r="A1590" s="1" t="s">
        <v>148</v>
      </c>
      <c r="B1590" s="1">
        <v>8000</v>
      </c>
      <c r="C1590" s="1">
        <v>0.4</v>
      </c>
      <c r="D1590" s="1">
        <v>0.5</v>
      </c>
      <c r="E1590" s="1">
        <v>1000</v>
      </c>
      <c r="F1590" s="1">
        <v>3</v>
      </c>
      <c r="G1590" s="1">
        <v>4</v>
      </c>
      <c r="H1590" s="1" t="s">
        <v>592</v>
      </c>
      <c r="I1590" s="1">
        <v>578695.1</v>
      </c>
      <c r="J1590" s="1">
        <v>220248.4</v>
      </c>
      <c r="K1590" s="1">
        <v>358446.7</v>
      </c>
      <c r="L1590" s="1">
        <v>2400</v>
      </c>
      <c r="M1590" s="1">
        <v>604.32000000000005</v>
      </c>
      <c r="N1590" s="1">
        <v>113937</v>
      </c>
      <c r="O1590" s="1">
        <v>176476.3</v>
      </c>
      <c r="P1590" s="1">
        <v>290413.3</v>
      </c>
      <c r="Q1590" s="1">
        <v>48213.2</v>
      </c>
      <c r="R1590" s="1">
        <v>19085.099999999999</v>
      </c>
      <c r="S1590" s="1">
        <v>67298.3</v>
      </c>
      <c r="T1590" s="1">
        <v>38.19</v>
      </c>
      <c r="U1590" s="1">
        <v>2.64</v>
      </c>
      <c r="V1590" s="1">
        <v>18974.3</v>
      </c>
      <c r="W1590" s="1">
        <v>67187.5</v>
      </c>
      <c r="X1590" s="1">
        <v>606.96</v>
      </c>
      <c r="Y1590" s="1">
        <v>2397</v>
      </c>
      <c r="Z1590" s="1">
        <v>357600.8</v>
      </c>
      <c r="AA1590" s="1">
        <v>38.21</v>
      </c>
      <c r="AB1590" s="1">
        <v>8000</v>
      </c>
    </row>
    <row r="1591" spans="1:28" x14ac:dyDescent="0.4">
      <c r="A1591" s="1" t="s">
        <v>149</v>
      </c>
      <c r="B1591" s="1">
        <v>8000</v>
      </c>
      <c r="C1591" s="1">
        <v>0.4</v>
      </c>
      <c r="D1591" s="1">
        <v>0.5</v>
      </c>
      <c r="E1591" s="1">
        <v>1000</v>
      </c>
      <c r="F1591" s="1">
        <v>3</v>
      </c>
      <c r="G1591" s="1">
        <v>5</v>
      </c>
      <c r="H1591" s="1" t="s">
        <v>592</v>
      </c>
      <c r="I1591" s="1">
        <v>590660.69999999995</v>
      </c>
      <c r="J1591" s="1">
        <v>215654.3</v>
      </c>
      <c r="K1591" s="1">
        <v>375006.4</v>
      </c>
      <c r="L1591" s="1">
        <v>2400</v>
      </c>
      <c r="M1591" s="1">
        <v>600.04999999999995</v>
      </c>
      <c r="N1591" s="1">
        <v>112829.2</v>
      </c>
      <c r="O1591" s="1">
        <v>182320.8</v>
      </c>
      <c r="P1591" s="1">
        <v>295150</v>
      </c>
      <c r="Q1591" s="1">
        <v>48659.4</v>
      </c>
      <c r="R1591" s="1">
        <v>20179.3</v>
      </c>
      <c r="S1591" s="1">
        <v>68838.7</v>
      </c>
      <c r="T1591" s="1">
        <v>38.380000000000003</v>
      </c>
      <c r="U1591" s="1">
        <v>2.75</v>
      </c>
      <c r="V1591" s="1">
        <v>20134.8</v>
      </c>
      <c r="W1591" s="1">
        <v>68794.2</v>
      </c>
      <c r="X1591" s="1">
        <v>602.79999999999995</v>
      </c>
      <c r="Y1591" s="1">
        <v>2308</v>
      </c>
      <c r="Z1591" s="1">
        <v>363944.2</v>
      </c>
      <c r="AA1591" s="1">
        <v>38.380000000000003</v>
      </c>
      <c r="AB1591" s="1">
        <v>8000</v>
      </c>
    </row>
    <row r="1592" spans="1:28" x14ac:dyDescent="0.4">
      <c r="A1592" s="1" t="s">
        <v>527</v>
      </c>
      <c r="B1592" s="1">
        <v>8000</v>
      </c>
      <c r="C1592" s="1">
        <v>0.4</v>
      </c>
      <c r="D1592" s="1">
        <v>0.5</v>
      </c>
      <c r="E1592" s="1">
        <v>2000</v>
      </c>
      <c r="F1592" s="1">
        <v>1</v>
      </c>
      <c r="G1592" s="1">
        <v>1</v>
      </c>
      <c r="H1592" s="1" t="s">
        <v>592</v>
      </c>
      <c r="I1592" s="1">
        <v>557823.1</v>
      </c>
      <c r="J1592" s="1">
        <v>221562.4</v>
      </c>
      <c r="K1592" s="1">
        <v>336260.7</v>
      </c>
      <c r="L1592" s="1">
        <v>2400</v>
      </c>
      <c r="M1592" s="1">
        <v>602.29999999999995</v>
      </c>
      <c r="N1592" s="1">
        <v>123802.4</v>
      </c>
      <c r="O1592" s="1">
        <v>167928.8</v>
      </c>
      <c r="P1592" s="1">
        <v>291731.20000000001</v>
      </c>
      <c r="Q1592" s="1">
        <v>60057.8</v>
      </c>
      <c r="R1592" s="1">
        <v>23914.9</v>
      </c>
      <c r="S1592" s="1">
        <v>83972.7</v>
      </c>
      <c r="T1592" s="1">
        <v>32.65</v>
      </c>
      <c r="U1592" s="1">
        <v>1.95</v>
      </c>
      <c r="V1592" s="1">
        <v>23865.7</v>
      </c>
      <c r="W1592" s="1">
        <v>83923.5</v>
      </c>
      <c r="X1592" s="1">
        <v>604.25</v>
      </c>
      <c r="Y1592" s="1">
        <v>2396</v>
      </c>
      <c r="Z1592" s="1">
        <v>375654.7</v>
      </c>
      <c r="AA1592" s="1">
        <v>32.659999999999997</v>
      </c>
      <c r="AB1592" s="1">
        <v>8000</v>
      </c>
    </row>
    <row r="1593" spans="1:28" x14ac:dyDescent="0.4">
      <c r="A1593" s="1" t="s">
        <v>528</v>
      </c>
      <c r="B1593" s="1">
        <v>8000</v>
      </c>
      <c r="C1593" s="1">
        <v>0.4</v>
      </c>
      <c r="D1593" s="1">
        <v>0.5</v>
      </c>
      <c r="E1593" s="1">
        <v>2000</v>
      </c>
      <c r="F1593" s="1">
        <v>1</v>
      </c>
      <c r="G1593" s="1">
        <v>2</v>
      </c>
      <c r="H1593" s="1" t="s">
        <v>592</v>
      </c>
      <c r="I1593" s="1">
        <v>574477.4</v>
      </c>
      <c r="J1593" s="1">
        <v>217902.4</v>
      </c>
      <c r="K1593" s="1">
        <v>356575</v>
      </c>
      <c r="L1593" s="1">
        <v>2400</v>
      </c>
      <c r="M1593" s="1">
        <v>600.01</v>
      </c>
      <c r="N1593" s="1">
        <v>121406.7</v>
      </c>
      <c r="O1593" s="1">
        <v>177343.4</v>
      </c>
      <c r="P1593" s="1">
        <v>298750.09999999998</v>
      </c>
      <c r="Q1593" s="1">
        <v>60334.3</v>
      </c>
      <c r="R1593" s="1">
        <v>24308.3</v>
      </c>
      <c r="S1593" s="1">
        <v>84642.6</v>
      </c>
      <c r="T1593" s="1">
        <v>33.26</v>
      </c>
      <c r="U1593" s="1">
        <v>1.98</v>
      </c>
      <c r="V1593" s="1">
        <v>24243.8</v>
      </c>
      <c r="W1593" s="1">
        <v>84578.1</v>
      </c>
      <c r="X1593" s="1">
        <v>601.99</v>
      </c>
      <c r="Y1593" s="1">
        <v>2398</v>
      </c>
      <c r="Z1593" s="1">
        <v>383328.2</v>
      </c>
      <c r="AA1593" s="1">
        <v>33.270000000000003</v>
      </c>
      <c r="AB1593" s="1">
        <v>8000</v>
      </c>
    </row>
    <row r="1594" spans="1:28" x14ac:dyDescent="0.4">
      <c r="A1594" s="1" t="s">
        <v>529</v>
      </c>
      <c r="B1594" s="1">
        <v>8000</v>
      </c>
      <c r="C1594" s="1">
        <v>0.4</v>
      </c>
      <c r="D1594" s="1">
        <v>0.5</v>
      </c>
      <c r="E1594" s="1">
        <v>2000</v>
      </c>
      <c r="F1594" s="1">
        <v>1</v>
      </c>
      <c r="G1594" s="1">
        <v>3</v>
      </c>
      <c r="H1594" s="1" t="s">
        <v>592</v>
      </c>
      <c r="I1594" s="1">
        <v>568049.30000000005</v>
      </c>
      <c r="J1594" s="1">
        <v>222300.5</v>
      </c>
      <c r="K1594" s="1">
        <v>345748.8</v>
      </c>
      <c r="L1594" s="1">
        <v>2400</v>
      </c>
      <c r="M1594" s="1">
        <v>602.5</v>
      </c>
      <c r="N1594" s="1">
        <v>123153.7</v>
      </c>
      <c r="O1594" s="1">
        <v>176007.9</v>
      </c>
      <c r="P1594" s="1">
        <v>299161.59999999998</v>
      </c>
      <c r="Q1594" s="1">
        <v>60074.3</v>
      </c>
      <c r="R1594" s="1">
        <v>23412.2</v>
      </c>
      <c r="S1594" s="1">
        <v>83486.5</v>
      </c>
      <c r="T1594" s="1">
        <v>32.64</v>
      </c>
      <c r="U1594" s="1">
        <v>2.1</v>
      </c>
      <c r="V1594" s="1">
        <v>23325.3</v>
      </c>
      <c r="W1594" s="1">
        <v>83399.600000000006</v>
      </c>
      <c r="X1594" s="1">
        <v>604.6</v>
      </c>
      <c r="Y1594" s="1">
        <v>2305</v>
      </c>
      <c r="Z1594" s="1">
        <v>382561.2</v>
      </c>
      <c r="AA1594" s="1">
        <v>32.65</v>
      </c>
      <c r="AB1594" s="1">
        <v>8000</v>
      </c>
    </row>
    <row r="1595" spans="1:28" x14ac:dyDescent="0.4">
      <c r="A1595" s="1" t="s">
        <v>530</v>
      </c>
      <c r="B1595" s="1">
        <v>8000</v>
      </c>
      <c r="C1595" s="1">
        <v>0.4</v>
      </c>
      <c r="D1595" s="1">
        <v>0.5</v>
      </c>
      <c r="E1595" s="1">
        <v>2000</v>
      </c>
      <c r="F1595" s="1">
        <v>1</v>
      </c>
      <c r="G1595" s="1">
        <v>4</v>
      </c>
      <c r="H1595" s="1" t="s">
        <v>592</v>
      </c>
      <c r="I1595" s="1">
        <v>581912.6</v>
      </c>
      <c r="J1595" s="1">
        <v>225923.8</v>
      </c>
      <c r="K1595" s="1">
        <v>355988.8</v>
      </c>
      <c r="L1595" s="1">
        <v>2400</v>
      </c>
      <c r="M1595" s="1">
        <v>601.45000000000005</v>
      </c>
      <c r="N1595" s="1">
        <v>123910.2</v>
      </c>
      <c r="O1595" s="1">
        <v>178322.2</v>
      </c>
      <c r="P1595" s="1">
        <v>302232.40000000002</v>
      </c>
      <c r="Q1595" s="1">
        <v>60613.5</v>
      </c>
      <c r="R1595" s="1">
        <v>23141.200000000001</v>
      </c>
      <c r="S1595" s="1">
        <v>83754.7</v>
      </c>
      <c r="T1595" s="1">
        <v>33.67</v>
      </c>
      <c r="U1595" s="1">
        <v>1.94</v>
      </c>
      <c r="V1595" s="1">
        <v>23009.3</v>
      </c>
      <c r="W1595" s="1">
        <v>83622.8</v>
      </c>
      <c r="X1595" s="1">
        <v>603.39</v>
      </c>
      <c r="Y1595" s="1">
        <v>2397</v>
      </c>
      <c r="Z1595" s="1">
        <v>385855.2</v>
      </c>
      <c r="AA1595" s="1">
        <v>33.69</v>
      </c>
      <c r="AB1595" s="1">
        <v>8000</v>
      </c>
    </row>
    <row r="1596" spans="1:28" x14ac:dyDescent="0.4">
      <c r="A1596" s="1" t="s">
        <v>531</v>
      </c>
      <c r="B1596" s="1">
        <v>8000</v>
      </c>
      <c r="C1596" s="1">
        <v>0.4</v>
      </c>
      <c r="D1596" s="1">
        <v>0.5</v>
      </c>
      <c r="E1596" s="1">
        <v>2000</v>
      </c>
      <c r="F1596" s="1">
        <v>1</v>
      </c>
      <c r="G1596" s="1">
        <v>5</v>
      </c>
      <c r="H1596" s="1" t="s">
        <v>592</v>
      </c>
      <c r="I1596" s="1">
        <v>572459.9</v>
      </c>
      <c r="J1596" s="1">
        <v>219618.8</v>
      </c>
      <c r="K1596" s="1">
        <v>352841.1</v>
      </c>
      <c r="L1596" s="1">
        <v>2400</v>
      </c>
      <c r="M1596" s="1">
        <v>604.04</v>
      </c>
      <c r="N1596" s="1">
        <v>119849.3</v>
      </c>
      <c r="O1596" s="1">
        <v>177156.3</v>
      </c>
      <c r="P1596" s="1">
        <v>297005.59999999998</v>
      </c>
      <c r="Q1596" s="1">
        <v>60620.3</v>
      </c>
      <c r="R1596" s="1">
        <v>22849</v>
      </c>
      <c r="S1596" s="1">
        <v>83469.3</v>
      </c>
      <c r="T1596" s="1">
        <v>33.54</v>
      </c>
      <c r="U1596" s="1">
        <v>2.02</v>
      </c>
      <c r="V1596" s="1">
        <v>22758.799999999999</v>
      </c>
      <c r="W1596" s="1">
        <v>83379.100000000006</v>
      </c>
      <c r="X1596" s="1">
        <v>606.04999999999995</v>
      </c>
      <c r="Y1596" s="1">
        <v>2398</v>
      </c>
      <c r="Z1596" s="1">
        <v>380384.7</v>
      </c>
      <c r="AA1596" s="1">
        <v>33.549999999999997</v>
      </c>
      <c r="AB1596" s="1">
        <v>8000</v>
      </c>
    </row>
    <row r="1597" spans="1:28" x14ac:dyDescent="0.4">
      <c r="A1597" s="1" t="s">
        <v>532</v>
      </c>
      <c r="B1597" s="1">
        <v>8000</v>
      </c>
      <c r="C1597" s="1">
        <v>0.4</v>
      </c>
      <c r="D1597" s="1">
        <v>0.5</v>
      </c>
      <c r="E1597" s="1">
        <v>2000</v>
      </c>
      <c r="F1597" s="1">
        <v>2</v>
      </c>
      <c r="G1597" s="1">
        <v>1</v>
      </c>
      <c r="H1597" s="1" t="s">
        <v>592</v>
      </c>
      <c r="I1597" s="1">
        <v>879041</v>
      </c>
      <c r="J1597" s="1">
        <v>331624.40000000002</v>
      </c>
      <c r="K1597" s="1">
        <v>547416.6</v>
      </c>
      <c r="L1597" s="1">
        <v>2400</v>
      </c>
      <c r="M1597" s="1">
        <v>602.76</v>
      </c>
      <c r="N1597" s="1">
        <v>185924</v>
      </c>
      <c r="O1597" s="1">
        <v>281154.2</v>
      </c>
      <c r="P1597" s="1">
        <v>467078.2</v>
      </c>
      <c r="Q1597" s="1">
        <v>57279.5</v>
      </c>
      <c r="R1597" s="1">
        <v>26450.400000000001</v>
      </c>
      <c r="S1597" s="1">
        <v>83729.899999999994</v>
      </c>
      <c r="T1597" s="1">
        <v>37.340000000000003</v>
      </c>
      <c r="U1597" s="1">
        <v>1.57</v>
      </c>
      <c r="V1597" s="1">
        <v>26412.7</v>
      </c>
      <c r="W1597" s="1">
        <v>83692.2</v>
      </c>
      <c r="X1597" s="1">
        <v>604.33000000000004</v>
      </c>
      <c r="Y1597" s="1">
        <v>2098</v>
      </c>
      <c r="Z1597" s="1">
        <v>550770.4</v>
      </c>
      <c r="AA1597" s="1">
        <v>37.340000000000003</v>
      </c>
      <c r="AB1597" s="1">
        <v>8000</v>
      </c>
    </row>
    <row r="1598" spans="1:28" x14ac:dyDescent="0.4">
      <c r="A1598" s="1" t="s">
        <v>533</v>
      </c>
      <c r="B1598" s="1">
        <v>8000</v>
      </c>
      <c r="C1598" s="1">
        <v>0.4</v>
      </c>
      <c r="D1598" s="1">
        <v>0.5</v>
      </c>
      <c r="E1598" s="1">
        <v>2000</v>
      </c>
      <c r="F1598" s="1">
        <v>2</v>
      </c>
      <c r="G1598" s="1">
        <v>2</v>
      </c>
      <c r="H1598" s="1" t="s">
        <v>592</v>
      </c>
      <c r="I1598" s="1">
        <v>895929.2</v>
      </c>
      <c r="J1598" s="1">
        <v>335858.2</v>
      </c>
      <c r="K1598" s="1">
        <v>560071</v>
      </c>
      <c r="L1598" s="1">
        <v>2400</v>
      </c>
      <c r="M1598" s="1">
        <v>602.41</v>
      </c>
      <c r="N1598" s="1">
        <v>188280</v>
      </c>
      <c r="O1598" s="1">
        <v>293422.3</v>
      </c>
      <c r="P1598" s="1">
        <v>481702.3</v>
      </c>
      <c r="Q1598" s="1">
        <v>56653.9</v>
      </c>
      <c r="R1598" s="1">
        <v>25534.7</v>
      </c>
      <c r="S1598" s="1">
        <v>82188.600000000006</v>
      </c>
      <c r="T1598" s="1">
        <v>37.06</v>
      </c>
      <c r="U1598" s="1">
        <v>1.5</v>
      </c>
      <c r="V1598" s="1">
        <v>25510.3</v>
      </c>
      <c r="W1598" s="1">
        <v>82164.2</v>
      </c>
      <c r="X1598" s="1">
        <v>603.91</v>
      </c>
      <c r="Y1598" s="1">
        <v>1922</v>
      </c>
      <c r="Z1598" s="1">
        <v>563866.5</v>
      </c>
      <c r="AA1598" s="1">
        <v>37.06</v>
      </c>
      <c r="AB1598" s="1">
        <v>8000</v>
      </c>
    </row>
    <row r="1599" spans="1:28" x14ac:dyDescent="0.4">
      <c r="A1599" s="1" t="s">
        <v>534</v>
      </c>
      <c r="B1599" s="1">
        <v>8000</v>
      </c>
      <c r="C1599" s="1">
        <v>0.4</v>
      </c>
      <c r="D1599" s="1">
        <v>0.5</v>
      </c>
      <c r="E1599" s="1">
        <v>2000</v>
      </c>
      <c r="F1599" s="1">
        <v>2</v>
      </c>
      <c r="G1599" s="1">
        <v>3</v>
      </c>
      <c r="H1599" s="1" t="s">
        <v>592</v>
      </c>
      <c r="I1599" s="1">
        <v>882760.1</v>
      </c>
      <c r="J1599" s="1">
        <v>328520.5</v>
      </c>
      <c r="K1599" s="1">
        <v>554239.6</v>
      </c>
      <c r="L1599" s="1">
        <v>2400</v>
      </c>
      <c r="M1599" s="1">
        <v>600.01</v>
      </c>
      <c r="N1599" s="1">
        <v>180504.2</v>
      </c>
      <c r="O1599" s="1">
        <v>276597</v>
      </c>
      <c r="P1599" s="1">
        <v>457101.2</v>
      </c>
      <c r="Q1599" s="1">
        <v>61310.6</v>
      </c>
      <c r="R1599" s="1">
        <v>26916.799999999999</v>
      </c>
      <c r="S1599" s="1">
        <v>88227.4</v>
      </c>
      <c r="T1599" s="1">
        <v>38.22</v>
      </c>
      <c r="U1599" s="1">
        <v>2.57</v>
      </c>
      <c r="V1599" s="1">
        <v>26728.400000000001</v>
      </c>
      <c r="W1599" s="1">
        <v>88039</v>
      </c>
      <c r="X1599" s="1">
        <v>602.57000000000005</v>
      </c>
      <c r="Y1599" s="1">
        <v>2350</v>
      </c>
      <c r="Z1599" s="1">
        <v>545140.19999999995</v>
      </c>
      <c r="AA1599" s="1">
        <v>38.25</v>
      </c>
      <c r="AB1599" s="1">
        <v>8000</v>
      </c>
    </row>
    <row r="1600" spans="1:28" x14ac:dyDescent="0.4">
      <c r="A1600" s="1" t="s">
        <v>535</v>
      </c>
      <c r="B1600" s="1">
        <v>8000</v>
      </c>
      <c r="C1600" s="1">
        <v>0.4</v>
      </c>
      <c r="D1600" s="1">
        <v>0.5</v>
      </c>
      <c r="E1600" s="1">
        <v>2000</v>
      </c>
      <c r="F1600" s="1">
        <v>2</v>
      </c>
      <c r="G1600" s="1">
        <v>4</v>
      </c>
      <c r="H1600" s="1" t="s">
        <v>592</v>
      </c>
      <c r="I1600" s="1">
        <v>890793.9</v>
      </c>
      <c r="J1600" s="1">
        <v>333769.09999999998</v>
      </c>
      <c r="K1600" s="1">
        <v>557024.80000000005</v>
      </c>
      <c r="L1600" s="1">
        <v>2400</v>
      </c>
      <c r="M1600" s="1">
        <v>602.65</v>
      </c>
      <c r="N1600" s="1">
        <v>185872</v>
      </c>
      <c r="O1600" s="1">
        <v>280160.40000000002</v>
      </c>
      <c r="P1600" s="1">
        <v>466032.4</v>
      </c>
      <c r="Q1600" s="1">
        <v>56085</v>
      </c>
      <c r="R1600" s="1">
        <v>25113.9</v>
      </c>
      <c r="S1600" s="1">
        <v>81198.899999999994</v>
      </c>
      <c r="T1600" s="1">
        <v>38.57</v>
      </c>
      <c r="U1600" s="1">
        <v>1.62</v>
      </c>
      <c r="V1600" s="1">
        <v>25061.1</v>
      </c>
      <c r="W1600" s="1">
        <v>81146.100000000006</v>
      </c>
      <c r="X1600" s="1">
        <v>604.27</v>
      </c>
      <c r="Y1600" s="1">
        <v>1979</v>
      </c>
      <c r="Z1600" s="1">
        <v>547178.5</v>
      </c>
      <c r="AA1600" s="1">
        <v>38.57</v>
      </c>
      <c r="AB1600" s="1">
        <v>8000</v>
      </c>
    </row>
    <row r="1601" spans="1:28" x14ac:dyDescent="0.4">
      <c r="A1601" s="1" t="s">
        <v>536</v>
      </c>
      <c r="B1601" s="1">
        <v>8000</v>
      </c>
      <c r="C1601" s="1">
        <v>0.4</v>
      </c>
      <c r="D1601" s="1">
        <v>0.5</v>
      </c>
      <c r="E1601" s="1">
        <v>2000</v>
      </c>
      <c r="F1601" s="1">
        <v>2</v>
      </c>
      <c r="G1601" s="1">
        <v>5</v>
      </c>
      <c r="H1601" s="1" t="s">
        <v>592</v>
      </c>
      <c r="I1601" s="1">
        <v>911648.3</v>
      </c>
      <c r="J1601" s="1">
        <v>355200.1</v>
      </c>
      <c r="K1601" s="1">
        <v>556448.19999999995</v>
      </c>
      <c r="L1601" s="1">
        <v>2400</v>
      </c>
      <c r="M1601" s="1">
        <v>603.70000000000005</v>
      </c>
      <c r="N1601" s="1">
        <v>194836.8</v>
      </c>
      <c r="O1601" s="1">
        <v>282979.90000000002</v>
      </c>
      <c r="P1601" s="1">
        <v>477816.7</v>
      </c>
      <c r="Q1601" s="1">
        <v>58194</v>
      </c>
      <c r="R1601" s="1">
        <v>25487.3</v>
      </c>
      <c r="S1601" s="1">
        <v>83681.3</v>
      </c>
      <c r="T1601" s="1">
        <v>38.409999999999997</v>
      </c>
      <c r="U1601" s="1">
        <v>2.27</v>
      </c>
      <c r="V1601" s="1">
        <v>25422.1</v>
      </c>
      <c r="W1601" s="1">
        <v>83616.100000000006</v>
      </c>
      <c r="X1601" s="1">
        <v>605.96</v>
      </c>
      <c r="Y1601" s="1">
        <v>2189</v>
      </c>
      <c r="Z1601" s="1">
        <v>561432.80000000005</v>
      </c>
      <c r="AA1601" s="1">
        <v>38.42</v>
      </c>
      <c r="AB1601" s="1">
        <v>8000</v>
      </c>
    </row>
    <row r="1602" spans="1:28" x14ac:dyDescent="0.4">
      <c r="A1602" s="1" t="s">
        <v>537</v>
      </c>
      <c r="B1602" s="1">
        <v>8000</v>
      </c>
      <c r="C1602" s="1">
        <v>0.4</v>
      </c>
      <c r="D1602" s="1">
        <v>0.5</v>
      </c>
      <c r="E1602" s="1">
        <v>2000</v>
      </c>
      <c r="F1602" s="1">
        <v>3</v>
      </c>
      <c r="G1602" s="1">
        <v>1</v>
      </c>
      <c r="H1602" s="1" t="s">
        <v>592</v>
      </c>
      <c r="I1602" s="1">
        <v>1144134.7</v>
      </c>
      <c r="J1602" s="1">
        <v>435526.8</v>
      </c>
      <c r="K1602" s="1">
        <v>708607.9</v>
      </c>
      <c r="L1602" s="1">
        <v>2400</v>
      </c>
      <c r="M1602" s="1">
        <v>602.72</v>
      </c>
      <c r="N1602" s="1">
        <v>240100.5</v>
      </c>
      <c r="O1602" s="1">
        <v>376191.6</v>
      </c>
      <c r="P1602" s="1">
        <v>616292.1</v>
      </c>
      <c r="Q1602" s="1">
        <v>58393.9</v>
      </c>
      <c r="R1602" s="1">
        <v>26776.400000000001</v>
      </c>
      <c r="S1602" s="1">
        <v>85170.3</v>
      </c>
      <c r="T1602" s="1">
        <v>38.69</v>
      </c>
      <c r="U1602" s="1">
        <v>1.65</v>
      </c>
      <c r="V1602" s="1">
        <v>26770</v>
      </c>
      <c r="W1602" s="1">
        <v>85163.9</v>
      </c>
      <c r="X1602" s="1">
        <v>604.37</v>
      </c>
      <c r="Y1602" s="1">
        <v>1993</v>
      </c>
      <c r="Z1602" s="1">
        <v>701456</v>
      </c>
      <c r="AA1602" s="1">
        <v>38.69</v>
      </c>
      <c r="AB1602" s="1">
        <v>8000</v>
      </c>
    </row>
    <row r="1603" spans="1:28" x14ac:dyDescent="0.4">
      <c r="A1603" s="1" t="s">
        <v>538</v>
      </c>
      <c r="B1603" s="1">
        <v>8000</v>
      </c>
      <c r="C1603" s="1">
        <v>0.4</v>
      </c>
      <c r="D1603" s="1">
        <v>0.5</v>
      </c>
      <c r="E1603" s="1">
        <v>2000</v>
      </c>
      <c r="F1603" s="1">
        <v>3</v>
      </c>
      <c r="G1603" s="1">
        <v>2</v>
      </c>
      <c r="H1603" s="1" t="s">
        <v>592</v>
      </c>
      <c r="I1603" s="1">
        <v>1169628.8</v>
      </c>
      <c r="J1603" s="1">
        <v>444905.8</v>
      </c>
      <c r="K1603" s="1">
        <v>724723</v>
      </c>
      <c r="L1603" s="1">
        <v>2400</v>
      </c>
      <c r="M1603" s="1">
        <v>600.16</v>
      </c>
      <c r="N1603" s="1">
        <v>247633.6</v>
      </c>
      <c r="O1603" s="1">
        <v>385630.5</v>
      </c>
      <c r="P1603" s="1">
        <v>633264.1</v>
      </c>
      <c r="Q1603" s="1">
        <v>56821.7</v>
      </c>
      <c r="R1603" s="1">
        <v>26026.2</v>
      </c>
      <c r="S1603" s="1">
        <v>82847.899999999994</v>
      </c>
      <c r="T1603" s="1">
        <v>38.770000000000003</v>
      </c>
      <c r="U1603" s="1">
        <v>1.98</v>
      </c>
      <c r="V1603" s="1">
        <v>26018</v>
      </c>
      <c r="W1603" s="1">
        <v>82839.7</v>
      </c>
      <c r="X1603" s="1">
        <v>602.13</v>
      </c>
      <c r="Y1603" s="1">
        <v>1992</v>
      </c>
      <c r="Z1603" s="1">
        <v>716103.8</v>
      </c>
      <c r="AA1603" s="1">
        <v>38.78</v>
      </c>
      <c r="AB1603" s="1">
        <v>8000</v>
      </c>
    </row>
    <row r="1604" spans="1:28" x14ac:dyDescent="0.4">
      <c r="A1604" s="1" t="s">
        <v>539</v>
      </c>
      <c r="B1604" s="1">
        <v>8000</v>
      </c>
      <c r="C1604" s="1">
        <v>0.4</v>
      </c>
      <c r="D1604" s="1">
        <v>0.5</v>
      </c>
      <c r="E1604" s="1">
        <v>2000</v>
      </c>
      <c r="F1604" s="1">
        <v>3</v>
      </c>
      <c r="G1604" s="1">
        <v>3</v>
      </c>
      <c r="H1604" s="1" t="s">
        <v>592</v>
      </c>
      <c r="I1604" s="1">
        <v>1163270.8</v>
      </c>
      <c r="J1604" s="1">
        <v>449150.5</v>
      </c>
      <c r="K1604" s="1">
        <v>714120.3</v>
      </c>
      <c r="L1604" s="1">
        <v>2400</v>
      </c>
      <c r="M1604" s="1">
        <v>600.04999999999995</v>
      </c>
      <c r="N1604" s="1">
        <v>249335</v>
      </c>
      <c r="O1604" s="1">
        <v>381985.3</v>
      </c>
      <c r="P1604" s="1">
        <v>631320.30000000005</v>
      </c>
      <c r="Q1604" s="1">
        <v>55801</v>
      </c>
      <c r="R1604" s="1">
        <v>26389.9</v>
      </c>
      <c r="S1604" s="1">
        <v>82190.899999999994</v>
      </c>
      <c r="T1604" s="1">
        <v>38.659999999999997</v>
      </c>
      <c r="U1604" s="1">
        <v>1.66</v>
      </c>
      <c r="V1604" s="1">
        <v>26380.400000000001</v>
      </c>
      <c r="W1604" s="1">
        <v>82181.399999999994</v>
      </c>
      <c r="X1604" s="1">
        <v>601.71</v>
      </c>
      <c r="Y1604" s="1">
        <v>1885</v>
      </c>
      <c r="Z1604" s="1">
        <v>713501.7</v>
      </c>
      <c r="AA1604" s="1">
        <v>38.659999999999997</v>
      </c>
      <c r="AB1604" s="1">
        <v>8000</v>
      </c>
    </row>
    <row r="1605" spans="1:28" x14ac:dyDescent="0.4">
      <c r="A1605" s="1" t="s">
        <v>540</v>
      </c>
      <c r="B1605" s="1">
        <v>8000</v>
      </c>
      <c r="C1605" s="1">
        <v>0.4</v>
      </c>
      <c r="D1605" s="1">
        <v>0.5</v>
      </c>
      <c r="E1605" s="1">
        <v>2000</v>
      </c>
      <c r="F1605" s="1">
        <v>3</v>
      </c>
      <c r="G1605" s="1">
        <v>4</v>
      </c>
      <c r="H1605" s="1" t="s">
        <v>592</v>
      </c>
      <c r="I1605" s="1">
        <v>1180601.1000000001</v>
      </c>
      <c r="J1605" s="1">
        <v>442385.1</v>
      </c>
      <c r="K1605" s="1">
        <v>738216</v>
      </c>
      <c r="L1605" s="1">
        <v>2400</v>
      </c>
      <c r="M1605" s="1">
        <v>602.63</v>
      </c>
      <c r="N1605" s="1">
        <v>241526.8</v>
      </c>
      <c r="O1605" s="1">
        <v>388993.8</v>
      </c>
      <c r="P1605" s="1">
        <v>630520.6</v>
      </c>
      <c r="Q1605" s="1">
        <v>59061.2</v>
      </c>
      <c r="R1605" s="1">
        <v>28073.7</v>
      </c>
      <c r="S1605" s="1">
        <v>87134.9</v>
      </c>
      <c r="T1605" s="1">
        <v>39.21</v>
      </c>
      <c r="U1605" s="1">
        <v>1.76</v>
      </c>
      <c r="V1605" s="1">
        <v>28073.7</v>
      </c>
      <c r="W1605" s="1">
        <v>87134.9</v>
      </c>
      <c r="X1605" s="1">
        <v>604.38</v>
      </c>
      <c r="Y1605" s="1">
        <v>2041</v>
      </c>
      <c r="Z1605" s="1">
        <v>717655.5</v>
      </c>
      <c r="AA1605" s="1">
        <v>39.21</v>
      </c>
      <c r="AB1605" s="1">
        <v>8000</v>
      </c>
    </row>
    <row r="1606" spans="1:28" x14ac:dyDescent="0.4">
      <c r="A1606" s="1" t="s">
        <v>541</v>
      </c>
      <c r="B1606" s="1">
        <v>8000</v>
      </c>
      <c r="C1606" s="1">
        <v>0.4</v>
      </c>
      <c r="D1606" s="1">
        <v>0.5</v>
      </c>
      <c r="E1606" s="1">
        <v>2000</v>
      </c>
      <c r="F1606" s="1">
        <v>3</v>
      </c>
      <c r="G1606" s="1">
        <v>5</v>
      </c>
      <c r="H1606" s="1" t="s">
        <v>592</v>
      </c>
      <c r="I1606" s="1">
        <v>1164364.2</v>
      </c>
      <c r="J1606" s="1">
        <v>446342.3</v>
      </c>
      <c r="K1606" s="1">
        <v>718021.9</v>
      </c>
      <c r="L1606" s="1">
        <v>2400</v>
      </c>
      <c r="M1606" s="1">
        <v>602.6</v>
      </c>
      <c r="N1606" s="1">
        <v>250247.8</v>
      </c>
      <c r="O1606" s="1">
        <v>383975.3</v>
      </c>
      <c r="P1606" s="1">
        <v>634223.1</v>
      </c>
      <c r="Q1606" s="1">
        <v>56961.4</v>
      </c>
      <c r="R1606" s="1">
        <v>28270.400000000001</v>
      </c>
      <c r="S1606" s="1">
        <v>85231.8</v>
      </c>
      <c r="T1606" s="1">
        <v>38.21</v>
      </c>
      <c r="U1606" s="1">
        <v>1.99</v>
      </c>
      <c r="V1606" s="1">
        <v>28269</v>
      </c>
      <c r="W1606" s="1">
        <v>85230.399999999994</v>
      </c>
      <c r="X1606" s="1">
        <v>604.58000000000004</v>
      </c>
      <c r="Y1606" s="1">
        <v>1944</v>
      </c>
      <c r="Z1606" s="1">
        <v>719453.5</v>
      </c>
      <c r="AA1606" s="1">
        <v>38.21</v>
      </c>
      <c r="AB1606" s="1">
        <v>8000</v>
      </c>
    </row>
    <row r="1607" spans="1:28" x14ac:dyDescent="0.4">
      <c r="A1607" s="1" t="s">
        <v>542</v>
      </c>
      <c r="B1607" s="1">
        <v>8000</v>
      </c>
      <c r="C1607" s="1">
        <v>0.4</v>
      </c>
      <c r="D1607" s="1">
        <v>0.5</v>
      </c>
      <c r="E1607" s="1">
        <v>500</v>
      </c>
      <c r="F1607" s="1">
        <v>1</v>
      </c>
      <c r="G1607" s="1">
        <v>1</v>
      </c>
      <c r="H1607" s="1" t="s">
        <v>592</v>
      </c>
      <c r="I1607" s="1">
        <v>137948.4</v>
      </c>
      <c r="J1607" s="1">
        <v>56686</v>
      </c>
      <c r="K1607" s="1">
        <v>81262.399999999994</v>
      </c>
      <c r="L1607" s="1">
        <v>2400</v>
      </c>
      <c r="M1607" s="1">
        <v>602.23</v>
      </c>
      <c r="N1607" s="1">
        <v>33426.300000000003</v>
      </c>
      <c r="O1607" s="1">
        <v>45650.1</v>
      </c>
      <c r="P1607" s="1">
        <v>79076.399999999994</v>
      </c>
      <c r="Q1607" s="1">
        <v>21479.8</v>
      </c>
      <c r="R1607" s="1">
        <v>4271.5</v>
      </c>
      <c r="S1607" s="1">
        <v>25751.3</v>
      </c>
      <c r="T1607" s="1">
        <v>24.01</v>
      </c>
      <c r="U1607" s="1">
        <v>0.87</v>
      </c>
      <c r="V1607" s="1">
        <v>4270.1000000000004</v>
      </c>
      <c r="W1607" s="1">
        <v>25749.9</v>
      </c>
      <c r="X1607" s="1">
        <v>603.09</v>
      </c>
      <c r="Y1607" s="1">
        <v>1362</v>
      </c>
      <c r="Z1607" s="1">
        <v>104826.3</v>
      </c>
      <c r="AA1607" s="1">
        <v>24.01</v>
      </c>
      <c r="AB1607" s="1">
        <v>8000</v>
      </c>
    </row>
    <row r="1608" spans="1:28" x14ac:dyDescent="0.4">
      <c r="A1608" s="1" t="s">
        <v>543</v>
      </c>
      <c r="B1608" s="1">
        <v>8000</v>
      </c>
      <c r="C1608" s="1">
        <v>0.4</v>
      </c>
      <c r="D1608" s="1">
        <v>0.5</v>
      </c>
      <c r="E1608" s="1">
        <v>500</v>
      </c>
      <c r="F1608" s="1">
        <v>1</v>
      </c>
      <c r="G1608" s="1">
        <v>2</v>
      </c>
      <c r="H1608" s="1" t="s">
        <v>592</v>
      </c>
      <c r="I1608" s="1">
        <v>145133.4</v>
      </c>
      <c r="J1608" s="1">
        <v>57078.2</v>
      </c>
      <c r="K1608" s="1">
        <v>88055.2</v>
      </c>
      <c r="L1608" s="1">
        <v>2400</v>
      </c>
      <c r="M1608" s="1">
        <v>600.01</v>
      </c>
      <c r="N1608" s="1">
        <v>31932.6</v>
      </c>
      <c r="O1608" s="1">
        <v>47848.1</v>
      </c>
      <c r="P1608" s="1">
        <v>79780.7</v>
      </c>
      <c r="Q1608" s="1">
        <v>22718.9</v>
      </c>
      <c r="R1608" s="1">
        <v>4267.2</v>
      </c>
      <c r="S1608" s="1">
        <v>26986.1</v>
      </c>
      <c r="T1608" s="1">
        <v>26.44</v>
      </c>
      <c r="U1608" s="1">
        <v>0.56999999999999995</v>
      </c>
      <c r="V1608" s="1">
        <v>4256.6000000000004</v>
      </c>
      <c r="W1608" s="1">
        <v>26975.5</v>
      </c>
      <c r="X1608" s="1">
        <v>600.58000000000004</v>
      </c>
      <c r="Y1608" s="1">
        <v>1356</v>
      </c>
      <c r="Z1608" s="1">
        <v>106756.2</v>
      </c>
      <c r="AA1608" s="1">
        <v>26.44</v>
      </c>
      <c r="AB1608" s="1">
        <v>8000</v>
      </c>
    </row>
    <row r="1609" spans="1:28" x14ac:dyDescent="0.4">
      <c r="A1609" s="1" t="s">
        <v>544</v>
      </c>
      <c r="B1609" s="1">
        <v>8000</v>
      </c>
      <c r="C1609" s="1">
        <v>0.4</v>
      </c>
      <c r="D1609" s="1">
        <v>0.5</v>
      </c>
      <c r="E1609" s="1">
        <v>500</v>
      </c>
      <c r="F1609" s="1">
        <v>1</v>
      </c>
      <c r="G1609" s="1">
        <v>3</v>
      </c>
      <c r="H1609" s="1" t="s">
        <v>592</v>
      </c>
      <c r="I1609" s="1">
        <v>148208.79999999999</v>
      </c>
      <c r="J1609" s="1">
        <v>57969.9</v>
      </c>
      <c r="K1609" s="1">
        <v>90238.9</v>
      </c>
      <c r="L1609" s="1">
        <v>2400</v>
      </c>
      <c r="M1609" s="1">
        <v>602.1</v>
      </c>
      <c r="N1609" s="1">
        <v>33536.6</v>
      </c>
      <c r="O1609" s="1">
        <v>50069.9</v>
      </c>
      <c r="P1609" s="1">
        <v>83606.5</v>
      </c>
      <c r="Q1609" s="1">
        <v>21353.7</v>
      </c>
      <c r="R1609" s="1">
        <v>4442.6000000000004</v>
      </c>
      <c r="S1609" s="1">
        <v>25796.3</v>
      </c>
      <c r="T1609" s="1">
        <v>26.18</v>
      </c>
      <c r="U1609" s="1">
        <v>0.83</v>
      </c>
      <c r="V1609" s="1">
        <v>4437.2</v>
      </c>
      <c r="W1609" s="1">
        <v>25790.9</v>
      </c>
      <c r="X1609" s="1">
        <v>602.91999999999996</v>
      </c>
      <c r="Y1609" s="1">
        <v>1370</v>
      </c>
      <c r="Z1609" s="1">
        <v>109397.4</v>
      </c>
      <c r="AA1609" s="1">
        <v>26.19</v>
      </c>
      <c r="AB1609" s="1">
        <v>8000</v>
      </c>
    </row>
    <row r="1610" spans="1:28" x14ac:dyDescent="0.4">
      <c r="A1610" s="1" t="s">
        <v>545</v>
      </c>
      <c r="B1610" s="1">
        <v>8000</v>
      </c>
      <c r="C1610" s="1">
        <v>0.4</v>
      </c>
      <c r="D1610" s="1">
        <v>0.5</v>
      </c>
      <c r="E1610" s="1">
        <v>500</v>
      </c>
      <c r="F1610" s="1">
        <v>1</v>
      </c>
      <c r="G1610" s="1">
        <v>4</v>
      </c>
      <c r="H1610" s="1" t="s">
        <v>592</v>
      </c>
      <c r="I1610" s="1">
        <v>140471.79999999999</v>
      </c>
      <c r="J1610" s="1">
        <v>55659.4</v>
      </c>
      <c r="K1610" s="1">
        <v>84812.4</v>
      </c>
      <c r="L1610" s="1">
        <v>2400</v>
      </c>
      <c r="M1610" s="1">
        <v>601.62</v>
      </c>
      <c r="N1610" s="1">
        <v>30323.7</v>
      </c>
      <c r="O1610" s="1">
        <v>47404.4</v>
      </c>
      <c r="P1610" s="1">
        <v>77728.100000000006</v>
      </c>
      <c r="Q1610" s="1">
        <v>21522.7</v>
      </c>
      <c r="R1610" s="1">
        <v>4561.5</v>
      </c>
      <c r="S1610" s="1">
        <v>26084.2</v>
      </c>
      <c r="T1610" s="1">
        <v>26.1</v>
      </c>
      <c r="U1610" s="1">
        <v>0.69</v>
      </c>
      <c r="V1610" s="1">
        <v>4558.7</v>
      </c>
      <c r="W1610" s="1">
        <v>26081.4</v>
      </c>
      <c r="X1610" s="1">
        <v>602.32000000000005</v>
      </c>
      <c r="Y1610" s="1">
        <v>1313</v>
      </c>
      <c r="Z1610" s="1">
        <v>103809.5</v>
      </c>
      <c r="AA1610" s="1">
        <v>26.1</v>
      </c>
      <c r="AB1610" s="1">
        <v>8000</v>
      </c>
    </row>
    <row r="1611" spans="1:28" x14ac:dyDescent="0.4">
      <c r="A1611" s="1" t="s">
        <v>546</v>
      </c>
      <c r="B1611" s="1">
        <v>8000</v>
      </c>
      <c r="C1611" s="1">
        <v>0.4</v>
      </c>
      <c r="D1611" s="1">
        <v>0.5</v>
      </c>
      <c r="E1611" s="1">
        <v>500</v>
      </c>
      <c r="F1611" s="1">
        <v>1</v>
      </c>
      <c r="G1611" s="1">
        <v>5</v>
      </c>
      <c r="H1611" s="1" t="s">
        <v>592</v>
      </c>
      <c r="I1611" s="1">
        <v>143922.29999999999</v>
      </c>
      <c r="J1611" s="1">
        <v>56113.3</v>
      </c>
      <c r="K1611" s="1">
        <v>87809</v>
      </c>
      <c r="L1611" s="1">
        <v>2400</v>
      </c>
      <c r="M1611" s="1">
        <v>600.02</v>
      </c>
      <c r="N1611" s="1">
        <v>32522.1</v>
      </c>
      <c r="O1611" s="1">
        <v>46659.1</v>
      </c>
      <c r="P1611" s="1">
        <v>79181.2</v>
      </c>
      <c r="Q1611" s="1">
        <v>21574</v>
      </c>
      <c r="R1611" s="1">
        <v>4408.2</v>
      </c>
      <c r="S1611" s="1">
        <v>25982.2</v>
      </c>
      <c r="T1611" s="1">
        <v>26.93</v>
      </c>
      <c r="U1611" s="1">
        <v>0.91</v>
      </c>
      <c r="V1611" s="1">
        <v>4404.2</v>
      </c>
      <c r="W1611" s="1">
        <v>25978.2</v>
      </c>
      <c r="X1611" s="1">
        <v>600.92999999999995</v>
      </c>
      <c r="Y1611" s="1">
        <v>1409</v>
      </c>
      <c r="Z1611" s="1">
        <v>105159.4</v>
      </c>
      <c r="AA1611" s="1">
        <v>26.93</v>
      </c>
      <c r="AB1611" s="1">
        <v>8000</v>
      </c>
    </row>
    <row r="1612" spans="1:28" x14ac:dyDescent="0.4">
      <c r="A1612" s="1" t="s">
        <v>547</v>
      </c>
      <c r="B1612" s="1">
        <v>8000</v>
      </c>
      <c r="C1612" s="1">
        <v>0.4</v>
      </c>
      <c r="D1612" s="1">
        <v>0.5</v>
      </c>
      <c r="E1612" s="1">
        <v>500</v>
      </c>
      <c r="F1612" s="1">
        <v>2</v>
      </c>
      <c r="G1612" s="1">
        <v>1</v>
      </c>
      <c r="H1612" s="1" t="s">
        <v>592</v>
      </c>
      <c r="I1612" s="1">
        <v>229282.4</v>
      </c>
      <c r="J1612" s="1">
        <v>85888.4</v>
      </c>
      <c r="K1612" s="1">
        <v>143394</v>
      </c>
      <c r="L1612" s="1">
        <v>2400</v>
      </c>
      <c r="M1612" s="1">
        <v>600.02</v>
      </c>
      <c r="N1612" s="1">
        <v>47641.599999999999</v>
      </c>
      <c r="O1612" s="1">
        <v>74543.8</v>
      </c>
      <c r="P1612" s="1">
        <v>122185.4</v>
      </c>
      <c r="Q1612" s="1">
        <v>26378.799999999999</v>
      </c>
      <c r="R1612" s="1">
        <v>6217.8</v>
      </c>
      <c r="S1612" s="1">
        <v>32596.6</v>
      </c>
      <c r="T1612" s="1">
        <v>32.49</v>
      </c>
      <c r="U1612" s="1">
        <v>1.67</v>
      </c>
      <c r="V1612" s="1">
        <v>6204.2</v>
      </c>
      <c r="W1612" s="1">
        <v>32583</v>
      </c>
      <c r="X1612" s="1">
        <v>601.69000000000005</v>
      </c>
      <c r="Y1612" s="1">
        <v>1947</v>
      </c>
      <c r="Z1612" s="1">
        <v>154768.4</v>
      </c>
      <c r="AA1612" s="1">
        <v>32.5</v>
      </c>
      <c r="AB1612" s="1">
        <v>8000</v>
      </c>
    </row>
    <row r="1613" spans="1:28" x14ac:dyDescent="0.4">
      <c r="A1613" s="1" t="s">
        <v>548</v>
      </c>
      <c r="B1613" s="1">
        <v>8000</v>
      </c>
      <c r="C1613" s="1">
        <v>0.4</v>
      </c>
      <c r="D1613" s="1">
        <v>0.5</v>
      </c>
      <c r="E1613" s="1">
        <v>500</v>
      </c>
      <c r="F1613" s="1">
        <v>2</v>
      </c>
      <c r="G1613" s="1">
        <v>2</v>
      </c>
      <c r="H1613" s="1" t="s">
        <v>592</v>
      </c>
      <c r="I1613" s="1">
        <v>219348.1</v>
      </c>
      <c r="J1613" s="1">
        <v>82554.600000000006</v>
      </c>
      <c r="K1613" s="1">
        <v>136793.5</v>
      </c>
      <c r="L1613" s="1">
        <v>2400</v>
      </c>
      <c r="M1613" s="1">
        <v>602.92999999999995</v>
      </c>
      <c r="N1613" s="1">
        <v>48421</v>
      </c>
      <c r="O1613" s="1">
        <v>70679.100000000006</v>
      </c>
      <c r="P1613" s="1">
        <v>119100.1</v>
      </c>
      <c r="Q1613" s="1">
        <v>24411.1</v>
      </c>
      <c r="R1613" s="1">
        <v>5682.2</v>
      </c>
      <c r="S1613" s="1">
        <v>30093.3</v>
      </c>
      <c r="T1613" s="1">
        <v>31.98</v>
      </c>
      <c r="U1613" s="1">
        <v>1.02</v>
      </c>
      <c r="V1613" s="1">
        <v>5665.2</v>
      </c>
      <c r="W1613" s="1">
        <v>30076.3</v>
      </c>
      <c r="X1613" s="1">
        <v>603.95000000000005</v>
      </c>
      <c r="Y1613" s="1">
        <v>1558</v>
      </c>
      <c r="Z1613" s="1">
        <v>149176.4</v>
      </c>
      <c r="AA1613" s="1">
        <v>31.99</v>
      </c>
      <c r="AB1613" s="1">
        <v>8000</v>
      </c>
    </row>
    <row r="1614" spans="1:28" x14ac:dyDescent="0.4">
      <c r="A1614" s="1" t="s">
        <v>549</v>
      </c>
      <c r="B1614" s="1">
        <v>8000</v>
      </c>
      <c r="C1614" s="1">
        <v>0.4</v>
      </c>
      <c r="D1614" s="1">
        <v>0.5</v>
      </c>
      <c r="E1614" s="1">
        <v>500</v>
      </c>
      <c r="F1614" s="1">
        <v>2</v>
      </c>
      <c r="G1614" s="1">
        <v>3</v>
      </c>
      <c r="H1614" s="1" t="s">
        <v>592</v>
      </c>
      <c r="I1614" s="1">
        <v>220193.1</v>
      </c>
      <c r="J1614" s="1">
        <v>86632.4</v>
      </c>
      <c r="K1614" s="1">
        <v>133560.70000000001</v>
      </c>
      <c r="L1614" s="1">
        <v>2400</v>
      </c>
      <c r="M1614" s="1">
        <v>600.02</v>
      </c>
      <c r="N1614" s="1">
        <v>47968.800000000003</v>
      </c>
      <c r="O1614" s="1">
        <v>67233.100000000006</v>
      </c>
      <c r="P1614" s="1">
        <v>115201.9</v>
      </c>
      <c r="Q1614" s="1">
        <v>26688.799999999999</v>
      </c>
      <c r="R1614" s="1">
        <v>6104.8</v>
      </c>
      <c r="S1614" s="1">
        <v>32793.599999999999</v>
      </c>
      <c r="T1614" s="1">
        <v>32.79</v>
      </c>
      <c r="U1614" s="1">
        <v>1.48</v>
      </c>
      <c r="V1614" s="1">
        <v>6080.2</v>
      </c>
      <c r="W1614" s="1">
        <v>32769</v>
      </c>
      <c r="X1614" s="1">
        <v>601.5</v>
      </c>
      <c r="Y1614" s="1">
        <v>1910</v>
      </c>
      <c r="Z1614" s="1">
        <v>147970.9</v>
      </c>
      <c r="AA1614" s="1">
        <v>32.799999999999997</v>
      </c>
      <c r="AB1614" s="1">
        <v>8000</v>
      </c>
    </row>
    <row r="1615" spans="1:28" x14ac:dyDescent="0.4">
      <c r="A1615" s="1" t="s">
        <v>550</v>
      </c>
      <c r="B1615" s="1">
        <v>8000</v>
      </c>
      <c r="C1615" s="1">
        <v>0.4</v>
      </c>
      <c r="D1615" s="1">
        <v>0.5</v>
      </c>
      <c r="E1615" s="1">
        <v>500</v>
      </c>
      <c r="F1615" s="1">
        <v>2</v>
      </c>
      <c r="G1615" s="1">
        <v>4</v>
      </c>
      <c r="H1615" s="1" t="s">
        <v>592</v>
      </c>
      <c r="I1615" s="1">
        <v>204104.4</v>
      </c>
      <c r="J1615" s="1">
        <v>78709.2</v>
      </c>
      <c r="K1615" s="1">
        <v>125395.2</v>
      </c>
      <c r="L1615" s="1">
        <v>2400</v>
      </c>
      <c r="M1615" s="1">
        <v>600.74</v>
      </c>
      <c r="N1615" s="1">
        <v>44003.199999999997</v>
      </c>
      <c r="O1615" s="1">
        <v>64498.6</v>
      </c>
      <c r="P1615" s="1">
        <v>108501.8</v>
      </c>
      <c r="Q1615" s="1">
        <v>23938.7</v>
      </c>
      <c r="R1615" s="1">
        <v>6187.7</v>
      </c>
      <c r="S1615" s="1">
        <v>30126.400000000001</v>
      </c>
      <c r="T1615" s="1">
        <v>32.08</v>
      </c>
      <c r="U1615" s="1">
        <v>1.6</v>
      </c>
      <c r="V1615" s="1">
        <v>6168.1</v>
      </c>
      <c r="W1615" s="1">
        <v>30106.799999999999</v>
      </c>
      <c r="X1615" s="1">
        <v>602.34</v>
      </c>
      <c r="Y1615" s="1">
        <v>1666</v>
      </c>
      <c r="Z1615" s="1">
        <v>138608.6</v>
      </c>
      <c r="AA1615" s="1">
        <v>32.090000000000003</v>
      </c>
      <c r="AB1615" s="1">
        <v>8000</v>
      </c>
    </row>
    <row r="1616" spans="1:28" x14ac:dyDescent="0.4">
      <c r="A1616" s="1" t="s">
        <v>551</v>
      </c>
      <c r="B1616" s="1">
        <v>8000</v>
      </c>
      <c r="C1616" s="1">
        <v>0.4</v>
      </c>
      <c r="D1616" s="1">
        <v>0.5</v>
      </c>
      <c r="E1616" s="1">
        <v>500</v>
      </c>
      <c r="F1616" s="1">
        <v>2</v>
      </c>
      <c r="G1616" s="1">
        <v>5</v>
      </c>
      <c r="H1616" s="1" t="s">
        <v>592</v>
      </c>
      <c r="I1616" s="1">
        <v>232301.2</v>
      </c>
      <c r="J1616" s="1">
        <v>86860</v>
      </c>
      <c r="K1616" s="1">
        <v>145441.20000000001</v>
      </c>
      <c r="L1616" s="1">
        <v>2400</v>
      </c>
      <c r="M1616" s="1">
        <v>603.03</v>
      </c>
      <c r="N1616" s="1">
        <v>46733.7</v>
      </c>
      <c r="O1616" s="1">
        <v>73415.600000000006</v>
      </c>
      <c r="P1616" s="1">
        <v>120149.3</v>
      </c>
      <c r="Q1616" s="1">
        <v>26877.7</v>
      </c>
      <c r="R1616" s="1">
        <v>6442.1</v>
      </c>
      <c r="S1616" s="1">
        <v>33319.800000000003</v>
      </c>
      <c r="T1616" s="1">
        <v>33.94</v>
      </c>
      <c r="U1616" s="1">
        <v>1.77</v>
      </c>
      <c r="V1616" s="1">
        <v>6424.1</v>
      </c>
      <c r="W1616" s="1">
        <v>33301.800000000003</v>
      </c>
      <c r="X1616" s="1">
        <v>604.79999999999995</v>
      </c>
      <c r="Y1616" s="1">
        <v>1901</v>
      </c>
      <c r="Z1616" s="1">
        <v>153451.1</v>
      </c>
      <c r="AA1616" s="1">
        <v>33.94</v>
      </c>
      <c r="AB1616" s="1">
        <v>8000</v>
      </c>
    </row>
    <row r="1617" spans="1:28" x14ac:dyDescent="0.4">
      <c r="A1617" s="1" t="s">
        <v>552</v>
      </c>
      <c r="B1617" s="1">
        <v>8000</v>
      </c>
      <c r="C1617" s="1">
        <v>0.4</v>
      </c>
      <c r="D1617" s="1">
        <v>0.5</v>
      </c>
      <c r="E1617" s="1">
        <v>500</v>
      </c>
      <c r="F1617" s="1">
        <v>3</v>
      </c>
      <c r="G1617" s="1">
        <v>1</v>
      </c>
      <c r="H1617" s="1" t="s">
        <v>592</v>
      </c>
      <c r="I1617" s="1">
        <v>296222.40000000002</v>
      </c>
      <c r="J1617" s="1">
        <v>117972.9</v>
      </c>
      <c r="K1617" s="1">
        <v>178249.5</v>
      </c>
      <c r="L1617" s="1">
        <v>2400</v>
      </c>
      <c r="M1617" s="1">
        <v>604.87</v>
      </c>
      <c r="N1617" s="1">
        <v>60454.9</v>
      </c>
      <c r="O1617" s="1">
        <v>89973.6</v>
      </c>
      <c r="P1617" s="1">
        <v>150428.5</v>
      </c>
      <c r="Q1617" s="1">
        <v>31456.9</v>
      </c>
      <c r="R1617" s="1">
        <v>8656.7999999999993</v>
      </c>
      <c r="S1617" s="1">
        <v>40113.699999999997</v>
      </c>
      <c r="T1617" s="1">
        <v>35.68</v>
      </c>
      <c r="U1617" s="1">
        <v>2.42</v>
      </c>
      <c r="V1617" s="1">
        <v>8642.9</v>
      </c>
      <c r="W1617" s="1">
        <v>40099.800000000003</v>
      </c>
      <c r="X1617" s="1">
        <v>607.28</v>
      </c>
      <c r="Y1617" s="1">
        <v>2166</v>
      </c>
      <c r="Z1617" s="1">
        <v>190528.3</v>
      </c>
      <c r="AA1617" s="1">
        <v>35.68</v>
      </c>
      <c r="AB1617" s="1">
        <v>8000</v>
      </c>
    </row>
    <row r="1618" spans="1:28" x14ac:dyDescent="0.4">
      <c r="A1618" s="1" t="s">
        <v>553</v>
      </c>
      <c r="B1618" s="1">
        <v>8000</v>
      </c>
      <c r="C1618" s="1">
        <v>0.4</v>
      </c>
      <c r="D1618" s="1">
        <v>0.5</v>
      </c>
      <c r="E1618" s="1">
        <v>500</v>
      </c>
      <c r="F1618" s="1">
        <v>3</v>
      </c>
      <c r="G1618" s="1">
        <v>2</v>
      </c>
      <c r="H1618" s="1" t="s">
        <v>592</v>
      </c>
      <c r="I1618" s="1">
        <v>292071.5</v>
      </c>
      <c r="J1618" s="1">
        <v>117693.5</v>
      </c>
      <c r="K1618" s="1">
        <v>174378</v>
      </c>
      <c r="L1618" s="1">
        <v>2400</v>
      </c>
      <c r="M1618" s="1">
        <v>603.67999999999995</v>
      </c>
      <c r="N1618" s="1">
        <v>60042.2</v>
      </c>
      <c r="O1618" s="1">
        <v>86849.600000000006</v>
      </c>
      <c r="P1618" s="1">
        <v>146891.79999999999</v>
      </c>
      <c r="Q1618" s="1">
        <v>31577.8</v>
      </c>
      <c r="R1618" s="1">
        <v>8538</v>
      </c>
      <c r="S1618" s="1">
        <v>40115.800000000003</v>
      </c>
      <c r="T1618" s="1">
        <v>35.97</v>
      </c>
      <c r="U1618" s="1">
        <v>1.76</v>
      </c>
      <c r="V1618" s="1">
        <v>8518.9</v>
      </c>
      <c r="W1618" s="1">
        <v>40096.699999999997</v>
      </c>
      <c r="X1618" s="1">
        <v>605.44000000000005</v>
      </c>
      <c r="Y1618" s="1">
        <v>2066</v>
      </c>
      <c r="Z1618" s="1">
        <v>186988.5</v>
      </c>
      <c r="AA1618" s="1">
        <v>35.979999999999997</v>
      </c>
      <c r="AB1618" s="1">
        <v>8000</v>
      </c>
    </row>
    <row r="1619" spans="1:28" x14ac:dyDescent="0.4">
      <c r="A1619" s="1" t="s">
        <v>554</v>
      </c>
      <c r="B1619" s="1">
        <v>8000</v>
      </c>
      <c r="C1619" s="1">
        <v>0.4</v>
      </c>
      <c r="D1619" s="1">
        <v>0.5</v>
      </c>
      <c r="E1619" s="1">
        <v>500</v>
      </c>
      <c r="F1619" s="1">
        <v>3</v>
      </c>
      <c r="G1619" s="1">
        <v>3</v>
      </c>
      <c r="H1619" s="1" t="s">
        <v>592</v>
      </c>
      <c r="I1619" s="1">
        <v>284594.5</v>
      </c>
      <c r="J1619" s="1">
        <v>104800.7</v>
      </c>
      <c r="K1619" s="1">
        <v>179793.8</v>
      </c>
      <c r="L1619" s="1">
        <v>2400</v>
      </c>
      <c r="M1619" s="1">
        <v>603.76</v>
      </c>
      <c r="N1619" s="1">
        <v>54985.5</v>
      </c>
      <c r="O1619" s="1">
        <v>91436.800000000003</v>
      </c>
      <c r="P1619" s="1">
        <v>146422.29999999999</v>
      </c>
      <c r="Q1619" s="1">
        <v>29340.6</v>
      </c>
      <c r="R1619" s="1">
        <v>7990.5</v>
      </c>
      <c r="S1619" s="1">
        <v>37331.1</v>
      </c>
      <c r="T1619" s="1">
        <v>35.43</v>
      </c>
      <c r="U1619" s="1">
        <v>1.87</v>
      </c>
      <c r="V1619" s="1">
        <v>7956.8</v>
      </c>
      <c r="W1619" s="1">
        <v>37297.4</v>
      </c>
      <c r="X1619" s="1">
        <v>605.63</v>
      </c>
      <c r="Y1619" s="1">
        <v>1995</v>
      </c>
      <c r="Z1619" s="1">
        <v>183719.7</v>
      </c>
      <c r="AA1619" s="1">
        <v>35.450000000000003</v>
      </c>
      <c r="AB1619" s="1">
        <v>8000</v>
      </c>
    </row>
    <row r="1620" spans="1:28" x14ac:dyDescent="0.4">
      <c r="A1620" s="1" t="s">
        <v>555</v>
      </c>
      <c r="B1620" s="1">
        <v>8000</v>
      </c>
      <c r="C1620" s="1">
        <v>0.4</v>
      </c>
      <c r="D1620" s="1">
        <v>0.5</v>
      </c>
      <c r="E1620" s="1">
        <v>500</v>
      </c>
      <c r="F1620" s="1">
        <v>3</v>
      </c>
      <c r="G1620" s="1">
        <v>4</v>
      </c>
      <c r="H1620" s="1" t="s">
        <v>592</v>
      </c>
      <c r="I1620" s="1">
        <v>291141.09999999998</v>
      </c>
      <c r="J1620" s="1">
        <v>116731.8</v>
      </c>
      <c r="K1620" s="1">
        <v>174409.3</v>
      </c>
      <c r="L1620" s="1">
        <v>2400</v>
      </c>
      <c r="M1620" s="1">
        <v>600</v>
      </c>
      <c r="N1620" s="1">
        <v>62329.4</v>
      </c>
      <c r="O1620" s="1">
        <v>88703.2</v>
      </c>
      <c r="P1620" s="1">
        <v>151032.6</v>
      </c>
      <c r="Q1620" s="1">
        <v>29484.799999999999</v>
      </c>
      <c r="R1620" s="1">
        <v>8033.8</v>
      </c>
      <c r="S1620" s="1">
        <v>37518.6</v>
      </c>
      <c r="T1620" s="1">
        <v>35.24</v>
      </c>
      <c r="U1620" s="1">
        <v>2.04</v>
      </c>
      <c r="V1620" s="1">
        <v>8011.9</v>
      </c>
      <c r="W1620" s="1">
        <v>37496.699999999997</v>
      </c>
      <c r="X1620" s="1">
        <v>602.04</v>
      </c>
      <c r="Y1620" s="1">
        <v>2082</v>
      </c>
      <c r="Z1620" s="1">
        <v>188529.3</v>
      </c>
      <c r="AA1620" s="1">
        <v>35.24</v>
      </c>
      <c r="AB1620" s="1">
        <v>8000</v>
      </c>
    </row>
    <row r="1621" spans="1:28" x14ac:dyDescent="0.4">
      <c r="A1621" s="1" t="s">
        <v>556</v>
      </c>
      <c r="B1621" s="1">
        <v>8000</v>
      </c>
      <c r="C1621" s="1">
        <v>0.4</v>
      </c>
      <c r="D1621" s="1">
        <v>0.5</v>
      </c>
      <c r="E1621" s="1">
        <v>500</v>
      </c>
      <c r="F1621" s="1">
        <v>3</v>
      </c>
      <c r="G1621" s="1">
        <v>5</v>
      </c>
      <c r="H1621" s="1" t="s">
        <v>592</v>
      </c>
      <c r="I1621" s="1">
        <v>298157.2</v>
      </c>
      <c r="J1621" s="1">
        <v>109464.7</v>
      </c>
      <c r="K1621" s="1">
        <v>188692.5</v>
      </c>
      <c r="L1621" s="1">
        <v>2400</v>
      </c>
      <c r="M1621" s="1">
        <v>600.01</v>
      </c>
      <c r="N1621" s="1">
        <v>57326.9</v>
      </c>
      <c r="O1621" s="1">
        <v>95226.7</v>
      </c>
      <c r="P1621" s="1">
        <v>152553.60000000001</v>
      </c>
      <c r="Q1621" s="1">
        <v>31169.599999999999</v>
      </c>
      <c r="R1621" s="1">
        <v>8781.9</v>
      </c>
      <c r="S1621" s="1">
        <v>39951.5</v>
      </c>
      <c r="T1621" s="1">
        <v>35.44</v>
      </c>
      <c r="U1621" s="1">
        <v>2.06</v>
      </c>
      <c r="V1621" s="1">
        <v>8751.1</v>
      </c>
      <c r="W1621" s="1">
        <v>39920.699999999997</v>
      </c>
      <c r="X1621" s="1">
        <v>602.07000000000005</v>
      </c>
      <c r="Y1621" s="1">
        <v>2067</v>
      </c>
      <c r="Z1621" s="1">
        <v>192474.3</v>
      </c>
      <c r="AA1621" s="1">
        <v>35.450000000000003</v>
      </c>
      <c r="AB1621" s="1">
        <v>8000</v>
      </c>
    </row>
  </sheetData>
  <sortState xmlns:xlrd2="http://schemas.microsoft.com/office/spreadsheetml/2017/richdata2" ref="A2:AB1621">
    <sortCondition ref="H2:H1621"/>
    <sortCondition ref="A2:A16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EA45-A6B2-43EA-9D7C-D133796012A5}">
  <dimension ref="A2:W33"/>
  <sheetViews>
    <sheetView zoomScale="85" zoomScaleNormal="85" workbookViewId="0">
      <selection activeCell="N35" sqref="N35"/>
    </sheetView>
  </sheetViews>
  <sheetFormatPr defaultRowHeight="14.6" x14ac:dyDescent="0.4"/>
  <cols>
    <col min="1" max="1" width="6.84375" bestFit="1" customWidth="1"/>
    <col min="2" max="2" width="8.53515625" bestFit="1" customWidth="1"/>
    <col min="3" max="3" width="11.23046875" bestFit="1" customWidth="1"/>
    <col min="4" max="4" width="11.53515625" bestFit="1" customWidth="1"/>
    <col min="5" max="5" width="12.69140625" bestFit="1" customWidth="1"/>
    <col min="6" max="6" width="12.84375" bestFit="1" customWidth="1"/>
    <col min="7" max="7" width="9.4609375" bestFit="1" customWidth="1"/>
    <col min="8" max="8" width="10.53515625" bestFit="1" customWidth="1"/>
    <col min="9" max="9" width="11.69140625" bestFit="1" customWidth="1"/>
    <col min="10" max="10" width="9.84375" bestFit="1" customWidth="1"/>
    <col min="11" max="11" width="11.3828125" bestFit="1" customWidth="1"/>
    <col min="12" max="12" width="12.4609375" bestFit="1" customWidth="1"/>
    <col min="13" max="13" width="9.07421875" bestFit="1" customWidth="1"/>
    <col min="14" max="14" width="11.3828125" style="2" bestFit="1" customWidth="1"/>
    <col min="16" max="16" width="12.4609375" bestFit="1" customWidth="1"/>
    <col min="17" max="17" width="9.07421875" bestFit="1" customWidth="1"/>
    <col min="18" max="18" width="11.3828125" bestFit="1" customWidth="1"/>
    <col min="19" max="19" width="8.23046875" bestFit="1" customWidth="1"/>
    <col min="20" max="20" width="9.3046875" bestFit="1" customWidth="1"/>
    <col min="21" max="21" width="9.84375" bestFit="1" customWidth="1"/>
    <col min="22" max="22" width="10.3828125" bestFit="1" customWidth="1"/>
    <col min="23" max="23" width="11.84375" bestFit="1" customWidth="1"/>
  </cols>
  <sheetData>
    <row r="2" spans="1:23" x14ac:dyDescent="0.4">
      <c r="C2" s="39" t="s">
        <v>610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23" x14ac:dyDescent="0.4">
      <c r="A3" s="24" t="s">
        <v>0</v>
      </c>
      <c r="B3" s="24" t="s">
        <v>6</v>
      </c>
      <c r="C3" s="24" t="s">
        <v>585</v>
      </c>
      <c r="D3" s="24" t="s">
        <v>150</v>
      </c>
      <c r="E3" s="24" t="s">
        <v>7</v>
      </c>
      <c r="F3" s="24" t="s">
        <v>582</v>
      </c>
      <c r="G3" s="24" t="s">
        <v>8</v>
      </c>
      <c r="H3" s="24" t="s">
        <v>151</v>
      </c>
      <c r="I3" s="24" t="s">
        <v>9</v>
      </c>
      <c r="J3" s="24" t="s">
        <v>586</v>
      </c>
      <c r="K3" s="24" t="s">
        <v>587</v>
      </c>
      <c r="L3" s="24" t="s">
        <v>588</v>
      </c>
      <c r="M3" s="24" t="s">
        <v>589</v>
      </c>
      <c r="N3" s="24" t="s">
        <v>572</v>
      </c>
      <c r="O3" s="24" t="s">
        <v>10</v>
      </c>
      <c r="P3" s="24" t="s">
        <v>590</v>
      </c>
      <c r="Q3" s="24" t="s">
        <v>591</v>
      </c>
      <c r="R3" s="24" t="s">
        <v>593</v>
      </c>
      <c r="S3" s="24" t="s">
        <v>11</v>
      </c>
      <c r="T3" s="24" t="s">
        <v>594</v>
      </c>
      <c r="U3" s="24" t="s">
        <v>12</v>
      </c>
      <c r="V3" s="24" t="s">
        <v>573</v>
      </c>
    </row>
    <row r="4" spans="1:23" x14ac:dyDescent="0.4">
      <c r="A4" s="20">
        <v>202501</v>
      </c>
      <c r="B4" s="20" t="s">
        <v>592</v>
      </c>
      <c r="C4" s="37">
        <v>462768.2</v>
      </c>
      <c r="D4" s="37">
        <v>388721.38</v>
      </c>
      <c r="E4" s="37">
        <v>74046.820000000007</v>
      </c>
      <c r="F4" s="37">
        <v>4998</v>
      </c>
      <c r="G4" s="20">
        <v>603.71</v>
      </c>
      <c r="H4" s="20">
        <v>169889.32</v>
      </c>
      <c r="I4" s="20">
        <v>54778.14</v>
      </c>
      <c r="J4" s="20">
        <v>224667.46</v>
      </c>
      <c r="K4" s="20">
        <v>60421.7</v>
      </c>
      <c r="L4" s="20">
        <v>8161.02</v>
      </c>
      <c r="M4" s="20">
        <v>68582.720000000001</v>
      </c>
      <c r="N4" s="20">
        <v>36.630000000000003</v>
      </c>
      <c r="O4" s="20">
        <v>0.86</v>
      </c>
      <c r="P4" s="20">
        <v>7863.64</v>
      </c>
      <c r="Q4" s="20">
        <v>68285.34</v>
      </c>
      <c r="R4" s="20">
        <v>3.64</v>
      </c>
      <c r="S4" s="20">
        <v>604.58000000000004</v>
      </c>
      <c r="T4" s="20">
        <v>2350</v>
      </c>
      <c r="U4" s="20">
        <v>292952.8</v>
      </c>
      <c r="V4" s="20">
        <v>36.700000000000003</v>
      </c>
      <c r="W4">
        <f>(1-J4/C4)*100</f>
        <v>51.451404828594541</v>
      </c>
    </row>
    <row r="5" spans="1:23" x14ac:dyDescent="0.4">
      <c r="A5" s="20">
        <v>202502</v>
      </c>
      <c r="B5" s="20" t="s">
        <v>592</v>
      </c>
      <c r="C5" s="37">
        <v>503756.74</v>
      </c>
      <c r="D5" s="37">
        <v>430281.76</v>
      </c>
      <c r="E5" s="37">
        <v>73474.98</v>
      </c>
      <c r="F5" s="37">
        <v>4998</v>
      </c>
      <c r="G5" s="20">
        <v>600.01</v>
      </c>
      <c r="H5" s="20">
        <v>194464.1</v>
      </c>
      <c r="I5" s="20">
        <v>54165.38</v>
      </c>
      <c r="J5" s="20">
        <v>248629.48</v>
      </c>
      <c r="K5" s="20">
        <v>64823.6</v>
      </c>
      <c r="L5" s="20">
        <v>8979.56</v>
      </c>
      <c r="M5" s="20">
        <v>73803.16</v>
      </c>
      <c r="N5" s="20">
        <v>35.99</v>
      </c>
      <c r="O5" s="20">
        <v>0.61</v>
      </c>
      <c r="P5" s="20">
        <v>8493.56</v>
      </c>
      <c r="Q5" s="20">
        <v>73317.16</v>
      </c>
      <c r="R5" s="20">
        <v>5.41</v>
      </c>
      <c r="S5" s="20">
        <v>600.62</v>
      </c>
      <c r="T5" s="20">
        <v>2456</v>
      </c>
      <c r="U5" s="20">
        <v>321946.64</v>
      </c>
      <c r="V5" s="20">
        <v>36.090000000000003</v>
      </c>
      <c r="W5">
        <f t="shared" ref="W5:W9" si="0">(1-J5/C5)*100</f>
        <v>50.644932313957725</v>
      </c>
    </row>
    <row r="6" spans="1:23" x14ac:dyDescent="0.4">
      <c r="A6" s="20">
        <v>202503</v>
      </c>
      <c r="B6" s="20" t="s">
        <v>592</v>
      </c>
      <c r="C6" s="37">
        <v>690946.7</v>
      </c>
      <c r="D6" s="37">
        <v>568953.72</v>
      </c>
      <c r="E6" s="37">
        <v>121992.98</v>
      </c>
      <c r="F6" s="37">
        <v>4998</v>
      </c>
      <c r="G6" s="20">
        <v>603.9</v>
      </c>
      <c r="H6" s="20">
        <v>275199.14</v>
      </c>
      <c r="I6" s="20">
        <v>96082.18</v>
      </c>
      <c r="J6" s="20">
        <v>371281.32</v>
      </c>
      <c r="K6" s="20">
        <v>69715.5</v>
      </c>
      <c r="L6" s="20">
        <v>9207.76</v>
      </c>
      <c r="M6" s="20">
        <v>78923.259999999995</v>
      </c>
      <c r="N6" s="20">
        <v>34.840000000000003</v>
      </c>
      <c r="O6" s="20">
        <v>1.02</v>
      </c>
      <c r="P6" s="20">
        <v>7191.24</v>
      </c>
      <c r="Q6" s="20">
        <v>76906.740000000005</v>
      </c>
      <c r="R6" s="20">
        <v>21.9</v>
      </c>
      <c r="S6" s="20">
        <v>604.91999999999996</v>
      </c>
      <c r="T6" s="20">
        <v>2611</v>
      </c>
      <c r="U6" s="20">
        <v>448188.06</v>
      </c>
      <c r="V6" s="20">
        <v>35.130000000000003</v>
      </c>
      <c r="W6">
        <f t="shared" si="0"/>
        <v>46.264839241579701</v>
      </c>
    </row>
    <row r="7" spans="1:23" x14ac:dyDescent="0.4">
      <c r="A7" s="20">
        <v>202504</v>
      </c>
      <c r="B7" s="20" t="s">
        <v>592</v>
      </c>
      <c r="C7" s="37">
        <v>538826.31999999995</v>
      </c>
      <c r="D7" s="37">
        <v>442010.8</v>
      </c>
      <c r="E7" s="37">
        <v>96815.52</v>
      </c>
      <c r="F7" s="37">
        <v>4998</v>
      </c>
      <c r="G7" s="20">
        <v>600.02</v>
      </c>
      <c r="H7" s="20">
        <v>213717.3</v>
      </c>
      <c r="I7" s="20">
        <v>68702.22</v>
      </c>
      <c r="J7" s="20">
        <v>282419.52</v>
      </c>
      <c r="K7" s="20">
        <v>68210.899999999994</v>
      </c>
      <c r="L7" s="20">
        <v>9008.1</v>
      </c>
      <c r="M7" s="20">
        <v>77219</v>
      </c>
      <c r="N7" s="20">
        <v>33.26</v>
      </c>
      <c r="O7" s="20">
        <v>1.39</v>
      </c>
      <c r="P7" s="20">
        <v>7610.74</v>
      </c>
      <c r="Q7" s="20">
        <v>75821.64</v>
      </c>
      <c r="R7" s="20">
        <v>15.51</v>
      </c>
      <c r="S7" s="20">
        <v>601.41</v>
      </c>
      <c r="T7" s="20">
        <v>2885</v>
      </c>
      <c r="U7" s="20">
        <v>358241.16</v>
      </c>
      <c r="V7" s="20">
        <v>33.51</v>
      </c>
      <c r="W7">
        <f t="shared" si="0"/>
        <v>47.586168396525238</v>
      </c>
    </row>
    <row r="8" spans="1:23" x14ac:dyDescent="0.4">
      <c r="A8" s="20">
        <v>202505</v>
      </c>
      <c r="B8" s="20" t="s">
        <v>592</v>
      </c>
      <c r="C8" s="37">
        <v>584840.80000000005</v>
      </c>
      <c r="D8" s="37">
        <v>467104.76</v>
      </c>
      <c r="E8" s="37">
        <v>117736.04</v>
      </c>
      <c r="F8" s="37">
        <v>4998</v>
      </c>
      <c r="G8" s="20">
        <v>604.86</v>
      </c>
      <c r="H8" s="20">
        <v>235029.06</v>
      </c>
      <c r="I8" s="20">
        <v>86931.6</v>
      </c>
      <c r="J8" s="20">
        <v>321960.65999999997</v>
      </c>
      <c r="K8" s="20">
        <v>65480.800000000003</v>
      </c>
      <c r="L8" s="20">
        <v>8609.36</v>
      </c>
      <c r="M8" s="20">
        <v>74090.16</v>
      </c>
      <c r="N8" s="20">
        <v>32.28</v>
      </c>
      <c r="O8" s="20">
        <v>0.98</v>
      </c>
      <c r="P8" s="20">
        <v>6536.84</v>
      </c>
      <c r="Q8" s="20">
        <v>72017.64</v>
      </c>
      <c r="R8" s="20">
        <v>24.07</v>
      </c>
      <c r="S8" s="20">
        <v>605.83000000000004</v>
      </c>
      <c r="T8" s="20">
        <v>2833</v>
      </c>
      <c r="U8" s="20">
        <v>393978.3</v>
      </c>
      <c r="V8" s="20">
        <v>32.630000000000003</v>
      </c>
      <c r="W8">
        <f t="shared" si="0"/>
        <v>44.94900834551899</v>
      </c>
    </row>
    <row r="9" spans="1:23" x14ac:dyDescent="0.4">
      <c r="A9" s="22">
        <v>202506</v>
      </c>
      <c r="B9" s="22" t="s">
        <v>592</v>
      </c>
      <c r="C9" s="38">
        <v>577469.1</v>
      </c>
      <c r="D9" s="38">
        <v>452255.1</v>
      </c>
      <c r="E9" s="38">
        <v>125214</v>
      </c>
      <c r="F9" s="38">
        <v>4998</v>
      </c>
      <c r="G9" s="22">
        <v>600.01</v>
      </c>
      <c r="H9" s="22">
        <v>243316.4</v>
      </c>
      <c r="I9" s="22">
        <v>95662.92</v>
      </c>
      <c r="J9" s="22">
        <v>338979.32</v>
      </c>
      <c r="K9" s="22">
        <v>62554</v>
      </c>
      <c r="L9" s="22">
        <v>9904.74</v>
      </c>
      <c r="M9" s="22">
        <v>72458.740000000005</v>
      </c>
      <c r="N9" s="22">
        <v>28.75</v>
      </c>
      <c r="O9" s="22">
        <v>2.29</v>
      </c>
      <c r="P9" s="22">
        <v>7514.76</v>
      </c>
      <c r="Q9" s="22">
        <v>70068.759999999995</v>
      </c>
      <c r="R9" s="22">
        <v>24.13</v>
      </c>
      <c r="S9" s="22">
        <v>602.29</v>
      </c>
      <c r="T9" s="22">
        <v>2937</v>
      </c>
      <c r="U9" s="22">
        <v>409048.08</v>
      </c>
      <c r="V9" s="23">
        <v>29.17</v>
      </c>
      <c r="W9">
        <f t="shared" si="0"/>
        <v>41.299141373971352</v>
      </c>
    </row>
    <row r="10" spans="1:23" x14ac:dyDescent="0.4">
      <c r="V10" s="2">
        <f>AVERAGE(V4:V9)</f>
        <v>33.87166666666667</v>
      </c>
      <c r="W10" s="2">
        <f>AVERAGE(W4:W9)</f>
        <v>47.032582416691262</v>
      </c>
    </row>
    <row r="11" spans="1:23" x14ac:dyDescent="0.4">
      <c r="V11" s="2"/>
      <c r="W11" s="2"/>
    </row>
    <row r="12" spans="1:23" x14ac:dyDescent="0.4">
      <c r="H12" s="39" t="s">
        <v>611</v>
      </c>
      <c r="I12" s="39"/>
      <c r="J12" s="39"/>
      <c r="K12" s="39"/>
      <c r="L12" s="39"/>
      <c r="M12" s="39"/>
      <c r="N12" s="39"/>
    </row>
    <row r="13" spans="1:23" x14ac:dyDescent="0.4">
      <c r="A13" s="24" t="s">
        <v>0</v>
      </c>
      <c r="B13" s="24" t="s">
        <v>6</v>
      </c>
      <c r="C13" s="24" t="s">
        <v>585</v>
      </c>
      <c r="D13" s="24" t="s">
        <v>150</v>
      </c>
      <c r="E13" s="24" t="s">
        <v>7</v>
      </c>
      <c r="F13" s="24" t="s">
        <v>582</v>
      </c>
      <c r="G13" s="24" t="s">
        <v>8</v>
      </c>
      <c r="H13" s="24" t="s">
        <v>151</v>
      </c>
      <c r="I13" s="24" t="s">
        <v>9</v>
      </c>
      <c r="J13" s="24" t="s">
        <v>586</v>
      </c>
      <c r="K13" s="24" t="s">
        <v>587</v>
      </c>
      <c r="L13" s="24" t="s">
        <v>588</v>
      </c>
      <c r="M13" s="24" t="s">
        <v>589</v>
      </c>
      <c r="N13" s="24" t="s">
        <v>572</v>
      </c>
      <c r="O13" s="24" t="s">
        <v>10</v>
      </c>
      <c r="P13" s="24" t="s">
        <v>590</v>
      </c>
      <c r="Q13" s="24" t="s">
        <v>591</v>
      </c>
      <c r="R13" s="24" t="s">
        <v>593</v>
      </c>
      <c r="S13" s="24" t="s">
        <v>11</v>
      </c>
      <c r="T13" s="24" t="s">
        <v>594</v>
      </c>
      <c r="U13" s="24" t="s">
        <v>12</v>
      </c>
      <c r="V13" s="24" t="s">
        <v>573</v>
      </c>
    </row>
    <row r="14" spans="1:23" x14ac:dyDescent="0.4">
      <c r="A14" s="20">
        <v>202501</v>
      </c>
      <c r="B14" s="20" t="s">
        <v>592</v>
      </c>
      <c r="C14" s="37">
        <v>462768.2</v>
      </c>
      <c r="D14" s="37">
        <v>388721.38</v>
      </c>
      <c r="E14" s="37">
        <v>74046.820000000007</v>
      </c>
      <c r="F14" s="37">
        <v>4998</v>
      </c>
      <c r="G14" s="20">
        <v>603.71</v>
      </c>
      <c r="H14" s="20">
        <v>169889.32</v>
      </c>
      <c r="I14" s="20">
        <v>54778.14</v>
      </c>
      <c r="J14" s="20">
        <v>224667.46</v>
      </c>
      <c r="K14" s="20">
        <v>60421.7</v>
      </c>
      <c r="L14" s="20">
        <v>8161.02</v>
      </c>
      <c r="M14" s="20">
        <v>68582.720000000001</v>
      </c>
      <c r="N14" s="20">
        <v>36.630000000000003</v>
      </c>
      <c r="O14" s="20">
        <v>0.86</v>
      </c>
      <c r="P14" s="20">
        <v>7863.64</v>
      </c>
      <c r="Q14" s="20">
        <v>68285.34</v>
      </c>
      <c r="R14" s="20">
        <v>3.64</v>
      </c>
      <c r="S14" s="20">
        <v>604.58000000000004</v>
      </c>
      <c r="T14" s="20">
        <v>2350</v>
      </c>
      <c r="U14" s="20">
        <v>292952.8</v>
      </c>
      <c r="V14" s="20">
        <v>36.700000000000003</v>
      </c>
    </row>
    <row r="15" spans="1:23" x14ac:dyDescent="0.4">
      <c r="A15">
        <v>202502</v>
      </c>
      <c r="B15" s="20" t="s">
        <v>592</v>
      </c>
      <c r="C15">
        <v>451725.28</v>
      </c>
      <c r="D15">
        <v>380298.52</v>
      </c>
      <c r="E15">
        <v>71426.759999999995</v>
      </c>
      <c r="F15">
        <v>2999</v>
      </c>
      <c r="G15">
        <v>603.72</v>
      </c>
      <c r="H15">
        <v>186097.3</v>
      </c>
      <c r="I15">
        <v>52201.04</v>
      </c>
      <c r="J15">
        <v>238298.34</v>
      </c>
      <c r="K15">
        <v>54807.8</v>
      </c>
      <c r="L15">
        <v>8091.2</v>
      </c>
      <c r="M15">
        <v>62899</v>
      </c>
      <c r="N15">
        <v>33.32</v>
      </c>
      <c r="O15">
        <v>1.44</v>
      </c>
      <c r="P15">
        <v>7560.98</v>
      </c>
      <c r="Q15">
        <v>62368.78</v>
      </c>
      <c r="R15">
        <v>6.55</v>
      </c>
      <c r="S15">
        <v>605.16999999999996</v>
      </c>
      <c r="T15">
        <v>2690</v>
      </c>
      <c r="U15">
        <v>300667.12</v>
      </c>
      <c r="V15">
        <v>33.44</v>
      </c>
    </row>
    <row r="16" spans="1:23" x14ac:dyDescent="0.4">
      <c r="A16">
        <v>202503</v>
      </c>
      <c r="B16" s="20" t="s">
        <v>592</v>
      </c>
      <c r="C16">
        <v>676795.12</v>
      </c>
      <c r="D16">
        <v>549117.78</v>
      </c>
      <c r="E16">
        <v>127677.34</v>
      </c>
      <c r="F16">
        <v>2999</v>
      </c>
      <c r="G16">
        <v>600.69000000000005</v>
      </c>
      <c r="H16">
        <v>271737.38</v>
      </c>
      <c r="I16">
        <v>91829.3</v>
      </c>
      <c r="J16">
        <v>363566.68</v>
      </c>
      <c r="K16">
        <v>62388.3</v>
      </c>
      <c r="L16">
        <v>10309</v>
      </c>
      <c r="M16">
        <v>72697.3</v>
      </c>
      <c r="N16">
        <v>35.54</v>
      </c>
      <c r="O16">
        <v>1.58</v>
      </c>
      <c r="P16">
        <v>9609.0400000000009</v>
      </c>
      <c r="Q16">
        <v>71997.34</v>
      </c>
      <c r="R16">
        <v>6.79</v>
      </c>
      <c r="S16">
        <v>602.27</v>
      </c>
      <c r="T16">
        <v>2777</v>
      </c>
      <c r="U16">
        <v>435564.02</v>
      </c>
      <c r="V16">
        <v>35.64</v>
      </c>
    </row>
    <row r="17" spans="1:22" x14ac:dyDescent="0.4">
      <c r="A17">
        <v>202504</v>
      </c>
      <c r="B17" s="20" t="s">
        <v>592</v>
      </c>
      <c r="C17">
        <v>472525.04</v>
      </c>
      <c r="D17">
        <v>377778.92</v>
      </c>
      <c r="E17">
        <v>94746.12</v>
      </c>
      <c r="F17">
        <v>2999</v>
      </c>
      <c r="G17">
        <v>602.80999999999995</v>
      </c>
      <c r="H17">
        <v>208752.1</v>
      </c>
      <c r="I17">
        <v>67888.56</v>
      </c>
      <c r="J17">
        <v>276640.65999999997</v>
      </c>
      <c r="K17">
        <v>51920.4</v>
      </c>
      <c r="L17">
        <v>6980.68</v>
      </c>
      <c r="M17">
        <v>58901.08</v>
      </c>
      <c r="N17">
        <v>28.99</v>
      </c>
      <c r="O17">
        <v>1.31</v>
      </c>
      <c r="P17">
        <v>5977.28</v>
      </c>
      <c r="Q17">
        <v>57897.68</v>
      </c>
      <c r="R17">
        <v>14.37</v>
      </c>
      <c r="S17">
        <v>604.12</v>
      </c>
      <c r="T17">
        <v>2713</v>
      </c>
      <c r="U17">
        <v>334538.34000000003</v>
      </c>
      <c r="V17">
        <v>29.2</v>
      </c>
    </row>
    <row r="18" spans="1:22" x14ac:dyDescent="0.4">
      <c r="A18">
        <v>202505</v>
      </c>
      <c r="B18" s="20" t="s">
        <v>592</v>
      </c>
      <c r="C18">
        <v>507952.12</v>
      </c>
      <c r="D18">
        <v>392118.76</v>
      </c>
      <c r="E18">
        <v>115833.36</v>
      </c>
      <c r="F18">
        <v>2999</v>
      </c>
      <c r="G18">
        <v>602.38</v>
      </c>
      <c r="H18">
        <v>229039.82</v>
      </c>
      <c r="I18">
        <v>85198</v>
      </c>
      <c r="J18">
        <v>314237.82</v>
      </c>
      <c r="K18">
        <v>50625.5</v>
      </c>
      <c r="L18">
        <v>6585.4</v>
      </c>
      <c r="M18">
        <v>57210.9</v>
      </c>
      <c r="N18">
        <v>26.87</v>
      </c>
      <c r="O18">
        <v>1.76</v>
      </c>
      <c r="P18">
        <v>5239.6000000000004</v>
      </c>
      <c r="Q18">
        <v>55865.1</v>
      </c>
      <c r="R18">
        <v>20.440000000000001</v>
      </c>
      <c r="S18">
        <v>604.13</v>
      </c>
      <c r="T18">
        <v>2803</v>
      </c>
      <c r="U18">
        <v>370102.92</v>
      </c>
      <c r="V18">
        <v>27.14</v>
      </c>
    </row>
    <row r="19" spans="1:22" x14ac:dyDescent="0.4">
      <c r="A19">
        <v>202506</v>
      </c>
      <c r="B19" s="22" t="s">
        <v>592</v>
      </c>
      <c r="C19">
        <v>538816.72</v>
      </c>
      <c r="D19">
        <v>413542.44</v>
      </c>
      <c r="E19">
        <v>125274.28</v>
      </c>
      <c r="F19">
        <v>2999</v>
      </c>
      <c r="G19">
        <v>600</v>
      </c>
      <c r="H19">
        <v>237882.78</v>
      </c>
      <c r="I19">
        <v>95310.86</v>
      </c>
      <c r="J19">
        <v>333193.64</v>
      </c>
      <c r="K19">
        <v>53856.2</v>
      </c>
      <c r="L19">
        <v>4970</v>
      </c>
      <c r="M19">
        <v>58826.2</v>
      </c>
      <c r="N19">
        <v>27.24</v>
      </c>
      <c r="O19">
        <v>0.7</v>
      </c>
      <c r="P19">
        <v>3831.38</v>
      </c>
      <c r="Q19">
        <v>57687.58</v>
      </c>
      <c r="R19">
        <v>22.91</v>
      </c>
      <c r="S19">
        <v>600.71</v>
      </c>
      <c r="T19">
        <v>2582</v>
      </c>
      <c r="U19">
        <v>390881.22</v>
      </c>
      <c r="V19">
        <v>27.46</v>
      </c>
    </row>
    <row r="20" spans="1:22" x14ac:dyDescent="0.4">
      <c r="N20"/>
    </row>
    <row r="26" spans="1:22" s="40" customFormat="1" ht="29.15" x14ac:dyDescent="0.4">
      <c r="A26" s="42" t="s">
        <v>613</v>
      </c>
      <c r="B26" s="42" t="s">
        <v>585</v>
      </c>
      <c r="C26" s="42" t="s">
        <v>612</v>
      </c>
      <c r="D26" s="42" t="s">
        <v>574</v>
      </c>
      <c r="E26" s="42" t="s">
        <v>576</v>
      </c>
      <c r="F26" s="42" t="s">
        <v>575</v>
      </c>
      <c r="G26" s="42" t="s">
        <v>577</v>
      </c>
      <c r="H26" s="42" t="s">
        <v>579</v>
      </c>
      <c r="I26" s="42" t="s">
        <v>578</v>
      </c>
      <c r="O26" s="41"/>
    </row>
    <row r="27" spans="1:22" x14ac:dyDescent="0.4">
      <c r="A27" s="20">
        <v>202501</v>
      </c>
      <c r="B27" s="37">
        <v>462768.2</v>
      </c>
      <c r="C27" s="37">
        <f>B27</f>
        <v>462768.2</v>
      </c>
      <c r="D27" s="37">
        <v>292952.8</v>
      </c>
      <c r="E27" s="37">
        <f>D27</f>
        <v>292952.8</v>
      </c>
      <c r="F27" s="37">
        <v>292952.8</v>
      </c>
      <c r="G27" s="37">
        <f>F27</f>
        <v>292952.8</v>
      </c>
      <c r="H27" s="21">
        <f>(1-E27/C27)*100</f>
        <v>36.695563783336894</v>
      </c>
      <c r="I27" s="21">
        <f>(1-G27/C27)*100</f>
        <v>36.695563783336894</v>
      </c>
      <c r="N27"/>
      <c r="O27" s="2"/>
    </row>
    <row r="28" spans="1:22" x14ac:dyDescent="0.4">
      <c r="A28" s="20">
        <v>202502</v>
      </c>
      <c r="B28" s="37">
        <v>503756.74</v>
      </c>
      <c r="C28" s="37">
        <f>B28+C27</f>
        <v>966524.94</v>
      </c>
      <c r="D28" s="37">
        <v>321946.64</v>
      </c>
      <c r="E28" s="37">
        <f>D28+E27</f>
        <v>614899.43999999994</v>
      </c>
      <c r="F28" s="37">
        <v>300667.12</v>
      </c>
      <c r="G28" s="37">
        <f>F28+G27</f>
        <v>593619.91999999993</v>
      </c>
      <c r="H28" s="21">
        <f>(1-E28/C28)*100</f>
        <v>36.380385590463916</v>
      </c>
      <c r="I28" s="21">
        <f t="shared" ref="I28:I32" si="1">(1-G28/C28)*100</f>
        <v>38.582038038252797</v>
      </c>
      <c r="N28"/>
      <c r="O28" s="2"/>
    </row>
    <row r="29" spans="1:22" x14ac:dyDescent="0.4">
      <c r="A29" s="20">
        <v>202503</v>
      </c>
      <c r="B29" s="37">
        <v>690946.7</v>
      </c>
      <c r="C29" s="37">
        <f t="shared" ref="C29:C32" si="2">B29+C28</f>
        <v>1657471.64</v>
      </c>
      <c r="D29" s="37">
        <v>448188.06</v>
      </c>
      <c r="E29" s="37">
        <f t="shared" ref="E29:E32" si="3">D29+E28</f>
        <v>1063087.5</v>
      </c>
      <c r="F29" s="37">
        <v>435564.02</v>
      </c>
      <c r="G29" s="37">
        <f t="shared" ref="G29:G32" si="4">F29+G28</f>
        <v>1029183.94</v>
      </c>
      <c r="H29" s="21">
        <f t="shared" ref="H29:H32" si="5">(1-E29/C29)*100</f>
        <v>35.860893523342575</v>
      </c>
      <c r="I29" s="21">
        <f t="shared" si="1"/>
        <v>37.906392172115829</v>
      </c>
      <c r="N29"/>
      <c r="O29" s="2"/>
    </row>
    <row r="30" spans="1:22" x14ac:dyDescent="0.4">
      <c r="A30" s="20">
        <v>202504</v>
      </c>
      <c r="B30" s="37">
        <v>538826.31999999995</v>
      </c>
      <c r="C30" s="37">
        <f>B30+C29</f>
        <v>2196297.96</v>
      </c>
      <c r="D30" s="37">
        <v>358241.16</v>
      </c>
      <c r="E30" s="37">
        <f t="shared" si="3"/>
        <v>1421328.66</v>
      </c>
      <c r="F30" s="37">
        <v>334538.34000000003</v>
      </c>
      <c r="G30" s="37">
        <f t="shared" si="4"/>
        <v>1363722.28</v>
      </c>
      <c r="H30" s="21">
        <f t="shared" si="5"/>
        <v>35.285253372452253</v>
      </c>
      <c r="I30" s="21">
        <f t="shared" si="1"/>
        <v>37.908138839231086</v>
      </c>
      <c r="N30"/>
      <c r="O30" s="2"/>
    </row>
    <row r="31" spans="1:22" x14ac:dyDescent="0.4">
      <c r="A31" s="20">
        <v>202505</v>
      </c>
      <c r="B31" s="37">
        <v>584840.80000000005</v>
      </c>
      <c r="C31" s="37">
        <f t="shared" si="2"/>
        <v>2781138.76</v>
      </c>
      <c r="D31" s="37">
        <v>393978.3</v>
      </c>
      <c r="E31" s="37">
        <f t="shared" si="3"/>
        <v>1815306.96</v>
      </c>
      <c r="F31" s="37">
        <v>370102.92</v>
      </c>
      <c r="G31" s="37">
        <f t="shared" si="4"/>
        <v>1733825.2</v>
      </c>
      <c r="H31" s="21">
        <f t="shared" si="5"/>
        <v>34.727925621373878</v>
      </c>
      <c r="I31" s="21">
        <f t="shared" si="1"/>
        <v>37.657724061204334</v>
      </c>
      <c r="N31"/>
      <c r="O31" s="2"/>
    </row>
    <row r="32" spans="1:22" x14ac:dyDescent="0.4">
      <c r="A32" s="22">
        <v>202506</v>
      </c>
      <c r="B32" s="38">
        <v>577469.1</v>
      </c>
      <c r="C32" s="38">
        <f t="shared" si="2"/>
        <v>3358607.86</v>
      </c>
      <c r="D32" s="38">
        <v>409048.08</v>
      </c>
      <c r="E32" s="38">
        <f t="shared" si="3"/>
        <v>2224355.04</v>
      </c>
      <c r="F32" s="38">
        <v>390881.22</v>
      </c>
      <c r="G32" s="38">
        <f t="shared" si="4"/>
        <v>2124706.42</v>
      </c>
      <c r="H32" s="23">
        <f t="shared" si="5"/>
        <v>33.771516868896981</v>
      </c>
      <c r="I32" s="23">
        <f t="shared" si="1"/>
        <v>36.738478900600199</v>
      </c>
      <c r="N32"/>
      <c r="O32" s="2"/>
    </row>
    <row r="33" spans="14:15" x14ac:dyDescent="0.4">
      <c r="N33"/>
      <c r="O33" s="2"/>
    </row>
  </sheetData>
  <mergeCells count="2">
    <mergeCell ref="C2:R2"/>
    <mergeCell ref="H12:N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5785-6115-4D45-BFBD-C8B1E3B34E32}">
  <dimension ref="A3:I14"/>
  <sheetViews>
    <sheetView workbookViewId="0">
      <selection activeCell="B10" sqref="B10:I13"/>
    </sheetView>
  </sheetViews>
  <sheetFormatPr defaultRowHeight="14.6" x14ac:dyDescent="0.4"/>
  <cols>
    <col min="1" max="1" width="10.4609375" bestFit="1" customWidth="1"/>
    <col min="2" max="2" width="17" bestFit="1" customWidth="1"/>
    <col min="3" max="3" width="16.53515625" bestFit="1" customWidth="1"/>
    <col min="4" max="4" width="15.921875" bestFit="1" customWidth="1"/>
    <col min="5" max="5" width="17.765625" bestFit="1" customWidth="1"/>
    <col min="6" max="6" width="20.07421875" bestFit="1" customWidth="1"/>
    <col min="7" max="7" width="19.07421875" bestFit="1" customWidth="1"/>
    <col min="8" max="8" width="17.921875" style="2" bestFit="1" customWidth="1"/>
    <col min="9" max="9" width="16.84375" bestFit="1" customWidth="1"/>
  </cols>
  <sheetData>
    <row r="3" spans="1:9" x14ac:dyDescent="0.4">
      <c r="A3" s="31" t="s">
        <v>596</v>
      </c>
      <c r="B3" s="35" t="s">
        <v>598</v>
      </c>
      <c r="C3" s="35" t="s">
        <v>600</v>
      </c>
      <c r="D3" s="35" t="s">
        <v>601</v>
      </c>
      <c r="E3" t="s">
        <v>602</v>
      </c>
      <c r="F3" t="s">
        <v>603</v>
      </c>
      <c r="G3" t="s">
        <v>604</v>
      </c>
      <c r="H3" s="2" t="s">
        <v>607</v>
      </c>
      <c r="I3" t="s">
        <v>605</v>
      </c>
    </row>
    <row r="4" spans="1:9" x14ac:dyDescent="0.4">
      <c r="A4" s="32">
        <v>2000</v>
      </c>
      <c r="B4" s="35"/>
      <c r="C4" s="35"/>
      <c r="D4" s="35"/>
      <c r="E4" s="2"/>
      <c r="F4" s="2"/>
      <c r="G4" s="2"/>
      <c r="I4" s="2"/>
    </row>
    <row r="5" spans="1:9" x14ac:dyDescent="0.4">
      <c r="A5" s="33" t="s">
        <v>592</v>
      </c>
      <c r="B5" s="35">
        <v>217565.04888888882</v>
      </c>
      <c r="C5" s="35">
        <v>149291.0155555555</v>
      </c>
      <c r="D5" s="35">
        <v>134400.82888888891</v>
      </c>
      <c r="E5" s="35">
        <v>14890.186666666666</v>
      </c>
      <c r="F5" s="2">
        <v>31.31422222222222</v>
      </c>
      <c r="G5" s="2">
        <v>31.317999999999998</v>
      </c>
      <c r="H5" s="2">
        <v>600.57888888888886</v>
      </c>
      <c r="I5" s="2">
        <v>600.70177777777792</v>
      </c>
    </row>
    <row r="6" spans="1:9" x14ac:dyDescent="0.4">
      <c r="A6" s="33" t="s">
        <v>15</v>
      </c>
      <c r="B6" s="35">
        <v>217565.04888888882</v>
      </c>
      <c r="C6" s="35">
        <v>149841.11555555556</v>
      </c>
      <c r="D6" s="35">
        <v>134868.4577777778</v>
      </c>
      <c r="E6" s="35">
        <v>14972.657777777773</v>
      </c>
      <c r="F6" s="2">
        <v>30.996444444444446</v>
      </c>
      <c r="G6" s="2">
        <v>31.032888888888895</v>
      </c>
      <c r="H6" s="2">
        <v>600.44311111111119</v>
      </c>
      <c r="I6" s="2">
        <v>600.57133333333343</v>
      </c>
    </row>
    <row r="7" spans="1:9" x14ac:dyDescent="0.4">
      <c r="A7" s="33" t="s">
        <v>580</v>
      </c>
      <c r="B7" s="35">
        <v>217565.04888888882</v>
      </c>
      <c r="C7" s="35">
        <v>150519.79111111109</v>
      </c>
      <c r="D7" s="35">
        <v>135459.32222222217</v>
      </c>
      <c r="E7" s="35">
        <v>15060.468888888885</v>
      </c>
      <c r="F7" s="2">
        <v>30.633333333333329</v>
      </c>
      <c r="G7" s="2">
        <v>30.691999999999997</v>
      </c>
      <c r="H7" s="2">
        <v>600.47333333333336</v>
      </c>
      <c r="I7" s="2">
        <v>600.72755555555557</v>
      </c>
    </row>
    <row r="8" spans="1:9" x14ac:dyDescent="0.4">
      <c r="A8" s="33" t="s">
        <v>14</v>
      </c>
      <c r="B8" s="35">
        <v>217565.04888888882</v>
      </c>
      <c r="C8" s="35">
        <v>151801.7977777778</v>
      </c>
      <c r="D8" s="35">
        <v>136338.94222222225</v>
      </c>
      <c r="E8" s="35">
        <v>15462.855555555558</v>
      </c>
      <c r="F8" s="2">
        <v>30.206888888888894</v>
      </c>
      <c r="G8" s="2">
        <v>30.241777777777781</v>
      </c>
      <c r="H8" s="2">
        <v>600.00533333333306</v>
      </c>
      <c r="I8" s="2">
        <v>600.16955555555558</v>
      </c>
    </row>
    <row r="9" spans="1:9" x14ac:dyDescent="0.4">
      <c r="A9" s="32">
        <v>4000</v>
      </c>
      <c r="B9" s="35"/>
      <c r="C9" s="35"/>
      <c r="D9" s="35"/>
      <c r="E9" s="35"/>
      <c r="F9" s="2"/>
      <c r="G9" s="2"/>
      <c r="I9" s="2"/>
    </row>
    <row r="10" spans="1:9" x14ac:dyDescent="0.4">
      <c r="A10" s="33" t="s">
        <v>592</v>
      </c>
      <c r="B10" s="35">
        <v>265058.75555555557</v>
      </c>
      <c r="C10" s="35">
        <v>186795.24222222224</v>
      </c>
      <c r="D10" s="35">
        <v>158997.03111111111</v>
      </c>
      <c r="E10" s="35">
        <v>27798.211111111123</v>
      </c>
      <c r="F10" s="2">
        <v>28.895333333333337</v>
      </c>
      <c r="G10" s="2">
        <v>28.907777777777781</v>
      </c>
      <c r="H10" s="2">
        <v>601.10044444444441</v>
      </c>
      <c r="I10" s="2">
        <v>601.56311111111108</v>
      </c>
    </row>
    <row r="11" spans="1:9" x14ac:dyDescent="0.4">
      <c r="A11" s="33" t="s">
        <v>15</v>
      </c>
      <c r="B11" s="35">
        <v>265058.75555555557</v>
      </c>
      <c r="C11" s="35">
        <v>188670.26000000004</v>
      </c>
      <c r="D11" s="35">
        <v>160519.17555555559</v>
      </c>
      <c r="E11" s="35">
        <v>28151.084444444452</v>
      </c>
      <c r="F11" s="2">
        <v>28.155555555555551</v>
      </c>
      <c r="G11" s="2">
        <v>28.222444444444445</v>
      </c>
      <c r="H11" s="2">
        <v>600.42311111111076</v>
      </c>
      <c r="I11" s="2">
        <v>600.7746666666668</v>
      </c>
    </row>
    <row r="12" spans="1:9" x14ac:dyDescent="0.4">
      <c r="A12" s="33" t="s">
        <v>580</v>
      </c>
      <c r="B12" s="35">
        <v>265058.75555555557</v>
      </c>
      <c r="C12" s="35">
        <v>190067.85555555555</v>
      </c>
      <c r="D12" s="35">
        <v>162829.15999999997</v>
      </c>
      <c r="E12" s="35">
        <v>27238.695555555558</v>
      </c>
      <c r="F12" s="2">
        <v>27.489555555555555</v>
      </c>
      <c r="G12" s="2">
        <v>27.65644444444445</v>
      </c>
      <c r="H12" s="2">
        <v>600.3544444444442</v>
      </c>
      <c r="I12" s="2">
        <v>601.94577777777783</v>
      </c>
    </row>
    <row r="13" spans="1:9" x14ac:dyDescent="0.4">
      <c r="A13" s="33" t="s">
        <v>14</v>
      </c>
      <c r="B13" s="35">
        <v>265058.75555555557</v>
      </c>
      <c r="C13" s="35">
        <v>191133.93333333332</v>
      </c>
      <c r="D13" s="35">
        <v>162321.72444444444</v>
      </c>
      <c r="E13" s="35">
        <v>28812.208888888887</v>
      </c>
      <c r="F13" s="2">
        <v>27.321111111111108</v>
      </c>
      <c r="G13" s="2">
        <v>27.403333333333329</v>
      </c>
      <c r="H13" s="2">
        <v>600.01088888888864</v>
      </c>
      <c r="I13" s="2">
        <v>600.49044444444451</v>
      </c>
    </row>
    <row r="14" spans="1:9" x14ac:dyDescent="0.4">
      <c r="A14" s="32" t="s">
        <v>597</v>
      </c>
      <c r="B14" s="35">
        <v>241311.9022222221</v>
      </c>
      <c r="C14" s="35">
        <v>169765.12638888895</v>
      </c>
      <c r="D14" s="35">
        <v>148216.83027777783</v>
      </c>
      <c r="E14" s="35">
        <v>21548.296111111114</v>
      </c>
      <c r="F14" s="2">
        <v>29.37655555555558</v>
      </c>
      <c r="G14" s="2">
        <v>29.434333333333338</v>
      </c>
      <c r="H14" s="2">
        <v>600.42369444444421</v>
      </c>
      <c r="I14" s="2">
        <v>600.8680277777778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FAAD-AE5B-45B4-9C9A-319D183D5B29}">
  <dimension ref="A3:J28"/>
  <sheetViews>
    <sheetView workbookViewId="0">
      <selection activeCell="G21" sqref="G21"/>
    </sheetView>
  </sheetViews>
  <sheetFormatPr defaultRowHeight="14.6" x14ac:dyDescent="0.4"/>
  <cols>
    <col min="1" max="1" width="15" bestFit="1" customWidth="1"/>
    <col min="2" max="2" width="10.3828125" bestFit="1" customWidth="1"/>
    <col min="3" max="3" width="17" bestFit="1" customWidth="1"/>
    <col min="4" max="4" width="16.53515625" bestFit="1" customWidth="1"/>
    <col min="5" max="5" width="15.921875" bestFit="1" customWidth="1"/>
    <col min="6" max="6" width="17.765625" bestFit="1" customWidth="1"/>
    <col min="7" max="7" width="20.07421875" bestFit="1" customWidth="1"/>
    <col min="8" max="8" width="19.07421875" style="2" bestFit="1" customWidth="1"/>
    <col min="9" max="9" width="17.921875" bestFit="1" customWidth="1"/>
    <col min="10" max="10" width="16.84375" bestFit="1" customWidth="1"/>
  </cols>
  <sheetData>
    <row r="3" spans="1:10" x14ac:dyDescent="0.4">
      <c r="A3" s="31" t="s">
        <v>596</v>
      </c>
      <c r="B3" t="s">
        <v>606</v>
      </c>
      <c r="C3" s="35" t="s">
        <v>598</v>
      </c>
      <c r="D3" s="35" t="s">
        <v>600</v>
      </c>
      <c r="E3" s="35" t="s">
        <v>601</v>
      </c>
      <c r="F3" s="35" t="s">
        <v>602</v>
      </c>
      <c r="G3" s="2" t="s">
        <v>603</v>
      </c>
      <c r="H3" s="2" t="s">
        <v>604</v>
      </c>
      <c r="I3" s="2" t="s">
        <v>607</v>
      </c>
      <c r="J3" s="2" t="s">
        <v>605</v>
      </c>
    </row>
    <row r="4" spans="1:10" x14ac:dyDescent="0.4">
      <c r="A4" s="32">
        <v>800</v>
      </c>
      <c r="B4" s="34"/>
      <c r="C4" s="35"/>
      <c r="D4" s="35"/>
      <c r="E4" s="35"/>
      <c r="F4" s="35"/>
      <c r="G4" s="2"/>
      <c r="I4" s="2"/>
      <c r="J4" s="2"/>
    </row>
    <row r="5" spans="1:10" x14ac:dyDescent="0.4">
      <c r="A5" s="33" t="s">
        <v>592</v>
      </c>
      <c r="B5" s="34">
        <v>135</v>
      </c>
      <c r="C5" s="35">
        <v>141663.19925925933</v>
      </c>
      <c r="D5" s="35">
        <v>105064.70148148146</v>
      </c>
      <c r="E5" s="35">
        <v>100884.77629629632</v>
      </c>
      <c r="F5" s="35">
        <v>4179.9251851851841</v>
      </c>
      <c r="G5" s="2">
        <v>25.380444444444443</v>
      </c>
      <c r="H5" s="2">
        <v>25.383629629629624</v>
      </c>
      <c r="I5" s="2">
        <v>600.4513333333332</v>
      </c>
      <c r="J5" s="2">
        <v>600.48103703703725</v>
      </c>
    </row>
    <row r="6" spans="1:10" x14ac:dyDescent="0.4">
      <c r="A6" s="33" t="s">
        <v>583</v>
      </c>
      <c r="B6" s="34">
        <v>135</v>
      </c>
      <c r="C6" s="35">
        <v>141663.19925925933</v>
      </c>
      <c r="D6" s="35">
        <v>106712.34740740739</v>
      </c>
      <c r="E6" s="35">
        <v>102070.26666666668</v>
      </c>
      <c r="F6" s="35">
        <v>4642.0807407407392</v>
      </c>
      <c r="G6" s="2">
        <v>24.149925925925931</v>
      </c>
      <c r="H6" s="2">
        <v>24.172666666666675</v>
      </c>
      <c r="I6" s="2">
        <v>600.00651851851819</v>
      </c>
      <c r="J6" s="2">
        <v>600.0427407407409</v>
      </c>
    </row>
    <row r="7" spans="1:10" x14ac:dyDescent="0.4">
      <c r="A7" s="33" t="s">
        <v>595</v>
      </c>
      <c r="B7" s="34">
        <v>135</v>
      </c>
      <c r="C7" s="35">
        <v>141663.19925925933</v>
      </c>
      <c r="D7" s="35">
        <v>123256.32962962965</v>
      </c>
      <c r="E7" s="35">
        <v>119159.9385185186</v>
      </c>
      <c r="F7" s="35">
        <v>4096.391111111112</v>
      </c>
      <c r="G7" s="2">
        <v>12.358888888888892</v>
      </c>
      <c r="H7" s="2">
        <v>12.450740740740734</v>
      </c>
      <c r="I7" s="2">
        <v>0.18799999999999994</v>
      </c>
      <c r="J7" s="2">
        <v>0.21096296296296302</v>
      </c>
    </row>
    <row r="8" spans="1:10" x14ac:dyDescent="0.4">
      <c r="A8" s="32">
        <v>2000</v>
      </c>
      <c r="B8" s="34"/>
      <c r="C8" s="35"/>
      <c r="D8" s="35"/>
      <c r="E8" s="35"/>
      <c r="F8" s="35"/>
      <c r="G8" s="2"/>
      <c r="I8" s="2"/>
      <c r="J8" s="2"/>
    </row>
    <row r="9" spans="1:10" x14ac:dyDescent="0.4">
      <c r="A9" s="33" t="s">
        <v>592</v>
      </c>
      <c r="B9" s="34">
        <v>135</v>
      </c>
      <c r="C9" s="35">
        <v>253802.07333333333</v>
      </c>
      <c r="D9" s="35">
        <v>173236.39259259257</v>
      </c>
      <c r="E9" s="35">
        <v>158571.40740740742</v>
      </c>
      <c r="F9" s="35">
        <v>14664.985185185189</v>
      </c>
      <c r="G9" s="2">
        <v>31.20703703703705</v>
      </c>
      <c r="H9" s="2">
        <v>31.211629629629627</v>
      </c>
      <c r="I9" s="2">
        <v>600.60918518518531</v>
      </c>
      <c r="J9" s="2">
        <v>600.74148148148151</v>
      </c>
    </row>
    <row r="10" spans="1:10" x14ac:dyDescent="0.4">
      <c r="A10" s="33" t="s">
        <v>583</v>
      </c>
      <c r="B10" s="34">
        <v>135</v>
      </c>
      <c r="C10" s="35">
        <v>253802.07333333333</v>
      </c>
      <c r="D10" s="35">
        <v>178128.40222222224</v>
      </c>
      <c r="E10" s="35">
        <v>159560.21925925929</v>
      </c>
      <c r="F10" s="35">
        <v>18568.182962962961</v>
      </c>
      <c r="G10" s="2">
        <v>28.816888888888901</v>
      </c>
      <c r="H10" s="2">
        <v>28.896148148148139</v>
      </c>
      <c r="I10" s="2">
        <v>600.00748148148125</v>
      </c>
      <c r="J10" s="2">
        <v>600.15385185185187</v>
      </c>
    </row>
    <row r="11" spans="1:10" x14ac:dyDescent="0.4">
      <c r="A11" s="33" t="s">
        <v>595</v>
      </c>
      <c r="B11" s="34">
        <v>135</v>
      </c>
      <c r="C11" s="35">
        <v>253802.07333333333</v>
      </c>
      <c r="D11" s="35">
        <v>211678.77777777778</v>
      </c>
      <c r="E11" s="35">
        <v>194356.08074074076</v>
      </c>
      <c r="F11" s="35">
        <v>17322.697037037029</v>
      </c>
      <c r="G11" s="2">
        <v>15.008296296296306</v>
      </c>
      <c r="H11" s="2">
        <v>15.12096296296296</v>
      </c>
      <c r="I11" s="2">
        <v>0.44096296296296278</v>
      </c>
      <c r="J11" s="2">
        <v>0.52118518518518475</v>
      </c>
    </row>
    <row r="12" spans="1:10" x14ac:dyDescent="0.4">
      <c r="A12" s="32">
        <v>4000</v>
      </c>
      <c r="B12" s="34"/>
      <c r="C12" s="35"/>
      <c r="D12" s="35"/>
      <c r="E12" s="35"/>
      <c r="F12" s="35"/>
      <c r="G12" s="2"/>
      <c r="I12" s="2"/>
      <c r="J12" s="2"/>
    </row>
    <row r="13" spans="1:10" x14ac:dyDescent="0.4">
      <c r="A13" s="33" t="s">
        <v>592</v>
      </c>
      <c r="B13" s="34">
        <v>135</v>
      </c>
      <c r="C13" s="35">
        <v>308344.68222222209</v>
      </c>
      <c r="D13" s="35">
        <v>216297.49333333349</v>
      </c>
      <c r="E13" s="35">
        <v>189014.20074074069</v>
      </c>
      <c r="F13" s="35">
        <v>27283.292592592603</v>
      </c>
      <c r="G13" s="2">
        <v>28.535629629629629</v>
      </c>
      <c r="H13" s="2">
        <v>28.549555555555553</v>
      </c>
      <c r="I13" s="2">
        <v>601.16311111111099</v>
      </c>
      <c r="J13" s="2">
        <v>601.63925925925935</v>
      </c>
    </row>
    <row r="14" spans="1:10" x14ac:dyDescent="0.4">
      <c r="A14" s="33" t="s">
        <v>583</v>
      </c>
      <c r="B14" s="34">
        <v>135</v>
      </c>
      <c r="C14" s="35">
        <v>308344.68222222209</v>
      </c>
      <c r="D14" s="35">
        <v>227295.16074074074</v>
      </c>
      <c r="E14" s="35">
        <v>187551.59629629634</v>
      </c>
      <c r="F14" s="35">
        <v>39743.56444444447</v>
      </c>
      <c r="G14" s="2">
        <v>23.758962962962961</v>
      </c>
      <c r="H14" s="2">
        <v>23.966074074074072</v>
      </c>
      <c r="I14" s="2">
        <v>600.01437037036999</v>
      </c>
      <c r="J14" s="2">
        <v>600.40148148148137</v>
      </c>
    </row>
    <row r="15" spans="1:10" x14ac:dyDescent="0.4">
      <c r="A15" s="33" t="s">
        <v>595</v>
      </c>
      <c r="B15" s="34">
        <v>135</v>
      </c>
      <c r="C15" s="35">
        <v>308344.68222222209</v>
      </c>
      <c r="D15" s="35">
        <v>272425.41851851851</v>
      </c>
      <c r="E15" s="35">
        <v>243213.49481481471</v>
      </c>
      <c r="F15" s="35">
        <v>29211.923703703731</v>
      </c>
      <c r="G15" s="2">
        <v>9.4488888888888862</v>
      </c>
      <c r="H15" s="2">
        <v>9.6200000000000028</v>
      </c>
      <c r="I15" s="2">
        <v>1.4635555555555559</v>
      </c>
      <c r="J15" s="2">
        <v>1.6412592592592596</v>
      </c>
    </row>
    <row r="16" spans="1:10" x14ac:dyDescent="0.4">
      <c r="A16" s="32">
        <v>8000</v>
      </c>
      <c r="B16" s="34"/>
      <c r="C16" s="35"/>
      <c r="D16" s="35"/>
      <c r="E16" s="35"/>
      <c r="F16" s="35"/>
      <c r="G16" s="2"/>
      <c r="I16" s="2"/>
      <c r="J16" s="2"/>
    </row>
    <row r="17" spans="1:10" x14ac:dyDescent="0.4">
      <c r="A17" s="33" t="s">
        <v>592</v>
      </c>
      <c r="B17" s="34">
        <v>135</v>
      </c>
      <c r="C17" s="35">
        <v>512900.50962962961</v>
      </c>
      <c r="D17" s="35">
        <v>338632.45555555559</v>
      </c>
      <c r="E17" s="35">
        <v>281622.07259259257</v>
      </c>
      <c r="F17" s="35">
        <v>57010.382962962998</v>
      </c>
      <c r="G17" s="2">
        <v>32.40585185185185</v>
      </c>
      <c r="H17" s="2">
        <v>32.419703703703725</v>
      </c>
      <c r="I17" s="2">
        <v>602.09325925925907</v>
      </c>
      <c r="J17" s="2">
        <v>603.44866666666678</v>
      </c>
    </row>
    <row r="18" spans="1:10" x14ac:dyDescent="0.4">
      <c r="A18" s="33" t="s">
        <v>583</v>
      </c>
      <c r="B18" s="34">
        <v>135</v>
      </c>
      <c r="C18" s="35">
        <v>512900.50962962961</v>
      </c>
      <c r="D18" s="35">
        <v>367074.57333333342</v>
      </c>
      <c r="E18" s="35">
        <v>257544.49925925914</v>
      </c>
      <c r="F18" s="35">
        <v>109530.07407407404</v>
      </c>
      <c r="G18" s="2">
        <v>23.085111111111107</v>
      </c>
      <c r="H18" s="2">
        <v>23.680074074074074</v>
      </c>
      <c r="I18" s="2">
        <v>600.02088888888829</v>
      </c>
      <c r="J18" s="2">
        <v>601.15207407407388</v>
      </c>
    </row>
    <row r="19" spans="1:10" x14ac:dyDescent="0.4">
      <c r="A19" s="33" t="s">
        <v>595</v>
      </c>
      <c r="B19" s="34">
        <v>135</v>
      </c>
      <c r="C19" s="35">
        <v>512900.50962962961</v>
      </c>
      <c r="D19" s="35">
        <v>458443.70444444427</v>
      </c>
      <c r="E19" s="35">
        <v>383792.21703703701</v>
      </c>
      <c r="F19" s="35">
        <v>74651.487407407389</v>
      </c>
      <c r="G19" s="2">
        <v>7.806814814814814</v>
      </c>
      <c r="H19" s="2">
        <v>8.0177777777777806</v>
      </c>
      <c r="I19" s="2">
        <v>5.0917777777777751</v>
      </c>
      <c r="J19" s="2">
        <v>5.5623703703703695</v>
      </c>
    </row>
    <row r="20" spans="1:10" x14ac:dyDescent="0.4">
      <c r="A20" s="32" t="s">
        <v>597</v>
      </c>
      <c r="B20" s="34">
        <v>1620</v>
      </c>
      <c r="C20" s="35">
        <v>304177.61611111107</v>
      </c>
      <c r="D20" s="35">
        <v>231520.47975308669</v>
      </c>
      <c r="E20" s="35">
        <v>198111.7308024689</v>
      </c>
      <c r="F20" s="35">
        <v>33408.748950617257</v>
      </c>
      <c r="G20" s="2">
        <v>21.830228395061724</v>
      </c>
      <c r="H20" s="2">
        <v>21.957413580246829</v>
      </c>
      <c r="I20" s="2">
        <v>400.96253703704002</v>
      </c>
      <c r="J20" s="2">
        <v>401.33303086419636</v>
      </c>
    </row>
    <row r="21" spans="1:10" x14ac:dyDescent="0.4">
      <c r="H21"/>
    </row>
    <row r="22" spans="1:10" x14ac:dyDescent="0.4">
      <c r="H22"/>
    </row>
    <row r="23" spans="1:10" x14ac:dyDescent="0.4">
      <c r="H23"/>
    </row>
    <row r="24" spans="1:10" x14ac:dyDescent="0.4">
      <c r="H24"/>
    </row>
    <row r="25" spans="1:10" x14ac:dyDescent="0.4">
      <c r="H25"/>
    </row>
    <row r="26" spans="1:10" x14ac:dyDescent="0.4">
      <c r="H26"/>
    </row>
    <row r="27" spans="1:10" x14ac:dyDescent="0.4">
      <c r="H27"/>
    </row>
    <row r="28" spans="1:10" x14ac:dyDescent="0.4">
      <c r="H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tables</vt:lpstr>
      <vt:lpstr>comparison with three variants</vt:lpstr>
      <vt:lpstr>comparison with benchmark</vt:lpstr>
      <vt:lpstr>case study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LIU</dc:creator>
  <cp:lastModifiedBy>Ying LIU</cp:lastModifiedBy>
  <dcterms:created xsi:type="dcterms:W3CDTF">2015-06-05T18:17:20Z</dcterms:created>
  <dcterms:modified xsi:type="dcterms:W3CDTF">2026-02-03T13:37:40Z</dcterms:modified>
</cp:coreProperties>
</file>